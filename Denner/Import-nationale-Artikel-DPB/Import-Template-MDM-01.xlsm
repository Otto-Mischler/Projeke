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vellencesolutionsag-my.sharepoint.com/personal/otto_mischler_advellence_com/Documents/Dokumente/Projekte/Denner/1629-Regio-Artikel/Import-nationale-Artikel-DPB/"/>
    </mc:Choice>
  </mc:AlternateContent>
  <xr:revisionPtr revIDLastSave="310" documentId="8_{9AC83FAC-F12B-458D-A97D-78396EA0A285}" xr6:coauthVersionLast="47" xr6:coauthVersionMax="47" xr10:uidLastSave="{ECF39C54-D85B-4C96-A2A3-51C8229451D0}"/>
  <bookViews>
    <workbookView xWindow="-5510" yWindow="-21710" windowWidth="38620" windowHeight="21100" activeTab="1" xr2:uid="{422FD670-9615-4BE2-A4A3-55610B308415}"/>
  </bookViews>
  <sheets>
    <sheet name="Help" sheetId="2" r:id="rId1"/>
    <sheet name="Entities" sheetId="1" r:id="rId2"/>
    <sheet name="Migrationsartikel" sheetId="10" r:id="rId3"/>
    <sheet name="Model" sheetId="3" state="hidden" r:id="rId4"/>
    <sheet name="Reference Data" sheetId="5" state="hidden" r:id="rId5"/>
    <sheet name="dedea_axba2387" sheetId="6" state="hidden" r:id="rId6"/>
    <sheet name="frfra_axba1516" sheetId="7" state="hidden" r:id="rId7"/>
    <sheet name="itita_axba3948" sheetId="8" state="hidden" r:id="rId8"/>
  </sheets>
  <functionGroups builtInGroupCount="19"/>
  <externalReferences>
    <externalReference r:id="rId9"/>
  </externalReferences>
  <definedNames>
    <definedName name="_xlnm._FilterDatabase" localSheetId="2" hidden="1">Migrationsartikel!$A$1:$AG$195</definedName>
    <definedName name="_xleta.IF" hidden="1" xlm="1">#NAME?</definedName>
    <definedName name="_xleta.T" hidden="1" xlm="1">#NAME?</definedName>
    <definedName name="EntitiesCol">Entities!$SSI$2</definedName>
    <definedName name="EntitiesRow">Entities!$A$1000000</definedName>
    <definedName name="_xlnm.Print_Area" localSheetId="2">Migrationsartikel!$F$1:$AG$4</definedName>
    <definedName name="RelationshipsCol">[1]Relationships!$SSS$2</definedName>
    <definedName name="RelationshipsRow">[1]Relationships!$A$1000000</definedName>
    <definedName name="RSC__refxartikeltypsap">'Reference Data'!$T$2:$T$5</definedName>
    <definedName name="RSC__refxbooleanalkoholhaltig">'Reference Data'!$U$2:$U$5</definedName>
    <definedName name="RSC__refxboolen">'Reference Data'!$V$2:$V$5</definedName>
    <definedName name="RSC__refxgtintyperegioartikel">'Reference Data'!$AP$2:$AP$5</definedName>
    <definedName name="RSC__refxshopinshop">'Reference Data'!$AO$2:$AO$5</definedName>
    <definedName name="RSC__refxsystemsap">'Reference Data'!$AQ$2:$AQ$5</definedName>
    <definedName name="RSC_atxalkoholhaltig__de_DE">'Reference Data'!$M$2:$M$2</definedName>
    <definedName name="RSC_atxalkoholhaltig__fr_FR">'Reference Data'!$L$2:$L$2</definedName>
    <definedName name="RSC_atxalkoholhaltig__it_IT">'Reference Data'!$G$2:$G$2</definedName>
    <definedName name="RSC_atxwarengruppesap__de_DE">'Reference Data'!$B$2:$B$2</definedName>
    <definedName name="RSC_atxwarengruppesap__fr_FR">'Reference Data'!$E$2:$E$2</definedName>
    <definedName name="RSC_atxwarengruppesap__it_IT">'Reference Data'!$O$2:$O$2</definedName>
    <definedName name="RSC_axartikelslpmstruktur__de_DE">'Reference Data'!$C$2:$C$2</definedName>
    <definedName name="RSC_axartikelslpmstruktur__fr_FR">'Reference Data'!$H$2:$H$2</definedName>
    <definedName name="RSC_axartikelslpmstruktur__it_IT">'Reference Data'!$A$2:$A$2</definedName>
    <definedName name="RSC_axartikeltypsap__de_DE">'Reference Data'!$J$2:$J$2</definedName>
    <definedName name="RSC_axartikeltypsap__fr_FR">'Reference Data'!$I$2:$I$2</definedName>
    <definedName name="RSC_axartikeltypsap__it_IT">'Reference Data'!$P$2:$P$2</definedName>
    <definedName name="RSC_axmhdvorhanden__de_DE">'Reference Data'!$N$2:$N$2</definedName>
    <definedName name="RSC_axmhdvorhanden__fr_FR">'Reference Data'!$Q$2:$Q$2</definedName>
    <definedName name="RSC_axmhdvorhanden__it_IT">'Reference Data'!$D$2:$D$2</definedName>
    <definedName name="RSC_axtaxdummyfilter__de_DE">'Reference Data'!$K$2:$K$2</definedName>
    <definedName name="RSC_axtaxdummyfilter__fr_FR">'Reference Data'!$R$2:$R$2</definedName>
    <definedName name="RSC_axtaxdummyfilter__it_IT">'Reference Data'!$F$2:$F$2</definedName>
    <definedName name="RSC_de_DE_refxaltersbegrtyp">'Reference Data'!$AL$2:$AL$9</definedName>
    <definedName name="RSC_de_DE_refxartikelartsap">'Reference Data'!$W$2:$W$14</definedName>
    <definedName name="RSC_de_DE_refxmengeneinheit">'Reference Data'!$AC$2:$AC$14</definedName>
    <definedName name="RSC_de_DE_refxsaisontypsap">'Reference Data'!$Z$2:$Z$7</definedName>
    <definedName name="RSC_de_DE_refxtaxclass">'Reference Data'!$AI$2:$AI$6</definedName>
    <definedName name="RSC_de_DE_refxvergleichspreiseinheit">'Reference Data'!$AF$2:$AF$6</definedName>
    <definedName name="RSC_ENTITY_NAME">'Reference Data'!$S$2:$S$2</definedName>
    <definedName name="RSC_fr_FR_refxaltersbegrtyp">'Reference Data'!$AM$2:$AM$9</definedName>
    <definedName name="RSC_fr_FR_refxartikelartsap">'Reference Data'!$X$2:$X$6</definedName>
    <definedName name="RSC_fr_FR_refxmengeneinheit">'Reference Data'!$AD$2:$AD$14</definedName>
    <definedName name="RSC_fr_FR_refxsaisontypsap">'Reference Data'!$AA$2:$AA$7</definedName>
    <definedName name="RSC_fr_FR_refxtaxclass">'Reference Data'!$AJ$2:$AJ$6</definedName>
    <definedName name="RSC_fr_FR_refxvergleichspreiseinheit">'Reference Data'!$AG$2:$AG$3</definedName>
    <definedName name="RSC_it_IT_refxaltersbegrtyp">'Reference Data'!$AN$2:$AN$9</definedName>
    <definedName name="RSC_it_IT_refxartikelartsap">'Reference Data'!$Y$2:$Y$6</definedName>
    <definedName name="RSC_it_IT_refxmengeneinheit">'Reference Data'!$AE$2:$AE$14</definedName>
    <definedName name="RSC_it_IT_refxsaisontypsap">'Reference Data'!$AB$2:$AB$7</definedName>
    <definedName name="RSC_it_IT_refxtaxclass">'Reference Data'!$AK$2:$AK$6</definedName>
    <definedName name="RSC_it_IT_refxvergleichspreiseinheit">'Reference Data'!$AH$2:$AH$3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AK5" i="1"/>
  <c r="AL5" i="1"/>
  <c r="AM5" i="1"/>
  <c r="AN5" i="1"/>
  <c r="AP5" i="1" s="1"/>
  <c r="AW5" i="1"/>
  <c r="AX5" i="1"/>
  <c r="AY5" i="1"/>
  <c r="AZ5" i="1"/>
  <c r="BA5" i="1"/>
  <c r="BB5" i="1"/>
  <c r="AK6" i="1"/>
  <c r="AL6" i="1"/>
  <c r="AM6" i="1"/>
  <c r="AN6" i="1"/>
  <c r="AO6" i="1"/>
  <c r="AP6" i="1"/>
  <c r="AW6" i="1"/>
  <c r="AX6" i="1"/>
  <c r="AY6" i="1"/>
  <c r="AZ6" i="1"/>
  <c r="BA6" i="1"/>
  <c r="BB6" i="1"/>
  <c r="AK7" i="1"/>
  <c r="AL7" i="1"/>
  <c r="AM7" i="1"/>
  <c r="AN7" i="1"/>
  <c r="AO7" i="1"/>
  <c r="AP7" i="1"/>
  <c r="AW7" i="1"/>
  <c r="AX7" i="1"/>
  <c r="AY7" i="1"/>
  <c r="AZ7" i="1"/>
  <c r="BA7" i="1"/>
  <c r="BB7" i="1"/>
  <c r="AK8" i="1"/>
  <c r="AL8" i="1"/>
  <c r="AM8" i="1"/>
  <c r="AN8" i="1"/>
  <c r="AO8" i="1" s="1"/>
  <c r="AW8" i="1"/>
  <c r="AX8" i="1"/>
  <c r="AY8" i="1"/>
  <c r="AZ8" i="1"/>
  <c r="BA8" i="1"/>
  <c r="BB8" i="1"/>
  <c r="AK9" i="1"/>
  <c r="AL9" i="1"/>
  <c r="AM9" i="1"/>
  <c r="AN9" i="1"/>
  <c r="AO9" i="1" s="1"/>
  <c r="AW9" i="1"/>
  <c r="AX9" i="1"/>
  <c r="AY9" i="1"/>
  <c r="AZ9" i="1"/>
  <c r="BA9" i="1"/>
  <c r="BB9" i="1"/>
  <c r="AK10" i="1"/>
  <c r="AL10" i="1"/>
  <c r="AM10" i="1"/>
  <c r="AN10" i="1"/>
  <c r="AW10" i="1"/>
  <c r="AX10" i="1"/>
  <c r="AY10" i="1"/>
  <c r="AZ10" i="1"/>
  <c r="BA10" i="1"/>
  <c r="BB10" i="1"/>
  <c r="AK11" i="1"/>
  <c r="AL11" i="1"/>
  <c r="AM11" i="1"/>
  <c r="AN11" i="1"/>
  <c r="AO11" i="1" s="1"/>
  <c r="AP11" i="1"/>
  <c r="AW11" i="1"/>
  <c r="AX11" i="1"/>
  <c r="AY11" i="1"/>
  <c r="AZ11" i="1"/>
  <c r="BA11" i="1"/>
  <c r="BB11" i="1"/>
  <c r="AK12" i="1"/>
  <c r="AL12" i="1"/>
  <c r="AM12" i="1"/>
  <c r="AN12" i="1"/>
  <c r="AO12" i="1" s="1"/>
  <c r="AW12" i="1"/>
  <c r="AX12" i="1"/>
  <c r="AY12" i="1"/>
  <c r="AZ12" i="1"/>
  <c r="BA12" i="1"/>
  <c r="BB12" i="1"/>
  <c r="AK13" i="1"/>
  <c r="AL13" i="1"/>
  <c r="AM13" i="1"/>
  <c r="AN13" i="1"/>
  <c r="AP13" i="1" s="1"/>
  <c r="AO13" i="1"/>
  <c r="AW13" i="1"/>
  <c r="AX13" i="1"/>
  <c r="AY13" i="1"/>
  <c r="AZ13" i="1"/>
  <c r="BA13" i="1"/>
  <c r="BB13" i="1"/>
  <c r="AK14" i="1"/>
  <c r="AL14" i="1"/>
  <c r="AM14" i="1"/>
  <c r="AN14" i="1"/>
  <c r="AW14" i="1"/>
  <c r="AX14" i="1"/>
  <c r="AY14" i="1"/>
  <c r="AZ14" i="1"/>
  <c r="BA14" i="1"/>
  <c r="BB14" i="1"/>
  <c r="AI15" i="1"/>
  <c r="AK15" i="1"/>
  <c r="AL15" i="1"/>
  <c r="AM15" i="1"/>
  <c r="AN15" i="1"/>
  <c r="AO15" i="1" s="1"/>
  <c r="AW15" i="1"/>
  <c r="AX15" i="1"/>
  <c r="AY15" i="1"/>
  <c r="AZ15" i="1"/>
  <c r="BA15" i="1"/>
  <c r="BB15" i="1"/>
  <c r="AI16" i="1"/>
  <c r="AK16" i="1"/>
  <c r="AL16" i="1"/>
  <c r="AM16" i="1"/>
  <c r="AN16" i="1"/>
  <c r="AW16" i="1"/>
  <c r="AX16" i="1"/>
  <c r="AY16" i="1"/>
  <c r="AZ16" i="1"/>
  <c r="BA16" i="1"/>
  <c r="BB16" i="1"/>
  <c r="AK17" i="1"/>
  <c r="AL17" i="1"/>
  <c r="AM17" i="1"/>
  <c r="AN17" i="1"/>
  <c r="AP17" i="1" s="1"/>
  <c r="AW17" i="1"/>
  <c r="AX17" i="1"/>
  <c r="AY17" i="1"/>
  <c r="AZ17" i="1"/>
  <c r="BA17" i="1"/>
  <c r="BB17" i="1"/>
  <c r="AK18" i="1"/>
  <c r="AL18" i="1"/>
  <c r="AM18" i="1"/>
  <c r="AN18" i="1"/>
  <c r="AP18" i="1" s="1"/>
  <c r="AO18" i="1"/>
  <c r="AW18" i="1"/>
  <c r="AX18" i="1"/>
  <c r="AY18" i="1"/>
  <c r="AZ18" i="1"/>
  <c r="BA18" i="1"/>
  <c r="BB18" i="1"/>
  <c r="AK19" i="1"/>
  <c r="AL19" i="1"/>
  <c r="AM19" i="1"/>
  <c r="AN19" i="1"/>
  <c r="AO19" i="1"/>
  <c r="AP19" i="1"/>
  <c r="AW19" i="1"/>
  <c r="AX19" i="1"/>
  <c r="AY19" i="1"/>
  <c r="AZ19" i="1"/>
  <c r="BA19" i="1"/>
  <c r="BB19" i="1"/>
  <c r="AK20" i="1"/>
  <c r="AL20" i="1"/>
  <c r="AM20" i="1"/>
  <c r="AN20" i="1"/>
  <c r="AO20" i="1"/>
  <c r="AP20" i="1"/>
  <c r="AW20" i="1"/>
  <c r="AX20" i="1"/>
  <c r="AY20" i="1"/>
  <c r="AZ20" i="1"/>
  <c r="BA20" i="1"/>
  <c r="BB20" i="1"/>
  <c r="AK21" i="1"/>
  <c r="AL21" i="1"/>
  <c r="AM21" i="1"/>
  <c r="AN21" i="1"/>
  <c r="AO21" i="1" s="1"/>
  <c r="AW21" i="1"/>
  <c r="AX21" i="1"/>
  <c r="AY21" i="1"/>
  <c r="AZ21" i="1"/>
  <c r="BA21" i="1"/>
  <c r="BB21" i="1"/>
  <c r="AI22" i="1"/>
  <c r="AK22" i="1"/>
  <c r="AL22" i="1"/>
  <c r="AM22" i="1"/>
  <c r="AN22" i="1"/>
  <c r="AW22" i="1"/>
  <c r="AX22" i="1"/>
  <c r="AY22" i="1"/>
  <c r="AZ22" i="1"/>
  <c r="BA22" i="1"/>
  <c r="BB22" i="1"/>
  <c r="AI23" i="1"/>
  <c r="AK23" i="1"/>
  <c r="AL23" i="1"/>
  <c r="AM23" i="1"/>
  <c r="AN23" i="1"/>
  <c r="AP23" i="1" s="1"/>
  <c r="AW23" i="1"/>
  <c r="AX23" i="1"/>
  <c r="AY23" i="1"/>
  <c r="AZ23" i="1"/>
  <c r="BA23" i="1"/>
  <c r="BB23" i="1"/>
  <c r="AK24" i="1"/>
  <c r="AL24" i="1"/>
  <c r="AM24" i="1"/>
  <c r="AN24" i="1"/>
  <c r="AO24" i="1" s="1"/>
  <c r="AP24" i="1"/>
  <c r="AW24" i="1"/>
  <c r="AX24" i="1"/>
  <c r="AY24" i="1"/>
  <c r="AZ24" i="1"/>
  <c r="BA24" i="1"/>
  <c r="BB24" i="1"/>
  <c r="AK25" i="1"/>
  <c r="AL25" i="1"/>
  <c r="AM25" i="1"/>
  <c r="AN25" i="1"/>
  <c r="AW25" i="1"/>
  <c r="AX25" i="1"/>
  <c r="AY25" i="1"/>
  <c r="AZ25" i="1"/>
  <c r="BA25" i="1"/>
  <c r="BB25" i="1"/>
  <c r="AK26" i="1"/>
  <c r="AL26" i="1"/>
  <c r="AM26" i="1"/>
  <c r="AN26" i="1"/>
  <c r="AP26" i="1" s="1"/>
  <c r="AW26" i="1"/>
  <c r="AX26" i="1"/>
  <c r="AY26" i="1"/>
  <c r="AZ26" i="1"/>
  <c r="BA26" i="1"/>
  <c r="BB26" i="1"/>
  <c r="AI27" i="1"/>
  <c r="AK27" i="1"/>
  <c r="AL27" i="1"/>
  <c r="AM27" i="1"/>
  <c r="AN27" i="1"/>
  <c r="AO27" i="1" s="1"/>
  <c r="AW27" i="1"/>
  <c r="AX27" i="1"/>
  <c r="AY27" i="1"/>
  <c r="AZ27" i="1"/>
  <c r="BA27" i="1"/>
  <c r="BB27" i="1"/>
  <c r="AK28" i="1"/>
  <c r="AL28" i="1"/>
  <c r="AM28" i="1"/>
  <c r="AN28" i="1"/>
  <c r="AW28" i="1"/>
  <c r="AX28" i="1"/>
  <c r="AY28" i="1"/>
  <c r="AZ28" i="1"/>
  <c r="BA28" i="1"/>
  <c r="BB28" i="1"/>
  <c r="AK29" i="1"/>
  <c r="AL29" i="1"/>
  <c r="AM29" i="1"/>
  <c r="AN29" i="1"/>
  <c r="AP29" i="1" s="1"/>
  <c r="AO29" i="1"/>
  <c r="AW29" i="1"/>
  <c r="AX29" i="1"/>
  <c r="AY29" i="1"/>
  <c r="AZ29" i="1"/>
  <c r="BA29" i="1"/>
  <c r="BB29" i="1"/>
  <c r="AI30" i="1"/>
  <c r="AK30" i="1"/>
  <c r="AL30" i="1"/>
  <c r="AM30" i="1"/>
  <c r="AN30" i="1"/>
  <c r="AP30" i="1" s="1"/>
  <c r="AW30" i="1"/>
  <c r="AX30" i="1"/>
  <c r="AY30" i="1"/>
  <c r="AZ30" i="1"/>
  <c r="BA30" i="1"/>
  <c r="BB30" i="1"/>
  <c r="AK31" i="1"/>
  <c r="AL31" i="1"/>
  <c r="AM31" i="1"/>
  <c r="AN31" i="1"/>
  <c r="AO31" i="1" s="1"/>
  <c r="AW31" i="1"/>
  <c r="AX31" i="1"/>
  <c r="AY31" i="1"/>
  <c r="AZ31" i="1"/>
  <c r="BA31" i="1"/>
  <c r="BB31" i="1"/>
  <c r="AK32" i="1"/>
  <c r="AL32" i="1"/>
  <c r="AM32" i="1"/>
  <c r="AN32" i="1"/>
  <c r="AP32" i="1" s="1"/>
  <c r="AO32" i="1"/>
  <c r="AW32" i="1"/>
  <c r="AX32" i="1"/>
  <c r="AY32" i="1"/>
  <c r="AZ32" i="1"/>
  <c r="BA32" i="1"/>
  <c r="BB32" i="1"/>
  <c r="AK33" i="1"/>
  <c r="AL33" i="1"/>
  <c r="AM33" i="1"/>
  <c r="AN33" i="1"/>
  <c r="AO33" i="1" s="1"/>
  <c r="AP33" i="1"/>
  <c r="AW33" i="1"/>
  <c r="AX33" i="1"/>
  <c r="AY33" i="1"/>
  <c r="AZ33" i="1"/>
  <c r="BA33" i="1"/>
  <c r="BB33" i="1"/>
  <c r="AK34" i="1"/>
  <c r="AL34" i="1"/>
  <c r="AM34" i="1"/>
  <c r="AN34" i="1"/>
  <c r="AP34" i="1" s="1"/>
  <c r="AW34" i="1"/>
  <c r="AX34" i="1"/>
  <c r="AY34" i="1"/>
  <c r="AZ34" i="1"/>
  <c r="BA34" i="1"/>
  <c r="BB34" i="1"/>
  <c r="AK35" i="1"/>
  <c r="AL35" i="1"/>
  <c r="AM35" i="1"/>
  <c r="AN35" i="1"/>
  <c r="AW35" i="1"/>
  <c r="AX35" i="1"/>
  <c r="AY35" i="1"/>
  <c r="AZ35" i="1"/>
  <c r="BA35" i="1"/>
  <c r="BB35" i="1"/>
  <c r="AI36" i="1"/>
  <c r="AK36" i="1"/>
  <c r="AL36" i="1"/>
  <c r="AM36" i="1"/>
  <c r="AN36" i="1"/>
  <c r="AW36" i="1"/>
  <c r="AX36" i="1"/>
  <c r="AY36" i="1"/>
  <c r="AZ36" i="1"/>
  <c r="BA36" i="1"/>
  <c r="BB36" i="1"/>
  <c r="AI37" i="1"/>
  <c r="AK37" i="1"/>
  <c r="AL37" i="1"/>
  <c r="AM37" i="1"/>
  <c r="AN37" i="1"/>
  <c r="AP37" i="1" s="1"/>
  <c r="AW37" i="1"/>
  <c r="AX37" i="1"/>
  <c r="AY37" i="1"/>
  <c r="AZ37" i="1"/>
  <c r="BA37" i="1"/>
  <c r="BB37" i="1"/>
  <c r="AK38" i="1"/>
  <c r="AL38" i="1"/>
  <c r="AM38" i="1"/>
  <c r="AN38" i="1"/>
  <c r="AO38" i="1" s="1"/>
  <c r="AW38" i="1"/>
  <c r="AX38" i="1"/>
  <c r="AY38" i="1"/>
  <c r="AZ38" i="1"/>
  <c r="BA38" i="1"/>
  <c r="BB38" i="1"/>
  <c r="AK39" i="1"/>
  <c r="AL39" i="1"/>
  <c r="AM39" i="1"/>
  <c r="AN39" i="1"/>
  <c r="AP39" i="1" s="1"/>
  <c r="AW39" i="1"/>
  <c r="AX39" i="1"/>
  <c r="AY39" i="1"/>
  <c r="AZ39" i="1"/>
  <c r="BA39" i="1"/>
  <c r="BB39" i="1"/>
  <c r="AK40" i="1"/>
  <c r="AL40" i="1"/>
  <c r="AM40" i="1"/>
  <c r="AN40" i="1"/>
  <c r="AO40" i="1" s="1"/>
  <c r="AW40" i="1"/>
  <c r="AX40" i="1"/>
  <c r="AY40" i="1"/>
  <c r="AZ40" i="1"/>
  <c r="BA40" i="1"/>
  <c r="BB40" i="1"/>
  <c r="AK41" i="1"/>
  <c r="AL41" i="1"/>
  <c r="AM41" i="1"/>
  <c r="AN41" i="1"/>
  <c r="AO41" i="1" s="1"/>
  <c r="AP41" i="1"/>
  <c r="AW41" i="1"/>
  <c r="AX41" i="1"/>
  <c r="AY41" i="1"/>
  <c r="AZ41" i="1"/>
  <c r="BA41" i="1"/>
  <c r="BB41" i="1"/>
  <c r="AI42" i="1"/>
  <c r="AK42" i="1"/>
  <c r="AL42" i="1"/>
  <c r="AM42" i="1"/>
  <c r="AN42" i="1"/>
  <c r="AW42" i="1"/>
  <c r="AX42" i="1"/>
  <c r="AY42" i="1"/>
  <c r="AZ42" i="1"/>
  <c r="BA42" i="1"/>
  <c r="BB42" i="1"/>
  <c r="AI43" i="1"/>
  <c r="AK43" i="1"/>
  <c r="AL43" i="1"/>
  <c r="AM43" i="1"/>
  <c r="AN43" i="1"/>
  <c r="AP43" i="1" s="1"/>
  <c r="AW43" i="1"/>
  <c r="AX43" i="1"/>
  <c r="AY43" i="1"/>
  <c r="AZ43" i="1"/>
  <c r="BA43" i="1"/>
  <c r="BB43" i="1"/>
  <c r="AK44" i="1"/>
  <c r="AL44" i="1"/>
  <c r="AM44" i="1"/>
  <c r="AN44" i="1"/>
  <c r="AO44" i="1"/>
  <c r="AP44" i="1"/>
  <c r="AW44" i="1"/>
  <c r="AX44" i="1"/>
  <c r="AY44" i="1"/>
  <c r="AZ44" i="1"/>
  <c r="BA44" i="1"/>
  <c r="BB44" i="1"/>
  <c r="AK45" i="1"/>
  <c r="AL45" i="1"/>
  <c r="AM45" i="1"/>
  <c r="AN45" i="1"/>
  <c r="AO45" i="1" s="1"/>
  <c r="AP45" i="1"/>
  <c r="AW45" i="1"/>
  <c r="AX45" i="1"/>
  <c r="AY45" i="1"/>
  <c r="AZ45" i="1"/>
  <c r="BA45" i="1"/>
  <c r="BB45" i="1"/>
  <c r="AK46" i="1"/>
  <c r="AL46" i="1"/>
  <c r="AM46" i="1"/>
  <c r="AN46" i="1"/>
  <c r="AW46" i="1"/>
  <c r="AX46" i="1"/>
  <c r="AY46" i="1"/>
  <c r="AZ46" i="1"/>
  <c r="BA46" i="1"/>
  <c r="BB46" i="1"/>
  <c r="AK47" i="1"/>
  <c r="AL47" i="1"/>
  <c r="AM47" i="1"/>
  <c r="AN47" i="1"/>
  <c r="AO47" i="1" s="1"/>
  <c r="AP47" i="1"/>
  <c r="AW47" i="1"/>
  <c r="AX47" i="1"/>
  <c r="AY47" i="1"/>
  <c r="AZ47" i="1"/>
  <c r="BA47" i="1"/>
  <c r="BB47" i="1"/>
  <c r="AK48" i="1"/>
  <c r="AL48" i="1"/>
  <c r="AM48" i="1"/>
  <c r="AN48" i="1"/>
  <c r="AP48" i="1" s="1"/>
  <c r="AO48" i="1"/>
  <c r="AW48" i="1"/>
  <c r="AX48" i="1"/>
  <c r="AY48" i="1"/>
  <c r="AZ48" i="1"/>
  <c r="BA48" i="1"/>
  <c r="BB48" i="1"/>
  <c r="AK49" i="1"/>
  <c r="AL49" i="1"/>
  <c r="AM49" i="1"/>
  <c r="AN49" i="1"/>
  <c r="AP49" i="1" s="1"/>
  <c r="AO49" i="1"/>
  <c r="AW49" i="1"/>
  <c r="AX49" i="1"/>
  <c r="AY49" i="1"/>
  <c r="AZ49" i="1"/>
  <c r="BA49" i="1"/>
  <c r="BB49" i="1"/>
  <c r="AK50" i="1"/>
  <c r="AL50" i="1"/>
  <c r="AM50" i="1"/>
  <c r="AN50" i="1"/>
  <c r="AW50" i="1"/>
  <c r="AX50" i="1"/>
  <c r="AY50" i="1"/>
  <c r="AZ50" i="1"/>
  <c r="BA50" i="1"/>
  <c r="BB50" i="1"/>
  <c r="AI51" i="1"/>
  <c r="AK51" i="1"/>
  <c r="AL51" i="1"/>
  <c r="AM51" i="1"/>
  <c r="AN51" i="1"/>
  <c r="AP51" i="1" s="1"/>
  <c r="AO51" i="1"/>
  <c r="AW51" i="1"/>
  <c r="AX51" i="1"/>
  <c r="AY51" i="1"/>
  <c r="AZ51" i="1"/>
  <c r="BA51" i="1"/>
  <c r="BB51" i="1"/>
  <c r="AK52" i="1"/>
  <c r="AL52" i="1"/>
  <c r="AM52" i="1"/>
  <c r="AN52" i="1"/>
  <c r="AO52" i="1" s="1"/>
  <c r="AW52" i="1"/>
  <c r="AX52" i="1"/>
  <c r="AY52" i="1"/>
  <c r="AZ52" i="1"/>
  <c r="BA52" i="1"/>
  <c r="BB52" i="1"/>
  <c r="AK53" i="1"/>
  <c r="AL53" i="1"/>
  <c r="AM53" i="1"/>
  <c r="AN53" i="1"/>
  <c r="AW53" i="1"/>
  <c r="AX53" i="1"/>
  <c r="AY53" i="1"/>
  <c r="AZ53" i="1"/>
  <c r="BA53" i="1"/>
  <c r="BB53" i="1"/>
  <c r="AK54" i="1"/>
  <c r="AL54" i="1"/>
  <c r="AM54" i="1"/>
  <c r="AN54" i="1"/>
  <c r="AO54" i="1"/>
  <c r="AP54" i="1"/>
  <c r="AW54" i="1"/>
  <c r="AX54" i="1"/>
  <c r="AY54" i="1"/>
  <c r="AZ54" i="1"/>
  <c r="BA54" i="1"/>
  <c r="BB54" i="1"/>
  <c r="AI55" i="1"/>
  <c r="AK55" i="1"/>
  <c r="AL55" i="1"/>
  <c r="AM55" i="1"/>
  <c r="AN55" i="1"/>
  <c r="AO55" i="1" s="1"/>
  <c r="AP55" i="1"/>
  <c r="AW55" i="1"/>
  <c r="AX55" i="1"/>
  <c r="AY55" i="1"/>
  <c r="AZ55" i="1"/>
  <c r="BA55" i="1"/>
  <c r="BB55" i="1"/>
  <c r="AK56" i="1"/>
  <c r="AL56" i="1"/>
  <c r="AM56" i="1"/>
  <c r="AN56" i="1"/>
  <c r="AW56" i="1"/>
  <c r="AX56" i="1"/>
  <c r="AY56" i="1"/>
  <c r="AZ56" i="1"/>
  <c r="BA56" i="1"/>
  <c r="BB56" i="1"/>
  <c r="AK57" i="1"/>
  <c r="AL57" i="1"/>
  <c r="AM57" i="1"/>
  <c r="AN57" i="1"/>
  <c r="AP57" i="1" s="1"/>
  <c r="AO57" i="1"/>
  <c r="AW57" i="1"/>
  <c r="AX57" i="1"/>
  <c r="AY57" i="1"/>
  <c r="AZ57" i="1"/>
  <c r="BA57" i="1"/>
  <c r="BB57" i="1"/>
  <c r="AI58" i="1"/>
  <c r="AK58" i="1"/>
  <c r="AL58" i="1"/>
  <c r="AM58" i="1"/>
  <c r="AN58" i="1"/>
  <c r="AP58" i="1" s="1"/>
  <c r="AW58" i="1"/>
  <c r="AX58" i="1"/>
  <c r="AY58" i="1"/>
  <c r="AZ58" i="1"/>
  <c r="BA58" i="1"/>
  <c r="BB58" i="1"/>
  <c r="AK59" i="1"/>
  <c r="AL59" i="1"/>
  <c r="AM59" i="1"/>
  <c r="AN59" i="1"/>
  <c r="AO59" i="1"/>
  <c r="AP59" i="1"/>
  <c r="AW59" i="1"/>
  <c r="AX59" i="1"/>
  <c r="AY59" i="1"/>
  <c r="AZ59" i="1"/>
  <c r="BA59" i="1"/>
  <c r="BB59" i="1"/>
  <c r="AK60" i="1"/>
  <c r="AL60" i="1"/>
  <c r="AM60" i="1"/>
  <c r="AN60" i="1"/>
  <c r="AO60" i="1" s="1"/>
  <c r="AP60" i="1"/>
  <c r="AW60" i="1"/>
  <c r="AX60" i="1"/>
  <c r="AY60" i="1"/>
  <c r="AZ60" i="1"/>
  <c r="BA60" i="1"/>
  <c r="BB60" i="1"/>
  <c r="AK61" i="1"/>
  <c r="AL61" i="1"/>
  <c r="AM61" i="1"/>
  <c r="AN61" i="1"/>
  <c r="AW61" i="1"/>
  <c r="AX61" i="1"/>
  <c r="AY61" i="1"/>
  <c r="AZ61" i="1"/>
  <c r="BA61" i="1"/>
  <c r="BB61" i="1"/>
  <c r="AK62" i="1"/>
  <c r="AL62" i="1"/>
  <c r="AM62" i="1"/>
  <c r="AN62" i="1"/>
  <c r="AP62" i="1" s="1"/>
  <c r="AO62" i="1"/>
  <c r="AW62" i="1"/>
  <c r="AX62" i="1"/>
  <c r="AY62" i="1"/>
  <c r="AZ62" i="1"/>
  <c r="BA62" i="1"/>
  <c r="BB62" i="1"/>
  <c r="AK63" i="1"/>
  <c r="AL63" i="1"/>
  <c r="AM63" i="1"/>
  <c r="AN63" i="1"/>
  <c r="AO63" i="1" s="1"/>
  <c r="AW63" i="1"/>
  <c r="AX63" i="1"/>
  <c r="AY63" i="1"/>
  <c r="AZ63" i="1"/>
  <c r="BA63" i="1"/>
  <c r="BB63" i="1"/>
  <c r="AK64" i="1"/>
  <c r="AL64" i="1"/>
  <c r="AM64" i="1"/>
  <c r="AN64" i="1"/>
  <c r="AW64" i="1"/>
  <c r="AX64" i="1"/>
  <c r="AY64" i="1"/>
  <c r="AZ64" i="1"/>
  <c r="BA64" i="1"/>
  <c r="BB64" i="1"/>
  <c r="AK65" i="1"/>
  <c r="AL65" i="1"/>
  <c r="AM65" i="1"/>
  <c r="AN65" i="1"/>
  <c r="AP65" i="1" s="1"/>
  <c r="AO65" i="1"/>
  <c r="AW65" i="1"/>
  <c r="AX65" i="1"/>
  <c r="AY65" i="1"/>
  <c r="AZ65" i="1"/>
  <c r="BA65" i="1"/>
  <c r="BB65" i="1"/>
  <c r="AK66" i="1"/>
  <c r="AL66" i="1"/>
  <c r="AM66" i="1"/>
  <c r="AN66" i="1"/>
  <c r="AO66" i="1" s="1"/>
  <c r="AW66" i="1"/>
  <c r="AX66" i="1"/>
  <c r="AY66" i="1"/>
  <c r="AZ66" i="1"/>
  <c r="BA66" i="1"/>
  <c r="BB66" i="1"/>
  <c r="AK67" i="1"/>
  <c r="AL67" i="1"/>
  <c r="AM67" i="1"/>
  <c r="AN67" i="1"/>
  <c r="AP67" i="1" s="1"/>
  <c r="AW67" i="1"/>
  <c r="AX67" i="1"/>
  <c r="AY67" i="1"/>
  <c r="AZ67" i="1"/>
  <c r="BA67" i="1"/>
  <c r="BB67" i="1"/>
  <c r="AK68" i="1"/>
  <c r="AL68" i="1"/>
  <c r="AM68" i="1"/>
  <c r="AN68" i="1"/>
  <c r="AP68" i="1" s="1"/>
  <c r="AO68" i="1"/>
  <c r="AW68" i="1"/>
  <c r="AX68" i="1"/>
  <c r="AY68" i="1"/>
  <c r="AZ68" i="1"/>
  <c r="BA68" i="1"/>
  <c r="BB68" i="1"/>
  <c r="AI69" i="1"/>
  <c r="AK69" i="1"/>
  <c r="AL69" i="1"/>
  <c r="AM69" i="1"/>
  <c r="AN69" i="1"/>
  <c r="AO69" i="1" s="1"/>
  <c r="AP69" i="1"/>
  <c r="AW69" i="1"/>
  <c r="AX69" i="1"/>
  <c r="AY69" i="1"/>
  <c r="AZ69" i="1"/>
  <c r="BA69" i="1"/>
  <c r="BB69" i="1"/>
  <c r="AK70" i="1"/>
  <c r="AL70" i="1"/>
  <c r="AM70" i="1"/>
  <c r="AN70" i="1"/>
  <c r="AW70" i="1"/>
  <c r="AX70" i="1"/>
  <c r="AY70" i="1"/>
  <c r="AZ70" i="1"/>
  <c r="BA70" i="1"/>
  <c r="BB70" i="1"/>
  <c r="AI71" i="1"/>
  <c r="AK71" i="1"/>
  <c r="AL71" i="1"/>
  <c r="AM71" i="1"/>
  <c r="AN71" i="1"/>
  <c r="AP71" i="1" s="1"/>
  <c r="AW71" i="1"/>
  <c r="AX71" i="1"/>
  <c r="AY71" i="1"/>
  <c r="AZ71" i="1"/>
  <c r="BA71" i="1"/>
  <c r="BB71" i="1"/>
  <c r="AK72" i="1"/>
  <c r="AL72" i="1"/>
  <c r="AM72" i="1"/>
  <c r="AN72" i="1"/>
  <c r="AO72" i="1"/>
  <c r="AP72" i="1"/>
  <c r="AW72" i="1"/>
  <c r="AX72" i="1"/>
  <c r="AY72" i="1"/>
  <c r="AZ72" i="1"/>
  <c r="BA72" i="1"/>
  <c r="BB72" i="1"/>
  <c r="AI73" i="1"/>
  <c r="AK73" i="1"/>
  <c r="AL73" i="1"/>
  <c r="AM73" i="1"/>
  <c r="AN73" i="1"/>
  <c r="AO73" i="1" s="1"/>
  <c r="AP73" i="1"/>
  <c r="AW73" i="1"/>
  <c r="AX73" i="1"/>
  <c r="AY73" i="1"/>
  <c r="AZ73" i="1"/>
  <c r="BA73" i="1"/>
  <c r="BB73" i="1"/>
  <c r="AI74" i="1"/>
  <c r="AK74" i="1"/>
  <c r="AL74" i="1"/>
  <c r="AM74" i="1"/>
  <c r="AN74" i="1"/>
  <c r="AW74" i="1"/>
  <c r="AX74" i="1"/>
  <c r="AY74" i="1"/>
  <c r="AZ74" i="1"/>
  <c r="BA74" i="1"/>
  <c r="BB74" i="1"/>
  <c r="AK75" i="1"/>
  <c r="AL75" i="1"/>
  <c r="AM75" i="1"/>
  <c r="AN75" i="1"/>
  <c r="AO75" i="1" s="1"/>
  <c r="AP75" i="1"/>
  <c r="AW75" i="1"/>
  <c r="AX75" i="1"/>
  <c r="AY75" i="1"/>
  <c r="AZ75" i="1"/>
  <c r="BA75" i="1"/>
  <c r="BB75" i="1"/>
  <c r="AK76" i="1"/>
  <c r="AL76" i="1"/>
  <c r="AM76" i="1"/>
  <c r="AN76" i="1"/>
  <c r="AW76" i="1"/>
  <c r="AX76" i="1"/>
  <c r="AY76" i="1"/>
  <c r="AZ76" i="1"/>
  <c r="BA76" i="1"/>
  <c r="BB76" i="1"/>
  <c r="AK77" i="1"/>
  <c r="AL77" i="1"/>
  <c r="AM77" i="1"/>
  <c r="AN77" i="1"/>
  <c r="AO77" i="1"/>
  <c r="AP77" i="1"/>
  <c r="AW77" i="1"/>
  <c r="AX77" i="1"/>
  <c r="AY77" i="1"/>
  <c r="AZ77" i="1"/>
  <c r="BA77" i="1"/>
  <c r="BB77" i="1"/>
  <c r="AI78" i="1"/>
  <c r="AK78" i="1"/>
  <c r="AL78" i="1"/>
  <c r="AM78" i="1"/>
  <c r="AN78" i="1"/>
  <c r="AW78" i="1"/>
  <c r="AX78" i="1"/>
  <c r="AY78" i="1"/>
  <c r="AZ78" i="1"/>
  <c r="BA78" i="1"/>
  <c r="BB78" i="1"/>
  <c r="AI79" i="1"/>
  <c r="AK79" i="1"/>
  <c r="AL79" i="1"/>
  <c r="AM79" i="1"/>
  <c r="AN79" i="1"/>
  <c r="AW79" i="1"/>
  <c r="AX79" i="1"/>
  <c r="AY79" i="1"/>
  <c r="AZ79" i="1"/>
  <c r="BA79" i="1"/>
  <c r="BB79" i="1"/>
  <c r="AK80" i="1"/>
  <c r="AL80" i="1"/>
  <c r="AM80" i="1"/>
  <c r="AN80" i="1"/>
  <c r="AO80" i="1" s="1"/>
  <c r="AP80" i="1"/>
  <c r="AW80" i="1"/>
  <c r="AX80" i="1"/>
  <c r="AY80" i="1"/>
  <c r="AZ80" i="1"/>
  <c r="BA80" i="1"/>
  <c r="BB80" i="1"/>
  <c r="AK81" i="1"/>
  <c r="AL81" i="1"/>
  <c r="AM81" i="1"/>
  <c r="AN81" i="1"/>
  <c r="AP81" i="1" s="1"/>
  <c r="AW81" i="1"/>
  <c r="AX81" i="1"/>
  <c r="AY81" i="1"/>
  <c r="AZ81" i="1"/>
  <c r="BA81" i="1"/>
  <c r="BB81" i="1"/>
  <c r="AK82" i="1"/>
  <c r="AL82" i="1"/>
  <c r="AM82" i="1"/>
  <c r="AN82" i="1"/>
  <c r="AO82" i="1"/>
  <c r="AP82" i="1"/>
  <c r="AW82" i="1"/>
  <c r="AX82" i="1"/>
  <c r="AY82" i="1"/>
  <c r="AZ82" i="1"/>
  <c r="BA82" i="1"/>
  <c r="BB82" i="1"/>
  <c r="AK83" i="1"/>
  <c r="AL83" i="1"/>
  <c r="AM83" i="1"/>
  <c r="AN83" i="1"/>
  <c r="AO83" i="1" s="1"/>
  <c r="AW83" i="1"/>
  <c r="AX83" i="1"/>
  <c r="AY83" i="1"/>
  <c r="AZ83" i="1"/>
  <c r="BA83" i="1"/>
  <c r="BB83" i="1"/>
  <c r="AK84" i="1"/>
  <c r="AL84" i="1"/>
  <c r="AM84" i="1"/>
  <c r="AN84" i="1"/>
  <c r="AW84" i="1"/>
  <c r="AX84" i="1"/>
  <c r="AY84" i="1"/>
  <c r="AZ84" i="1"/>
  <c r="BA84" i="1"/>
  <c r="BB84" i="1"/>
  <c r="AI85" i="1"/>
  <c r="AK85" i="1"/>
  <c r="AL85" i="1"/>
  <c r="AM85" i="1"/>
  <c r="AN85" i="1"/>
  <c r="AP85" i="1" s="1"/>
  <c r="AW85" i="1"/>
  <c r="AX85" i="1"/>
  <c r="AY85" i="1"/>
  <c r="AZ85" i="1"/>
  <c r="BA85" i="1"/>
  <c r="BB85" i="1"/>
  <c r="AK86" i="1"/>
  <c r="AL86" i="1"/>
  <c r="AM86" i="1"/>
  <c r="AN86" i="1"/>
  <c r="AW86" i="1"/>
  <c r="AX86" i="1"/>
  <c r="AY86" i="1"/>
  <c r="AZ86" i="1"/>
  <c r="BA86" i="1"/>
  <c r="BB86" i="1"/>
  <c r="AK87" i="1"/>
  <c r="AL87" i="1"/>
  <c r="AM87" i="1"/>
  <c r="AN87" i="1"/>
  <c r="AO87" i="1"/>
  <c r="AP87" i="1"/>
  <c r="AW87" i="1"/>
  <c r="AX87" i="1"/>
  <c r="AY87" i="1"/>
  <c r="AZ87" i="1"/>
  <c r="BA87" i="1"/>
  <c r="BB87" i="1"/>
  <c r="AK88" i="1"/>
  <c r="AL88" i="1"/>
  <c r="AM88" i="1"/>
  <c r="AN88" i="1"/>
  <c r="AO88" i="1"/>
  <c r="AP88" i="1"/>
  <c r="AW88" i="1"/>
  <c r="AX88" i="1"/>
  <c r="AY88" i="1"/>
  <c r="AZ88" i="1"/>
  <c r="BA88" i="1"/>
  <c r="BB88" i="1"/>
  <c r="AK89" i="1"/>
  <c r="AL89" i="1"/>
  <c r="AM89" i="1"/>
  <c r="AN89" i="1"/>
  <c r="AO89" i="1" s="1"/>
  <c r="AW89" i="1"/>
  <c r="AX89" i="1"/>
  <c r="AY89" i="1"/>
  <c r="AZ89" i="1"/>
  <c r="BA89" i="1"/>
  <c r="BB89" i="1"/>
  <c r="AK90" i="1"/>
  <c r="AL90" i="1"/>
  <c r="AM90" i="1"/>
  <c r="AN90" i="1"/>
  <c r="AP90" i="1" s="1"/>
  <c r="AO90" i="1"/>
  <c r="AW90" i="1"/>
  <c r="AX90" i="1"/>
  <c r="AY90" i="1"/>
  <c r="AZ90" i="1"/>
  <c r="BA90" i="1"/>
  <c r="BB90" i="1"/>
  <c r="AK91" i="1"/>
  <c r="AL91" i="1"/>
  <c r="AM91" i="1"/>
  <c r="AN91" i="1"/>
  <c r="AW91" i="1"/>
  <c r="AX91" i="1"/>
  <c r="AY91" i="1"/>
  <c r="AZ91" i="1"/>
  <c r="BA91" i="1"/>
  <c r="BB91" i="1"/>
  <c r="AK92" i="1"/>
  <c r="AL92" i="1"/>
  <c r="AM92" i="1"/>
  <c r="AN92" i="1"/>
  <c r="AW92" i="1"/>
  <c r="AX92" i="1"/>
  <c r="AY92" i="1"/>
  <c r="AZ92" i="1"/>
  <c r="BA92" i="1"/>
  <c r="BB92" i="1"/>
  <c r="AI93" i="1"/>
  <c r="AK93" i="1"/>
  <c r="AL93" i="1"/>
  <c r="AM93" i="1"/>
  <c r="AN93" i="1"/>
  <c r="AP93" i="1" s="1"/>
  <c r="AW93" i="1"/>
  <c r="AX93" i="1"/>
  <c r="AY93" i="1"/>
  <c r="AZ93" i="1"/>
  <c r="BA93" i="1"/>
  <c r="BB93" i="1"/>
  <c r="AK94" i="1"/>
  <c r="AL94" i="1"/>
  <c r="AM94" i="1"/>
  <c r="AN94" i="1"/>
  <c r="AO94" i="1" s="1"/>
  <c r="AW94" i="1"/>
  <c r="AX94" i="1"/>
  <c r="AY94" i="1"/>
  <c r="AZ94" i="1"/>
  <c r="BA94" i="1"/>
  <c r="BB94" i="1"/>
  <c r="AK95" i="1"/>
  <c r="AL95" i="1"/>
  <c r="AM95" i="1"/>
  <c r="AN95" i="1"/>
  <c r="AP95" i="1" s="1"/>
  <c r="AO95" i="1"/>
  <c r="AW95" i="1"/>
  <c r="AX95" i="1"/>
  <c r="AY95" i="1"/>
  <c r="AZ95" i="1"/>
  <c r="BA95" i="1"/>
  <c r="BB95" i="1"/>
  <c r="AI96" i="1"/>
  <c r="AK96" i="1"/>
  <c r="AL96" i="1"/>
  <c r="AM96" i="1"/>
  <c r="AN96" i="1"/>
  <c r="AW96" i="1"/>
  <c r="AX96" i="1"/>
  <c r="AY96" i="1"/>
  <c r="AZ96" i="1"/>
  <c r="BA96" i="1"/>
  <c r="BB96" i="1"/>
  <c r="AK97" i="1"/>
  <c r="AL97" i="1"/>
  <c r="AM97" i="1"/>
  <c r="AN97" i="1"/>
  <c r="AO97" i="1" s="1"/>
  <c r="AP97" i="1"/>
  <c r="AW97" i="1"/>
  <c r="AX97" i="1"/>
  <c r="AY97" i="1"/>
  <c r="AZ97" i="1"/>
  <c r="BA97" i="1"/>
  <c r="BB97" i="1"/>
  <c r="AK98" i="1"/>
  <c r="AL98" i="1"/>
  <c r="AM98" i="1"/>
  <c r="AN98" i="1"/>
  <c r="AW98" i="1"/>
  <c r="AX98" i="1"/>
  <c r="AY98" i="1"/>
  <c r="AZ98" i="1"/>
  <c r="BA98" i="1"/>
  <c r="BB98" i="1"/>
  <c r="AI99" i="1"/>
  <c r="AK99" i="1"/>
  <c r="AL99" i="1"/>
  <c r="AM99" i="1"/>
  <c r="AN99" i="1"/>
  <c r="AP99" i="1" s="1"/>
  <c r="AO99" i="1"/>
  <c r="AW99" i="1"/>
  <c r="AX99" i="1"/>
  <c r="AY99" i="1"/>
  <c r="AZ99" i="1"/>
  <c r="BA99" i="1"/>
  <c r="BB99" i="1"/>
  <c r="AK100" i="1"/>
  <c r="AL100" i="1"/>
  <c r="AM100" i="1"/>
  <c r="AN100" i="1"/>
  <c r="AO100" i="1" s="1"/>
  <c r="AW100" i="1"/>
  <c r="AX100" i="1"/>
  <c r="AY100" i="1"/>
  <c r="AZ100" i="1"/>
  <c r="BA100" i="1"/>
  <c r="BB100" i="1"/>
  <c r="AK101" i="1"/>
  <c r="AL101" i="1"/>
  <c r="AM101" i="1"/>
  <c r="AN101" i="1"/>
  <c r="AP101" i="1" s="1"/>
  <c r="AW101" i="1"/>
  <c r="AX101" i="1"/>
  <c r="AY101" i="1"/>
  <c r="AZ101" i="1"/>
  <c r="BA101" i="1"/>
  <c r="BB101" i="1"/>
  <c r="AK102" i="1"/>
  <c r="AL102" i="1"/>
  <c r="AM102" i="1"/>
  <c r="AN102" i="1"/>
  <c r="AO102" i="1" s="1"/>
  <c r="AP102" i="1"/>
  <c r="AW102" i="1"/>
  <c r="AX102" i="1"/>
  <c r="AY102" i="1"/>
  <c r="AZ102" i="1"/>
  <c r="BA102" i="1"/>
  <c r="BB102" i="1"/>
  <c r="AI103" i="1"/>
  <c r="AK103" i="1"/>
  <c r="AL103" i="1"/>
  <c r="AM103" i="1"/>
  <c r="AN103" i="1"/>
  <c r="AW103" i="1"/>
  <c r="AX103" i="1"/>
  <c r="AY103" i="1"/>
  <c r="AZ103" i="1"/>
  <c r="BA103" i="1"/>
  <c r="BB103" i="1"/>
  <c r="AK104" i="1"/>
  <c r="AL104" i="1"/>
  <c r="AM104" i="1"/>
  <c r="AN104" i="1"/>
  <c r="AW104" i="1"/>
  <c r="AX104" i="1"/>
  <c r="AY104" i="1"/>
  <c r="AZ104" i="1"/>
  <c r="BA104" i="1"/>
  <c r="BB104" i="1"/>
  <c r="AK105" i="1"/>
  <c r="AL105" i="1"/>
  <c r="AM105" i="1"/>
  <c r="AN105" i="1"/>
  <c r="AO105" i="1"/>
  <c r="AP105" i="1"/>
  <c r="AW105" i="1"/>
  <c r="AX105" i="1"/>
  <c r="AY105" i="1"/>
  <c r="AZ105" i="1"/>
  <c r="BA105" i="1"/>
  <c r="BB105" i="1"/>
  <c r="AI106" i="1"/>
  <c r="AK106" i="1"/>
  <c r="AL106" i="1"/>
  <c r="AM106" i="1"/>
  <c r="AN106" i="1"/>
  <c r="AW106" i="1"/>
  <c r="AX106" i="1"/>
  <c r="AY106" i="1"/>
  <c r="AZ106" i="1"/>
  <c r="BA106" i="1"/>
  <c r="BB106" i="1"/>
  <c r="AK107" i="1"/>
  <c r="AL107" i="1"/>
  <c r="AM107" i="1"/>
  <c r="AN107" i="1"/>
  <c r="AP107" i="1" s="1"/>
  <c r="AO107" i="1"/>
  <c r="AW107" i="1"/>
  <c r="AX107" i="1"/>
  <c r="AY107" i="1"/>
  <c r="AZ107" i="1"/>
  <c r="BA107" i="1"/>
  <c r="BB107" i="1"/>
  <c r="AK108" i="1"/>
  <c r="AL108" i="1"/>
  <c r="AM108" i="1"/>
  <c r="AN108" i="1"/>
  <c r="AO108" i="1" s="1"/>
  <c r="AP108" i="1"/>
  <c r="AW108" i="1"/>
  <c r="AX108" i="1"/>
  <c r="AY108" i="1"/>
  <c r="AZ108" i="1"/>
  <c r="BA108" i="1"/>
  <c r="BB108" i="1"/>
  <c r="AK109" i="1"/>
  <c r="AL109" i="1"/>
  <c r="AM109" i="1"/>
  <c r="AN109" i="1"/>
  <c r="AP109" i="1" s="1"/>
  <c r="AO109" i="1"/>
  <c r="AW109" i="1"/>
  <c r="AX109" i="1"/>
  <c r="AY109" i="1"/>
  <c r="AZ109" i="1"/>
  <c r="BA109" i="1"/>
  <c r="BB109" i="1"/>
  <c r="AK110" i="1"/>
  <c r="AL110" i="1"/>
  <c r="AM110" i="1"/>
  <c r="AN110" i="1"/>
  <c r="AW110" i="1"/>
  <c r="AX110" i="1"/>
  <c r="AY110" i="1"/>
  <c r="AZ110" i="1"/>
  <c r="BA110" i="1"/>
  <c r="BB110" i="1"/>
  <c r="AK111" i="1"/>
  <c r="AL111" i="1"/>
  <c r="AM111" i="1"/>
  <c r="AN111" i="1"/>
  <c r="AO111" i="1" s="1"/>
  <c r="AP111" i="1"/>
  <c r="AW111" i="1"/>
  <c r="AX111" i="1"/>
  <c r="AY111" i="1"/>
  <c r="AZ111" i="1"/>
  <c r="BA111" i="1"/>
  <c r="BB111" i="1"/>
  <c r="AK112" i="1"/>
  <c r="AL112" i="1"/>
  <c r="AM112" i="1"/>
  <c r="AN112" i="1"/>
  <c r="AW112" i="1"/>
  <c r="AX112" i="1"/>
  <c r="AY112" i="1"/>
  <c r="AZ112" i="1"/>
  <c r="BA112" i="1"/>
  <c r="BB112" i="1"/>
  <c r="AI113" i="1"/>
  <c r="AK113" i="1"/>
  <c r="AL113" i="1"/>
  <c r="AM113" i="1"/>
  <c r="AN113" i="1"/>
  <c r="AP113" i="1" s="1"/>
  <c r="AO113" i="1"/>
  <c r="AW113" i="1"/>
  <c r="AX113" i="1"/>
  <c r="AY113" i="1"/>
  <c r="AZ113" i="1"/>
  <c r="BA113" i="1"/>
  <c r="BB113" i="1"/>
  <c r="AK114" i="1"/>
  <c r="AL114" i="1"/>
  <c r="AM114" i="1"/>
  <c r="AN114" i="1"/>
  <c r="AP114" i="1" s="1"/>
  <c r="AO114" i="1"/>
  <c r="AW114" i="1"/>
  <c r="AX114" i="1"/>
  <c r="AY114" i="1"/>
  <c r="AZ114" i="1"/>
  <c r="BA114" i="1"/>
  <c r="BB114" i="1"/>
  <c r="AK115" i="1"/>
  <c r="AL115" i="1"/>
  <c r="AM115" i="1"/>
  <c r="AN115" i="1"/>
  <c r="AW115" i="1"/>
  <c r="AX115" i="1"/>
  <c r="AY115" i="1"/>
  <c r="AZ115" i="1"/>
  <c r="BA115" i="1"/>
  <c r="BB115" i="1"/>
  <c r="AI116" i="1"/>
  <c r="AK116" i="1"/>
  <c r="AL116" i="1"/>
  <c r="AM116" i="1"/>
  <c r="AN116" i="1"/>
  <c r="AP116" i="1" s="1"/>
  <c r="AW116" i="1"/>
  <c r="AX116" i="1"/>
  <c r="AY116" i="1"/>
  <c r="AZ116" i="1"/>
  <c r="BA116" i="1"/>
  <c r="BB116" i="1"/>
  <c r="AK117" i="1"/>
  <c r="AL117" i="1"/>
  <c r="AM117" i="1"/>
  <c r="AN117" i="1"/>
  <c r="AO117" i="1" s="1"/>
  <c r="AW117" i="1"/>
  <c r="AX117" i="1"/>
  <c r="AY117" i="1"/>
  <c r="AZ117" i="1"/>
  <c r="BA117" i="1"/>
  <c r="BB117" i="1"/>
  <c r="AK118" i="1"/>
  <c r="AL118" i="1"/>
  <c r="AM118" i="1"/>
  <c r="AN118" i="1"/>
  <c r="AW118" i="1"/>
  <c r="AX118" i="1"/>
  <c r="AY118" i="1"/>
  <c r="AZ118" i="1"/>
  <c r="BA118" i="1"/>
  <c r="BB118" i="1"/>
  <c r="AK119" i="1"/>
  <c r="AL119" i="1"/>
  <c r="AM119" i="1"/>
  <c r="AN119" i="1"/>
  <c r="AO119" i="1" s="1"/>
  <c r="AW119" i="1"/>
  <c r="AX119" i="1"/>
  <c r="AY119" i="1"/>
  <c r="AZ119" i="1"/>
  <c r="BA119" i="1"/>
  <c r="BB119" i="1"/>
  <c r="AI120" i="1"/>
  <c r="AK120" i="1"/>
  <c r="AL120" i="1"/>
  <c r="AM120" i="1"/>
  <c r="AN120" i="1"/>
  <c r="AW120" i="1"/>
  <c r="AX120" i="1"/>
  <c r="AY120" i="1"/>
  <c r="AZ120" i="1"/>
  <c r="BA120" i="1"/>
  <c r="BB120" i="1"/>
  <c r="AI121" i="1"/>
  <c r="AK121" i="1"/>
  <c r="AL121" i="1"/>
  <c r="AM121" i="1"/>
  <c r="AN121" i="1"/>
  <c r="AP121" i="1" s="1"/>
  <c r="AO121" i="1"/>
  <c r="AW121" i="1"/>
  <c r="AX121" i="1"/>
  <c r="AY121" i="1"/>
  <c r="AZ121" i="1"/>
  <c r="BA121" i="1"/>
  <c r="BB121" i="1"/>
  <c r="AK122" i="1"/>
  <c r="AL122" i="1"/>
  <c r="AM122" i="1"/>
  <c r="AN122" i="1"/>
  <c r="AO122" i="1" s="1"/>
  <c r="AP122" i="1"/>
  <c r="AW122" i="1"/>
  <c r="AX122" i="1"/>
  <c r="AY122" i="1"/>
  <c r="AZ122" i="1"/>
  <c r="BA122" i="1"/>
  <c r="BB122" i="1"/>
  <c r="AK123" i="1"/>
  <c r="AL123" i="1"/>
  <c r="AM123" i="1"/>
  <c r="AN123" i="1"/>
  <c r="AP123" i="1" s="1"/>
  <c r="AO123" i="1"/>
  <c r="AW123" i="1"/>
  <c r="AX123" i="1"/>
  <c r="AY123" i="1"/>
  <c r="AZ123" i="1"/>
  <c r="BA123" i="1"/>
  <c r="BB123" i="1"/>
  <c r="AK124" i="1"/>
  <c r="AL124" i="1"/>
  <c r="AM124" i="1"/>
  <c r="AN124" i="1"/>
  <c r="AO124" i="1"/>
  <c r="AP124" i="1"/>
  <c r="AW124" i="1"/>
  <c r="AX124" i="1"/>
  <c r="AY124" i="1"/>
  <c r="AZ124" i="1"/>
  <c r="BA124" i="1"/>
  <c r="BB124" i="1"/>
  <c r="AI125" i="1"/>
  <c r="AK125" i="1"/>
  <c r="AL125" i="1"/>
  <c r="AM125" i="1"/>
  <c r="AN125" i="1"/>
  <c r="AO125" i="1" s="1"/>
  <c r="AP125" i="1"/>
  <c r="AW125" i="1"/>
  <c r="AX125" i="1"/>
  <c r="AY125" i="1"/>
  <c r="AZ125" i="1"/>
  <c r="BA125" i="1"/>
  <c r="BB125" i="1"/>
  <c r="AI126" i="1"/>
  <c r="AK126" i="1"/>
  <c r="AL126" i="1"/>
  <c r="AM126" i="1"/>
  <c r="AN126" i="1"/>
  <c r="AW126" i="1"/>
  <c r="AX126" i="1"/>
  <c r="AY126" i="1"/>
  <c r="AZ126" i="1"/>
  <c r="BA126" i="1"/>
  <c r="BB126" i="1"/>
  <c r="AI127" i="1"/>
  <c r="AK127" i="1"/>
  <c r="AL127" i="1"/>
  <c r="AM127" i="1"/>
  <c r="AN127" i="1"/>
  <c r="AP127" i="1" s="1"/>
  <c r="AW127" i="1"/>
  <c r="AX127" i="1"/>
  <c r="AY127" i="1"/>
  <c r="AZ127" i="1"/>
  <c r="BA127" i="1"/>
  <c r="BB127" i="1"/>
  <c r="AI128" i="1"/>
  <c r="AK128" i="1"/>
  <c r="AL128" i="1"/>
  <c r="AM128" i="1"/>
  <c r="AN128" i="1"/>
  <c r="AO128" i="1"/>
  <c r="AP128" i="1"/>
  <c r="AW128" i="1"/>
  <c r="AX128" i="1"/>
  <c r="AY128" i="1"/>
  <c r="AZ128" i="1"/>
  <c r="BA128" i="1"/>
  <c r="BB128" i="1"/>
  <c r="AI129" i="1"/>
  <c r="AK129" i="1"/>
  <c r="AL129" i="1"/>
  <c r="AM129" i="1"/>
  <c r="AN129" i="1"/>
  <c r="AO129" i="1" s="1"/>
  <c r="AP129" i="1"/>
  <c r="AW129" i="1"/>
  <c r="AX129" i="1"/>
  <c r="AY129" i="1"/>
  <c r="AZ129" i="1"/>
  <c r="BA129" i="1"/>
  <c r="BB129" i="1"/>
  <c r="AK130" i="1"/>
  <c r="AL130" i="1"/>
  <c r="AM130" i="1"/>
  <c r="AN130" i="1"/>
  <c r="AP130" i="1" s="1"/>
  <c r="AO130" i="1"/>
  <c r="AW130" i="1"/>
  <c r="AX130" i="1"/>
  <c r="AY130" i="1"/>
  <c r="AZ130" i="1"/>
  <c r="BA130" i="1"/>
  <c r="BB130" i="1"/>
  <c r="AK131" i="1"/>
  <c r="AL131" i="1"/>
  <c r="AM131" i="1"/>
  <c r="AN131" i="1"/>
  <c r="AW131" i="1"/>
  <c r="AX131" i="1"/>
  <c r="AY131" i="1"/>
  <c r="AZ131" i="1"/>
  <c r="BA131" i="1"/>
  <c r="BB131" i="1"/>
  <c r="AK132" i="1"/>
  <c r="AL132" i="1"/>
  <c r="AM132" i="1"/>
  <c r="AN132" i="1"/>
  <c r="AP132" i="1" s="1"/>
  <c r="AO132" i="1"/>
  <c r="AW132" i="1"/>
  <c r="AX132" i="1"/>
  <c r="AY132" i="1"/>
  <c r="AZ132" i="1"/>
  <c r="BA132" i="1"/>
  <c r="BB132" i="1"/>
  <c r="AK133" i="1"/>
  <c r="AL133" i="1"/>
  <c r="AM133" i="1"/>
  <c r="AN133" i="1"/>
  <c r="AO133" i="1" s="1"/>
  <c r="AP133" i="1"/>
  <c r="AW133" i="1"/>
  <c r="AX133" i="1"/>
  <c r="AY133" i="1"/>
  <c r="AZ133" i="1"/>
  <c r="BA133" i="1"/>
  <c r="BB133" i="1"/>
  <c r="AI134" i="1"/>
  <c r="AK134" i="1"/>
  <c r="AL134" i="1"/>
  <c r="AM134" i="1"/>
  <c r="AN134" i="1"/>
  <c r="AW134" i="1"/>
  <c r="AX134" i="1"/>
  <c r="AY134" i="1"/>
  <c r="AZ134" i="1"/>
  <c r="BA134" i="1"/>
  <c r="BB134" i="1"/>
  <c r="AI135" i="1"/>
  <c r="AK135" i="1"/>
  <c r="AL135" i="1"/>
  <c r="AM135" i="1"/>
  <c r="AN135" i="1"/>
  <c r="AP135" i="1" s="1"/>
  <c r="AO135" i="1"/>
  <c r="AW135" i="1"/>
  <c r="AX135" i="1"/>
  <c r="AY135" i="1"/>
  <c r="AZ135" i="1"/>
  <c r="BA135" i="1"/>
  <c r="BB135" i="1"/>
  <c r="AK136" i="1"/>
  <c r="AL136" i="1"/>
  <c r="AM136" i="1"/>
  <c r="AN136" i="1"/>
  <c r="AO136" i="1" s="1"/>
  <c r="AP136" i="1"/>
  <c r="AW136" i="1"/>
  <c r="AX136" i="1"/>
  <c r="AY136" i="1"/>
  <c r="AZ136" i="1"/>
  <c r="BA136" i="1"/>
  <c r="BB136" i="1"/>
  <c r="AK137" i="1"/>
  <c r="AL137" i="1"/>
  <c r="AM137" i="1"/>
  <c r="AN137" i="1"/>
  <c r="AP137" i="1" s="1"/>
  <c r="AW137" i="1"/>
  <c r="AX137" i="1"/>
  <c r="AY137" i="1"/>
  <c r="AZ137" i="1"/>
  <c r="BA137" i="1"/>
  <c r="BB137" i="1"/>
  <c r="AK138" i="1"/>
  <c r="AL138" i="1"/>
  <c r="AM138" i="1"/>
  <c r="AN138" i="1"/>
  <c r="AP138" i="1" s="1"/>
  <c r="AO138" i="1"/>
  <c r="AW138" i="1"/>
  <c r="AX138" i="1"/>
  <c r="AY138" i="1"/>
  <c r="AZ138" i="1"/>
  <c r="BA138" i="1"/>
  <c r="BB138" i="1"/>
  <c r="AK139" i="1"/>
  <c r="AL139" i="1"/>
  <c r="AM139" i="1"/>
  <c r="AN139" i="1"/>
  <c r="AP139" i="1" s="1"/>
  <c r="AO139" i="1"/>
  <c r="AW139" i="1"/>
  <c r="AX139" i="1"/>
  <c r="AY139" i="1"/>
  <c r="AZ139" i="1"/>
  <c r="BA139" i="1"/>
  <c r="BB139" i="1"/>
  <c r="AI140" i="1"/>
  <c r="AK140" i="1"/>
  <c r="AL140" i="1"/>
  <c r="AM140" i="1"/>
  <c r="AN140" i="1"/>
  <c r="AW140" i="1"/>
  <c r="AX140" i="1"/>
  <c r="AY140" i="1"/>
  <c r="AZ140" i="1"/>
  <c r="BA140" i="1"/>
  <c r="BB140" i="1"/>
  <c r="AI141" i="1"/>
  <c r="AK141" i="1"/>
  <c r="AL141" i="1"/>
  <c r="AM141" i="1"/>
  <c r="AN141" i="1"/>
  <c r="AP141" i="1" s="1"/>
  <c r="AO141" i="1"/>
  <c r="AW141" i="1"/>
  <c r="AX141" i="1"/>
  <c r="AY141" i="1"/>
  <c r="AZ141" i="1"/>
  <c r="BA141" i="1"/>
  <c r="BB141" i="1"/>
  <c r="AI142" i="1"/>
  <c r="AK142" i="1"/>
  <c r="AL142" i="1"/>
  <c r="AM142" i="1"/>
  <c r="AN142" i="1"/>
  <c r="AP142" i="1" s="1"/>
  <c r="AO142" i="1"/>
  <c r="AW142" i="1"/>
  <c r="AX142" i="1"/>
  <c r="AY142" i="1"/>
  <c r="AZ142" i="1"/>
  <c r="BA142" i="1"/>
  <c r="BB142" i="1"/>
  <c r="AK143" i="1"/>
  <c r="AL143" i="1"/>
  <c r="AM143" i="1"/>
  <c r="AN143" i="1"/>
  <c r="AO143" i="1"/>
  <c r="AP143" i="1"/>
  <c r="AW143" i="1"/>
  <c r="AX143" i="1"/>
  <c r="AY143" i="1"/>
  <c r="AZ143" i="1"/>
  <c r="BA143" i="1"/>
  <c r="BB143" i="1"/>
  <c r="AI144" i="1"/>
  <c r="AK144" i="1"/>
  <c r="AL144" i="1"/>
  <c r="AM144" i="1"/>
  <c r="AN144" i="1"/>
  <c r="AO144" i="1"/>
  <c r="AP144" i="1"/>
  <c r="AW144" i="1"/>
  <c r="AX144" i="1"/>
  <c r="AY144" i="1"/>
  <c r="AZ144" i="1"/>
  <c r="BA144" i="1"/>
  <c r="BB144" i="1"/>
  <c r="AI145" i="1"/>
  <c r="AK145" i="1"/>
  <c r="AL145" i="1"/>
  <c r="AM145" i="1"/>
  <c r="AN145" i="1"/>
  <c r="AO145" i="1" s="1"/>
  <c r="AW145" i="1"/>
  <c r="AX145" i="1"/>
  <c r="AY145" i="1"/>
  <c r="AZ145" i="1"/>
  <c r="BA145" i="1"/>
  <c r="BB145" i="1"/>
  <c r="AK146" i="1"/>
  <c r="AL146" i="1"/>
  <c r="AM146" i="1"/>
  <c r="AN146" i="1"/>
  <c r="AW146" i="1"/>
  <c r="AX146" i="1"/>
  <c r="AY146" i="1"/>
  <c r="AZ146" i="1"/>
  <c r="BA146" i="1"/>
  <c r="BB146" i="1"/>
  <c r="AK147" i="1"/>
  <c r="AL147" i="1"/>
  <c r="AM147" i="1"/>
  <c r="AN147" i="1"/>
  <c r="AO147" i="1"/>
  <c r="AP147" i="1"/>
  <c r="AW147" i="1"/>
  <c r="AX147" i="1"/>
  <c r="AY147" i="1"/>
  <c r="AZ147" i="1"/>
  <c r="BA147" i="1"/>
  <c r="BB147" i="1"/>
  <c r="AI148" i="1"/>
  <c r="AK148" i="1"/>
  <c r="AL148" i="1"/>
  <c r="AM148" i="1"/>
  <c r="AN148" i="1"/>
  <c r="AW148" i="1"/>
  <c r="AX148" i="1"/>
  <c r="AY148" i="1"/>
  <c r="AZ148" i="1"/>
  <c r="BA148" i="1"/>
  <c r="BB148" i="1"/>
  <c r="AI149" i="1"/>
  <c r="AK149" i="1"/>
  <c r="AL149" i="1"/>
  <c r="AM149" i="1"/>
  <c r="AN149" i="1"/>
  <c r="AP149" i="1" s="1"/>
  <c r="AO149" i="1"/>
  <c r="AW149" i="1"/>
  <c r="AX149" i="1"/>
  <c r="AY149" i="1"/>
  <c r="AZ149" i="1"/>
  <c r="BA149" i="1"/>
  <c r="BB149" i="1"/>
  <c r="AK150" i="1"/>
  <c r="AL150" i="1"/>
  <c r="AM150" i="1"/>
  <c r="AN150" i="1"/>
  <c r="AO150" i="1" s="1"/>
  <c r="AW150" i="1"/>
  <c r="AX150" i="1"/>
  <c r="AY150" i="1"/>
  <c r="AZ150" i="1"/>
  <c r="BA150" i="1"/>
  <c r="BB150" i="1"/>
  <c r="AK151" i="1"/>
  <c r="AL151" i="1"/>
  <c r="AM151" i="1"/>
  <c r="AN151" i="1"/>
  <c r="AP151" i="1" s="1"/>
  <c r="AO151" i="1"/>
  <c r="AW151" i="1"/>
  <c r="AX151" i="1"/>
  <c r="AY151" i="1"/>
  <c r="AZ151" i="1"/>
  <c r="BA151" i="1"/>
  <c r="BB151" i="1"/>
  <c r="AK152" i="1"/>
  <c r="AL152" i="1"/>
  <c r="AM152" i="1"/>
  <c r="AN152" i="1"/>
  <c r="AP152" i="1" s="1"/>
  <c r="AO152" i="1"/>
  <c r="AW152" i="1"/>
  <c r="AX152" i="1"/>
  <c r="AY152" i="1"/>
  <c r="AZ152" i="1"/>
  <c r="BA152" i="1"/>
  <c r="BB152" i="1"/>
  <c r="AK153" i="1"/>
  <c r="AL153" i="1"/>
  <c r="AM153" i="1"/>
  <c r="AN153" i="1"/>
  <c r="AW153" i="1"/>
  <c r="AX153" i="1"/>
  <c r="AY153" i="1"/>
  <c r="AZ153" i="1"/>
  <c r="BA153" i="1"/>
  <c r="BB153" i="1"/>
  <c r="AI154" i="1"/>
  <c r="AK154" i="1"/>
  <c r="AL154" i="1"/>
  <c r="AM154" i="1"/>
  <c r="AN154" i="1"/>
  <c r="AW154" i="1"/>
  <c r="AX154" i="1"/>
  <c r="AY154" i="1"/>
  <c r="AZ154" i="1"/>
  <c r="BA154" i="1"/>
  <c r="BB154" i="1"/>
  <c r="AI155" i="1"/>
  <c r="AK155" i="1"/>
  <c r="AL155" i="1"/>
  <c r="AM155" i="1"/>
  <c r="AN155" i="1"/>
  <c r="AP155" i="1" s="1"/>
  <c r="AW155" i="1"/>
  <c r="AX155" i="1"/>
  <c r="AY155" i="1"/>
  <c r="AZ155" i="1"/>
  <c r="BA155" i="1"/>
  <c r="BB155" i="1"/>
  <c r="AK156" i="1"/>
  <c r="AL156" i="1"/>
  <c r="AM156" i="1"/>
  <c r="AN156" i="1"/>
  <c r="AO156" i="1"/>
  <c r="AP156" i="1"/>
  <c r="AW156" i="1"/>
  <c r="AX156" i="1"/>
  <c r="AY156" i="1"/>
  <c r="AZ156" i="1"/>
  <c r="BA156" i="1"/>
  <c r="BB156" i="1"/>
  <c r="AK157" i="1"/>
  <c r="AL157" i="1"/>
  <c r="AM157" i="1"/>
  <c r="AN157" i="1"/>
  <c r="AO157" i="1" s="1"/>
  <c r="AW157" i="1"/>
  <c r="AX157" i="1"/>
  <c r="AY157" i="1"/>
  <c r="AZ157" i="1"/>
  <c r="BA157" i="1"/>
  <c r="BB157" i="1"/>
  <c r="AK158" i="1"/>
  <c r="AL158" i="1"/>
  <c r="AM158" i="1"/>
  <c r="AN158" i="1"/>
  <c r="AO158" i="1"/>
  <c r="AP158" i="1"/>
  <c r="AW158" i="1"/>
  <c r="AX158" i="1"/>
  <c r="AY158" i="1"/>
  <c r="AZ158" i="1"/>
  <c r="BA158" i="1"/>
  <c r="BB158" i="1"/>
  <c r="AK159" i="1"/>
  <c r="AL159" i="1"/>
  <c r="AM159" i="1"/>
  <c r="AN159" i="1"/>
  <c r="AO159" i="1" s="1"/>
  <c r="AW159" i="1"/>
  <c r="AX159" i="1"/>
  <c r="AY159" i="1"/>
  <c r="AZ159" i="1"/>
  <c r="BA159" i="1"/>
  <c r="BB159" i="1"/>
  <c r="AK160" i="1"/>
  <c r="AL160" i="1"/>
  <c r="AM160" i="1"/>
  <c r="AN160" i="1"/>
  <c r="AW160" i="1"/>
  <c r="AX160" i="1"/>
  <c r="AY160" i="1"/>
  <c r="AZ160" i="1"/>
  <c r="BA160" i="1"/>
  <c r="BB160" i="1"/>
  <c r="AK161" i="1"/>
  <c r="AL161" i="1"/>
  <c r="AM161" i="1"/>
  <c r="AN161" i="1"/>
  <c r="AO161" i="1"/>
  <c r="AP161" i="1"/>
  <c r="AW161" i="1"/>
  <c r="AX161" i="1"/>
  <c r="AY161" i="1"/>
  <c r="AZ161" i="1"/>
  <c r="BA161" i="1"/>
  <c r="BB161" i="1"/>
  <c r="AI162" i="1"/>
  <c r="AK162" i="1"/>
  <c r="AL162" i="1"/>
  <c r="AM162" i="1"/>
  <c r="AN162" i="1"/>
  <c r="AW162" i="1"/>
  <c r="AX162" i="1"/>
  <c r="AY162" i="1"/>
  <c r="AZ162" i="1"/>
  <c r="BA162" i="1"/>
  <c r="BB162" i="1"/>
  <c r="AI163" i="1"/>
  <c r="AK163" i="1"/>
  <c r="AL163" i="1"/>
  <c r="AM163" i="1"/>
  <c r="AN163" i="1"/>
  <c r="AP163" i="1" s="1"/>
  <c r="AO163" i="1"/>
  <c r="AW163" i="1"/>
  <c r="AX163" i="1"/>
  <c r="AY163" i="1"/>
  <c r="AZ163" i="1"/>
  <c r="BA163" i="1"/>
  <c r="BB163" i="1"/>
  <c r="AK164" i="1"/>
  <c r="AL164" i="1"/>
  <c r="AM164" i="1"/>
  <c r="AN164" i="1"/>
  <c r="AO164" i="1" s="1"/>
  <c r="AW164" i="1"/>
  <c r="AX164" i="1"/>
  <c r="AY164" i="1"/>
  <c r="AZ164" i="1"/>
  <c r="BA164" i="1"/>
  <c r="BB164" i="1"/>
  <c r="AI165" i="1"/>
  <c r="AK165" i="1"/>
  <c r="AL165" i="1"/>
  <c r="AM165" i="1"/>
  <c r="AN165" i="1"/>
  <c r="AP165" i="1" s="1"/>
  <c r="AW165" i="1"/>
  <c r="AX165" i="1"/>
  <c r="AY165" i="1"/>
  <c r="AZ165" i="1"/>
  <c r="BA165" i="1"/>
  <c r="BB165" i="1"/>
  <c r="AK166" i="1"/>
  <c r="AL166" i="1"/>
  <c r="AM166" i="1"/>
  <c r="AN166" i="1"/>
  <c r="AP166" i="1" s="1"/>
  <c r="AO166" i="1"/>
  <c r="AW166" i="1"/>
  <c r="AX166" i="1"/>
  <c r="AY166" i="1"/>
  <c r="AZ166" i="1"/>
  <c r="BA166" i="1"/>
  <c r="BB166" i="1"/>
  <c r="AK167" i="1"/>
  <c r="AL167" i="1"/>
  <c r="AM167" i="1"/>
  <c r="AN167" i="1"/>
  <c r="AO167" i="1" s="1"/>
  <c r="AP167" i="1"/>
  <c r="AW167" i="1"/>
  <c r="AX167" i="1"/>
  <c r="AY167" i="1"/>
  <c r="AZ167" i="1"/>
  <c r="BA167" i="1"/>
  <c r="BB167" i="1"/>
  <c r="AI168" i="1"/>
  <c r="AK168" i="1"/>
  <c r="AL168" i="1"/>
  <c r="AM168" i="1"/>
  <c r="AN168" i="1"/>
  <c r="AW168" i="1"/>
  <c r="AX168" i="1"/>
  <c r="AY168" i="1"/>
  <c r="AZ168" i="1"/>
  <c r="BA168" i="1"/>
  <c r="BB168" i="1"/>
  <c r="AI169" i="1"/>
  <c r="AK169" i="1"/>
  <c r="AL169" i="1"/>
  <c r="AM169" i="1"/>
  <c r="AN169" i="1"/>
  <c r="AP169" i="1" s="1"/>
  <c r="AW169" i="1"/>
  <c r="AX169" i="1"/>
  <c r="AY169" i="1"/>
  <c r="AZ169" i="1"/>
  <c r="BA169" i="1"/>
  <c r="BB169" i="1"/>
  <c r="AK170" i="1"/>
  <c r="AL170" i="1"/>
  <c r="AM170" i="1"/>
  <c r="AN170" i="1"/>
  <c r="AP170" i="1" s="1"/>
  <c r="AO170" i="1"/>
  <c r="AW170" i="1"/>
  <c r="AX170" i="1"/>
  <c r="AY170" i="1"/>
  <c r="AZ170" i="1"/>
  <c r="BA170" i="1"/>
  <c r="BB170" i="1"/>
  <c r="AK171" i="1"/>
  <c r="AL171" i="1"/>
  <c r="AM171" i="1"/>
  <c r="AN171" i="1"/>
  <c r="AP171" i="1" s="1"/>
  <c r="AO171" i="1"/>
  <c r="AW171" i="1"/>
  <c r="AX171" i="1"/>
  <c r="AY171" i="1"/>
  <c r="AZ171" i="1"/>
  <c r="BA171" i="1"/>
  <c r="BB171" i="1"/>
  <c r="AK172" i="1"/>
  <c r="AL172" i="1"/>
  <c r="AM172" i="1"/>
  <c r="AN172" i="1"/>
  <c r="AO172" i="1"/>
  <c r="AP172" i="1"/>
  <c r="AW172" i="1"/>
  <c r="AX172" i="1"/>
  <c r="AY172" i="1"/>
  <c r="AZ172" i="1"/>
  <c r="BA172" i="1"/>
  <c r="BB172" i="1"/>
  <c r="AI173" i="1"/>
  <c r="AK173" i="1"/>
  <c r="AL173" i="1"/>
  <c r="AM173" i="1"/>
  <c r="AN173" i="1"/>
  <c r="AO173" i="1" s="1"/>
  <c r="AP173" i="1"/>
  <c r="AW173" i="1"/>
  <c r="AX173" i="1"/>
  <c r="AY173" i="1"/>
  <c r="AZ173" i="1"/>
  <c r="BA173" i="1"/>
  <c r="BB173" i="1"/>
  <c r="AK174" i="1"/>
  <c r="AL174" i="1"/>
  <c r="AM174" i="1"/>
  <c r="AN174" i="1"/>
  <c r="AW174" i="1"/>
  <c r="AX174" i="1"/>
  <c r="AY174" i="1"/>
  <c r="AZ174" i="1"/>
  <c r="BA174" i="1"/>
  <c r="BB174" i="1"/>
  <c r="AK175" i="1"/>
  <c r="AL175" i="1"/>
  <c r="AM175" i="1"/>
  <c r="AN175" i="1"/>
  <c r="AO175" i="1" s="1"/>
  <c r="AP175" i="1"/>
  <c r="AW175" i="1"/>
  <c r="AX175" i="1"/>
  <c r="AY175" i="1"/>
  <c r="AZ175" i="1"/>
  <c r="BA175" i="1"/>
  <c r="BB175" i="1"/>
  <c r="AI176" i="1"/>
  <c r="AK176" i="1"/>
  <c r="AL176" i="1"/>
  <c r="AM176" i="1"/>
  <c r="AN176" i="1"/>
  <c r="AW176" i="1"/>
  <c r="AX176" i="1"/>
  <c r="AY176" i="1"/>
  <c r="AZ176" i="1"/>
  <c r="BA176" i="1"/>
  <c r="BB176" i="1"/>
  <c r="AI177" i="1"/>
  <c r="AK177" i="1"/>
  <c r="AL177" i="1"/>
  <c r="AM177" i="1"/>
  <c r="AN177" i="1"/>
  <c r="AP177" i="1" s="1"/>
  <c r="AW177" i="1"/>
  <c r="AX177" i="1"/>
  <c r="AY177" i="1"/>
  <c r="AZ177" i="1"/>
  <c r="BA177" i="1"/>
  <c r="BB177" i="1"/>
  <c r="AK178" i="1"/>
  <c r="AL178" i="1"/>
  <c r="AM178" i="1"/>
  <c r="AN178" i="1"/>
  <c r="AO178" i="1" s="1"/>
  <c r="AW178" i="1"/>
  <c r="AX178" i="1"/>
  <c r="AY178" i="1"/>
  <c r="AZ178" i="1"/>
  <c r="BA178" i="1"/>
  <c r="BB178" i="1"/>
  <c r="AK179" i="1"/>
  <c r="AL179" i="1"/>
  <c r="AM179" i="1"/>
  <c r="AN179" i="1"/>
  <c r="AP179" i="1" s="1"/>
  <c r="AO179" i="1"/>
  <c r="AW179" i="1"/>
  <c r="AX179" i="1"/>
  <c r="AY179" i="1"/>
  <c r="AZ179" i="1"/>
  <c r="BA179" i="1"/>
  <c r="BB179" i="1"/>
  <c r="AK180" i="1"/>
  <c r="AL180" i="1"/>
  <c r="AM180" i="1"/>
  <c r="AN180" i="1"/>
  <c r="AO180" i="1"/>
  <c r="AP180" i="1"/>
  <c r="AW180" i="1"/>
  <c r="AX180" i="1"/>
  <c r="AY180" i="1"/>
  <c r="AZ180" i="1"/>
  <c r="BA180" i="1"/>
  <c r="BB180" i="1"/>
  <c r="AI181" i="1"/>
  <c r="AK181" i="1"/>
  <c r="AL181" i="1"/>
  <c r="AM181" i="1"/>
  <c r="AN181" i="1"/>
  <c r="AW181" i="1"/>
  <c r="AX181" i="1"/>
  <c r="AY181" i="1"/>
  <c r="AZ181" i="1"/>
  <c r="BA181" i="1"/>
  <c r="BB181" i="1"/>
  <c r="AK182" i="1"/>
  <c r="AL182" i="1"/>
  <c r="AM182" i="1"/>
  <c r="AN182" i="1"/>
  <c r="AW182" i="1"/>
  <c r="AX182" i="1"/>
  <c r="AY182" i="1"/>
  <c r="AZ182" i="1"/>
  <c r="BA182" i="1"/>
  <c r="BB182" i="1"/>
  <c r="AK183" i="1"/>
  <c r="AL183" i="1"/>
  <c r="AM183" i="1"/>
  <c r="AN183" i="1"/>
  <c r="AP183" i="1" s="1"/>
  <c r="AO183" i="1"/>
  <c r="AW183" i="1"/>
  <c r="AX183" i="1"/>
  <c r="AY183" i="1"/>
  <c r="AZ183" i="1"/>
  <c r="BA183" i="1"/>
  <c r="BB183" i="1"/>
  <c r="AI184" i="1"/>
  <c r="AK184" i="1"/>
  <c r="AL184" i="1"/>
  <c r="AM184" i="1"/>
  <c r="AN184" i="1"/>
  <c r="AO184" i="1" s="1"/>
  <c r="AP184" i="1"/>
  <c r="AW184" i="1"/>
  <c r="AX184" i="1"/>
  <c r="AY184" i="1"/>
  <c r="AZ184" i="1"/>
  <c r="BA184" i="1"/>
  <c r="BB184" i="1"/>
  <c r="AI185" i="1"/>
  <c r="AK185" i="1"/>
  <c r="AL185" i="1"/>
  <c r="AM185" i="1"/>
  <c r="AN185" i="1"/>
  <c r="AW185" i="1"/>
  <c r="AX185" i="1"/>
  <c r="AY185" i="1"/>
  <c r="AZ185" i="1"/>
  <c r="BA185" i="1"/>
  <c r="BB185" i="1"/>
  <c r="AK186" i="1"/>
  <c r="AL186" i="1"/>
  <c r="AM186" i="1"/>
  <c r="AN186" i="1"/>
  <c r="AO186" i="1"/>
  <c r="AP186" i="1"/>
  <c r="AW186" i="1"/>
  <c r="AX186" i="1"/>
  <c r="AY186" i="1"/>
  <c r="AZ186" i="1"/>
  <c r="BA186" i="1"/>
  <c r="BB186" i="1"/>
  <c r="AK187" i="1"/>
  <c r="AL187" i="1"/>
  <c r="AM187" i="1"/>
  <c r="AN187" i="1"/>
  <c r="AO187" i="1" s="1"/>
  <c r="AW187" i="1"/>
  <c r="AX187" i="1"/>
  <c r="AY187" i="1"/>
  <c r="AZ187" i="1"/>
  <c r="BA187" i="1"/>
  <c r="BB187" i="1"/>
  <c r="AK188" i="1"/>
  <c r="AL188" i="1"/>
  <c r="AM188" i="1"/>
  <c r="AN188" i="1"/>
  <c r="AP188" i="1" s="1"/>
  <c r="AO188" i="1"/>
  <c r="AW188" i="1"/>
  <c r="AX188" i="1"/>
  <c r="AY188" i="1"/>
  <c r="AZ188" i="1"/>
  <c r="BA188" i="1"/>
  <c r="BB188" i="1"/>
  <c r="AK189" i="1"/>
  <c r="AL189" i="1"/>
  <c r="AM189" i="1"/>
  <c r="AN189" i="1"/>
  <c r="AW189" i="1"/>
  <c r="AX189" i="1"/>
  <c r="AY189" i="1"/>
  <c r="AZ189" i="1"/>
  <c r="BA189" i="1"/>
  <c r="BB189" i="1"/>
  <c r="AK190" i="1"/>
  <c r="AL190" i="1"/>
  <c r="AM190" i="1"/>
  <c r="AN190" i="1"/>
  <c r="AW190" i="1"/>
  <c r="AX190" i="1"/>
  <c r="AY190" i="1"/>
  <c r="AZ190" i="1"/>
  <c r="BA190" i="1"/>
  <c r="BB190" i="1"/>
  <c r="AK191" i="1"/>
  <c r="AL191" i="1"/>
  <c r="AM191" i="1"/>
  <c r="AN191" i="1"/>
  <c r="AP191" i="1" s="1"/>
  <c r="AO191" i="1"/>
  <c r="AW191" i="1"/>
  <c r="AX191" i="1"/>
  <c r="AY191" i="1"/>
  <c r="AZ191" i="1"/>
  <c r="BA191" i="1"/>
  <c r="BB191" i="1"/>
  <c r="AK192" i="1"/>
  <c r="AL192" i="1"/>
  <c r="AM192" i="1"/>
  <c r="AN192" i="1"/>
  <c r="AO192" i="1" s="1"/>
  <c r="AW192" i="1"/>
  <c r="AX192" i="1"/>
  <c r="AY192" i="1"/>
  <c r="AZ192" i="1"/>
  <c r="BA192" i="1"/>
  <c r="BB192" i="1"/>
  <c r="AK193" i="1"/>
  <c r="AL193" i="1"/>
  <c r="AM193" i="1"/>
  <c r="AN193" i="1"/>
  <c r="AP193" i="1" s="1"/>
  <c r="AO193" i="1"/>
  <c r="AW193" i="1"/>
  <c r="AX193" i="1"/>
  <c r="AY193" i="1"/>
  <c r="AZ193" i="1"/>
  <c r="BA193" i="1"/>
  <c r="BB193" i="1"/>
  <c r="AI194" i="1"/>
  <c r="AK194" i="1"/>
  <c r="AL194" i="1"/>
  <c r="AM194" i="1"/>
  <c r="AN194" i="1"/>
  <c r="AP194" i="1" s="1"/>
  <c r="AO194" i="1"/>
  <c r="AW194" i="1"/>
  <c r="AX194" i="1"/>
  <c r="AY194" i="1"/>
  <c r="AZ194" i="1"/>
  <c r="BA194" i="1"/>
  <c r="BB194" i="1"/>
  <c r="AK195" i="1"/>
  <c r="AL195" i="1"/>
  <c r="AM195" i="1"/>
  <c r="AN195" i="1"/>
  <c r="AO195" i="1" s="1"/>
  <c r="AP195" i="1"/>
  <c r="AW195" i="1"/>
  <c r="AX195" i="1"/>
  <c r="AY195" i="1"/>
  <c r="AZ195" i="1"/>
  <c r="BA195" i="1"/>
  <c r="BB195" i="1"/>
  <c r="AI196" i="1"/>
  <c r="AK196" i="1"/>
  <c r="AL196" i="1"/>
  <c r="AM196" i="1"/>
  <c r="AN196" i="1"/>
  <c r="AW196" i="1"/>
  <c r="AX196" i="1"/>
  <c r="AY196" i="1"/>
  <c r="AZ196" i="1"/>
  <c r="BA196" i="1"/>
  <c r="BB196" i="1"/>
  <c r="AK197" i="1"/>
  <c r="AL197" i="1"/>
  <c r="AM197" i="1"/>
  <c r="AN197" i="1"/>
  <c r="AP197" i="1" s="1"/>
  <c r="AO197" i="1"/>
  <c r="AW197" i="1"/>
  <c r="AX197" i="1"/>
  <c r="AY197" i="1"/>
  <c r="AZ197" i="1"/>
  <c r="BA197" i="1"/>
  <c r="BB197" i="1"/>
  <c r="AI198" i="1"/>
  <c r="AK198" i="1"/>
  <c r="AL198" i="1"/>
  <c r="AM198" i="1"/>
  <c r="AN198" i="1"/>
  <c r="AP198" i="1" s="1"/>
  <c r="AW198" i="1"/>
  <c r="AX198" i="1"/>
  <c r="AY198" i="1"/>
  <c r="AZ198" i="1"/>
  <c r="BA198" i="1"/>
  <c r="BB198" i="1"/>
  <c r="AK199" i="1"/>
  <c r="AL199" i="1"/>
  <c r="AM199" i="1"/>
  <c r="AN199" i="1"/>
  <c r="AO199" i="1" s="1"/>
  <c r="AW199" i="1"/>
  <c r="AX199" i="1"/>
  <c r="AY199" i="1"/>
  <c r="AZ199" i="1"/>
  <c r="BA199" i="1"/>
  <c r="BB199" i="1"/>
  <c r="AK200" i="1"/>
  <c r="AL200" i="1"/>
  <c r="AM200" i="1"/>
  <c r="AN200" i="1"/>
  <c r="AO200" i="1"/>
  <c r="AP200" i="1"/>
  <c r="AW200" i="1"/>
  <c r="AX200" i="1"/>
  <c r="AY200" i="1"/>
  <c r="AZ200" i="1"/>
  <c r="BA200" i="1"/>
  <c r="BB200" i="1"/>
  <c r="AK201" i="1"/>
  <c r="AL201" i="1"/>
  <c r="AM201" i="1"/>
  <c r="AN201" i="1"/>
  <c r="AW201" i="1"/>
  <c r="AX201" i="1"/>
  <c r="AY201" i="1"/>
  <c r="AZ201" i="1"/>
  <c r="BA201" i="1"/>
  <c r="BB201" i="1"/>
  <c r="AK202" i="1"/>
  <c r="AL202" i="1"/>
  <c r="AM202" i="1"/>
  <c r="AN202" i="1"/>
  <c r="AP202" i="1" s="1"/>
  <c r="AO202" i="1"/>
  <c r="AW202" i="1"/>
  <c r="AX202" i="1"/>
  <c r="AY202" i="1"/>
  <c r="AZ202" i="1"/>
  <c r="BA202" i="1"/>
  <c r="BB202" i="1"/>
  <c r="AK203" i="1"/>
  <c r="AL203" i="1"/>
  <c r="AM203" i="1"/>
  <c r="AN203" i="1"/>
  <c r="AO203" i="1"/>
  <c r="AP203" i="1"/>
  <c r="AW203" i="1"/>
  <c r="AX203" i="1"/>
  <c r="AY203" i="1"/>
  <c r="AZ203" i="1"/>
  <c r="BA203" i="1"/>
  <c r="BB203" i="1"/>
  <c r="AI204" i="1"/>
  <c r="AK204" i="1"/>
  <c r="AL204" i="1"/>
  <c r="AM204" i="1"/>
  <c r="AN204" i="1"/>
  <c r="AW204" i="1"/>
  <c r="AX204" i="1"/>
  <c r="AY204" i="1"/>
  <c r="AZ204" i="1"/>
  <c r="BA204" i="1"/>
  <c r="BB204" i="1"/>
  <c r="AI205" i="1"/>
  <c r="AK205" i="1"/>
  <c r="AL205" i="1"/>
  <c r="AM205" i="1"/>
  <c r="AN205" i="1"/>
  <c r="AP205" i="1" s="1"/>
  <c r="AO205" i="1"/>
  <c r="AW205" i="1"/>
  <c r="AX205" i="1"/>
  <c r="AY205" i="1"/>
  <c r="AZ205" i="1"/>
  <c r="BA205" i="1"/>
  <c r="BB205" i="1"/>
  <c r="AI206" i="1"/>
  <c r="AK206" i="1"/>
  <c r="AL206" i="1"/>
  <c r="AM206" i="1"/>
  <c r="AN206" i="1"/>
  <c r="AO206" i="1" s="1"/>
  <c r="AW206" i="1"/>
  <c r="AX206" i="1"/>
  <c r="AY206" i="1"/>
  <c r="AZ206" i="1"/>
  <c r="BA206" i="1"/>
  <c r="BB206" i="1"/>
  <c r="AK207" i="1"/>
  <c r="AL207" i="1"/>
  <c r="AM207" i="1"/>
  <c r="AN207" i="1"/>
  <c r="AP207" i="1" s="1"/>
  <c r="AW207" i="1"/>
  <c r="AX207" i="1"/>
  <c r="AY207" i="1"/>
  <c r="AZ207" i="1"/>
  <c r="BA207" i="1"/>
  <c r="BB207" i="1"/>
  <c r="AK208" i="1"/>
  <c r="AL208" i="1"/>
  <c r="AM208" i="1"/>
  <c r="AN208" i="1"/>
  <c r="AO208" i="1" s="1"/>
  <c r="AW208" i="1"/>
  <c r="AX208" i="1"/>
  <c r="AY208" i="1"/>
  <c r="AZ208" i="1"/>
  <c r="BA208" i="1"/>
  <c r="BB208" i="1"/>
  <c r="AI209" i="1"/>
  <c r="AK209" i="1"/>
  <c r="AL209" i="1"/>
  <c r="AM209" i="1"/>
  <c r="AN209" i="1"/>
  <c r="AO209" i="1"/>
  <c r="AP209" i="1"/>
  <c r="AW209" i="1"/>
  <c r="AX209" i="1"/>
  <c r="AY209" i="1"/>
  <c r="AZ209" i="1"/>
  <c r="BA209" i="1"/>
  <c r="BB209" i="1"/>
  <c r="AK210" i="1"/>
  <c r="AL210" i="1"/>
  <c r="AM210" i="1"/>
  <c r="AN210" i="1"/>
  <c r="AW210" i="1"/>
  <c r="AX210" i="1"/>
  <c r="AY210" i="1"/>
  <c r="AZ210" i="1"/>
  <c r="BA210" i="1"/>
  <c r="BB210" i="1"/>
  <c r="AI211" i="1"/>
  <c r="AK211" i="1"/>
  <c r="AL211" i="1"/>
  <c r="AM211" i="1"/>
  <c r="AN211" i="1"/>
  <c r="AW211" i="1"/>
  <c r="AX211" i="1"/>
  <c r="AY211" i="1"/>
  <c r="AZ211" i="1"/>
  <c r="BA211" i="1"/>
  <c r="BB211" i="1"/>
  <c r="AK212" i="1"/>
  <c r="AL212" i="1"/>
  <c r="AM212" i="1"/>
  <c r="AN212" i="1"/>
  <c r="AP212" i="1" s="1"/>
  <c r="AO212" i="1"/>
  <c r="AW212" i="1"/>
  <c r="AX212" i="1"/>
  <c r="AY212" i="1"/>
  <c r="AZ212" i="1"/>
  <c r="BA212" i="1"/>
  <c r="BB212" i="1"/>
  <c r="AI213" i="1"/>
  <c r="AK213" i="1"/>
  <c r="AL213" i="1"/>
  <c r="AM213" i="1"/>
  <c r="AN213" i="1"/>
  <c r="AO213" i="1"/>
  <c r="AP213" i="1"/>
  <c r="AW213" i="1"/>
  <c r="AX213" i="1"/>
  <c r="AY213" i="1"/>
  <c r="AZ213" i="1"/>
  <c r="BA213" i="1"/>
  <c r="BB213" i="1"/>
  <c r="AI214" i="1"/>
  <c r="AK214" i="1"/>
  <c r="AL214" i="1"/>
  <c r="AM214" i="1"/>
  <c r="AN214" i="1"/>
  <c r="AO214" i="1" s="1"/>
  <c r="AP214" i="1"/>
  <c r="AW214" i="1"/>
  <c r="AX214" i="1"/>
  <c r="AY214" i="1"/>
  <c r="AZ214" i="1"/>
  <c r="BA214" i="1"/>
  <c r="BB214" i="1"/>
  <c r="AI215" i="1"/>
  <c r="AK215" i="1"/>
  <c r="AL215" i="1"/>
  <c r="AM215" i="1"/>
  <c r="AN215" i="1"/>
  <c r="AO215" i="1" s="1"/>
  <c r="AW215" i="1"/>
  <c r="AX215" i="1"/>
  <c r="AY215" i="1"/>
  <c r="AZ215" i="1"/>
  <c r="BA215" i="1"/>
  <c r="BB215" i="1"/>
  <c r="AK216" i="1"/>
  <c r="AL216" i="1"/>
  <c r="AM216" i="1"/>
  <c r="AN216" i="1"/>
  <c r="AP216" i="1" s="1"/>
  <c r="AO216" i="1"/>
  <c r="AW216" i="1"/>
  <c r="AX216" i="1"/>
  <c r="AY216" i="1"/>
  <c r="AZ216" i="1"/>
  <c r="BA216" i="1"/>
  <c r="BB216" i="1"/>
  <c r="AI217" i="1"/>
  <c r="AK217" i="1"/>
  <c r="AL217" i="1"/>
  <c r="AM217" i="1"/>
  <c r="AN217" i="1"/>
  <c r="AO217" i="1"/>
  <c r="AP217" i="1"/>
  <c r="AW217" i="1"/>
  <c r="AX217" i="1"/>
  <c r="AY217" i="1"/>
  <c r="AZ217" i="1"/>
  <c r="BA217" i="1"/>
  <c r="BB217" i="1"/>
  <c r="AI218" i="1"/>
  <c r="AK218" i="1"/>
  <c r="AL218" i="1"/>
  <c r="AM218" i="1"/>
  <c r="AN218" i="1"/>
  <c r="AW218" i="1"/>
  <c r="AX218" i="1"/>
  <c r="AY218" i="1"/>
  <c r="AZ218" i="1"/>
  <c r="BA218" i="1"/>
  <c r="BB218" i="1"/>
  <c r="AI219" i="1"/>
  <c r="AK219" i="1"/>
  <c r="AL219" i="1"/>
  <c r="AM219" i="1"/>
  <c r="AN219" i="1"/>
  <c r="AW219" i="1"/>
  <c r="AX219" i="1"/>
  <c r="AY219" i="1"/>
  <c r="AZ219" i="1"/>
  <c r="BA219" i="1"/>
  <c r="BB219" i="1"/>
  <c r="AK220" i="1"/>
  <c r="AL220" i="1"/>
  <c r="AM220" i="1"/>
  <c r="AN220" i="1"/>
  <c r="AO220" i="1" s="1"/>
  <c r="AP220" i="1"/>
  <c r="AW220" i="1"/>
  <c r="AX220" i="1"/>
  <c r="AY220" i="1"/>
  <c r="AZ220" i="1"/>
  <c r="BA220" i="1"/>
  <c r="BB220" i="1"/>
  <c r="AK221" i="1"/>
  <c r="AL221" i="1"/>
  <c r="AM221" i="1"/>
  <c r="AN221" i="1"/>
  <c r="AP221" i="1" s="1"/>
  <c r="AW221" i="1"/>
  <c r="AX221" i="1"/>
  <c r="AY221" i="1"/>
  <c r="AZ221" i="1"/>
  <c r="BA221" i="1"/>
  <c r="BB221" i="1"/>
  <c r="AK222" i="1"/>
  <c r="AL222" i="1"/>
  <c r="AM222" i="1"/>
  <c r="AN222" i="1"/>
  <c r="AO222" i="1"/>
  <c r="AP222" i="1"/>
  <c r="AW222" i="1"/>
  <c r="AX222" i="1"/>
  <c r="AY222" i="1"/>
  <c r="AZ222" i="1"/>
  <c r="BA222" i="1"/>
  <c r="BB222" i="1"/>
  <c r="AK223" i="1"/>
  <c r="AL223" i="1"/>
  <c r="AM223" i="1"/>
  <c r="AN223" i="1"/>
  <c r="AO223" i="1" s="1"/>
  <c r="AP223" i="1"/>
  <c r="AW223" i="1"/>
  <c r="AX223" i="1"/>
  <c r="AY223" i="1"/>
  <c r="AZ223" i="1"/>
  <c r="BA223" i="1"/>
  <c r="BB223" i="1"/>
  <c r="AI224" i="1"/>
  <c r="AK224" i="1"/>
  <c r="AL224" i="1"/>
  <c r="AM224" i="1"/>
  <c r="AN224" i="1"/>
  <c r="AW224" i="1"/>
  <c r="AX224" i="1"/>
  <c r="AY224" i="1"/>
  <c r="AZ224" i="1"/>
  <c r="BA224" i="1"/>
  <c r="BB224" i="1"/>
  <c r="AI225" i="1"/>
  <c r="AK225" i="1"/>
  <c r="AL225" i="1"/>
  <c r="AM225" i="1"/>
  <c r="AN225" i="1"/>
  <c r="AP225" i="1" s="1"/>
  <c r="AO225" i="1"/>
  <c r="AW225" i="1"/>
  <c r="AX225" i="1"/>
  <c r="AY225" i="1"/>
  <c r="AZ225" i="1"/>
  <c r="BA225" i="1"/>
  <c r="BB225" i="1"/>
  <c r="AK226" i="1"/>
  <c r="AL226" i="1"/>
  <c r="AM226" i="1"/>
  <c r="AN226" i="1"/>
  <c r="AP226" i="1" s="1"/>
  <c r="AO226" i="1"/>
  <c r="AW226" i="1"/>
  <c r="AX226" i="1"/>
  <c r="AY226" i="1"/>
  <c r="AZ226" i="1"/>
  <c r="BA226" i="1"/>
  <c r="BB226" i="1"/>
  <c r="AK227" i="1"/>
  <c r="AL227" i="1"/>
  <c r="AM227" i="1"/>
  <c r="AN227" i="1"/>
  <c r="AW227" i="1"/>
  <c r="AX227" i="1"/>
  <c r="AY227" i="1"/>
  <c r="AZ227" i="1"/>
  <c r="BA227" i="1"/>
  <c r="BB227" i="1"/>
  <c r="AK228" i="1"/>
  <c r="AL228" i="1"/>
  <c r="AM228" i="1"/>
  <c r="AN228" i="1"/>
  <c r="AO228" i="1" s="1"/>
  <c r="AP228" i="1"/>
  <c r="AW228" i="1"/>
  <c r="AX228" i="1"/>
  <c r="AY228" i="1"/>
  <c r="AZ228" i="1"/>
  <c r="BA228" i="1"/>
  <c r="BB228" i="1"/>
  <c r="AI229" i="1"/>
  <c r="AK229" i="1"/>
  <c r="AL229" i="1"/>
  <c r="AM229" i="1"/>
  <c r="AN229" i="1"/>
  <c r="AO229" i="1" s="1"/>
  <c r="AP229" i="1"/>
  <c r="AW229" i="1"/>
  <c r="AX229" i="1"/>
  <c r="AY229" i="1"/>
  <c r="AZ229" i="1"/>
  <c r="BA229" i="1"/>
  <c r="BB229" i="1"/>
  <c r="AI230" i="1"/>
  <c r="AK230" i="1"/>
  <c r="AL230" i="1"/>
  <c r="AM230" i="1"/>
  <c r="AN230" i="1"/>
  <c r="AW230" i="1"/>
  <c r="AX230" i="1"/>
  <c r="AY230" i="1"/>
  <c r="AZ230" i="1"/>
  <c r="BA230" i="1"/>
  <c r="BB230" i="1"/>
  <c r="AK231" i="1"/>
  <c r="AL231" i="1"/>
  <c r="AM231" i="1"/>
  <c r="AN231" i="1"/>
  <c r="AO231" i="1" s="1"/>
  <c r="AW231" i="1"/>
  <c r="AX231" i="1"/>
  <c r="AY231" i="1"/>
  <c r="AZ231" i="1"/>
  <c r="BA231" i="1"/>
  <c r="BB231" i="1"/>
  <c r="AI232" i="1"/>
  <c r="AK232" i="1"/>
  <c r="AL232" i="1"/>
  <c r="AM232" i="1"/>
  <c r="AN232" i="1"/>
  <c r="AW232" i="1"/>
  <c r="AX232" i="1"/>
  <c r="AY232" i="1"/>
  <c r="AZ232" i="1"/>
  <c r="BA232" i="1"/>
  <c r="BB232" i="1"/>
  <c r="AI233" i="1"/>
  <c r="AK233" i="1"/>
  <c r="AL233" i="1"/>
  <c r="AM233" i="1"/>
  <c r="AN233" i="1"/>
  <c r="AP233" i="1" s="1"/>
  <c r="AO233" i="1"/>
  <c r="AW233" i="1"/>
  <c r="AX233" i="1"/>
  <c r="AY233" i="1"/>
  <c r="AZ233" i="1"/>
  <c r="BA233" i="1"/>
  <c r="BB233" i="1"/>
  <c r="AK234" i="1"/>
  <c r="AL234" i="1"/>
  <c r="AM234" i="1"/>
  <c r="AN234" i="1"/>
  <c r="AO234" i="1" s="1"/>
  <c r="AP234" i="1"/>
  <c r="AW234" i="1"/>
  <c r="AX234" i="1"/>
  <c r="AY234" i="1"/>
  <c r="AZ234" i="1"/>
  <c r="BA234" i="1"/>
  <c r="BB234" i="1"/>
  <c r="AK235" i="1"/>
  <c r="AL235" i="1"/>
  <c r="AM235" i="1"/>
  <c r="AN235" i="1"/>
  <c r="AP235" i="1" s="1"/>
  <c r="AW235" i="1"/>
  <c r="AX235" i="1"/>
  <c r="AY235" i="1"/>
  <c r="AZ235" i="1"/>
  <c r="BA235" i="1"/>
  <c r="BB235" i="1"/>
  <c r="AK236" i="1"/>
  <c r="AL236" i="1"/>
  <c r="AM236" i="1"/>
  <c r="AN236" i="1"/>
  <c r="AO236" i="1" s="1"/>
  <c r="AP236" i="1"/>
  <c r="AW236" i="1"/>
  <c r="AX236" i="1"/>
  <c r="AY236" i="1"/>
  <c r="AZ236" i="1"/>
  <c r="BA236" i="1"/>
  <c r="BB236" i="1"/>
  <c r="AI237" i="1"/>
  <c r="AK237" i="1"/>
  <c r="AL237" i="1"/>
  <c r="AM237" i="1"/>
  <c r="AN237" i="1"/>
  <c r="AW237" i="1"/>
  <c r="AX237" i="1"/>
  <c r="AY237" i="1"/>
  <c r="AZ237" i="1"/>
  <c r="BA237" i="1"/>
  <c r="BB237" i="1"/>
  <c r="AK238" i="1"/>
  <c r="AL238" i="1"/>
  <c r="AM238" i="1"/>
  <c r="AN238" i="1"/>
  <c r="AW238" i="1"/>
  <c r="AX238" i="1"/>
  <c r="AY238" i="1"/>
  <c r="AZ238" i="1"/>
  <c r="BA238" i="1"/>
  <c r="BB238" i="1"/>
  <c r="AI239" i="1"/>
  <c r="AK239" i="1"/>
  <c r="AL239" i="1"/>
  <c r="AM239" i="1"/>
  <c r="AN239" i="1"/>
  <c r="AP239" i="1" s="1"/>
  <c r="AW239" i="1"/>
  <c r="AX239" i="1"/>
  <c r="AY239" i="1"/>
  <c r="AZ239" i="1"/>
  <c r="BA239" i="1"/>
  <c r="BB239" i="1"/>
  <c r="AI240" i="1"/>
  <c r="AK240" i="1"/>
  <c r="AL240" i="1"/>
  <c r="AM240" i="1"/>
  <c r="AN240" i="1"/>
  <c r="AP240" i="1" s="1"/>
  <c r="AO240" i="1"/>
  <c r="AW240" i="1"/>
  <c r="AX240" i="1"/>
  <c r="AY240" i="1"/>
  <c r="AZ240" i="1"/>
  <c r="BA240" i="1"/>
  <c r="BB240" i="1"/>
  <c r="AK241" i="1"/>
  <c r="AL241" i="1"/>
  <c r="AM241" i="1"/>
  <c r="AN241" i="1"/>
  <c r="AP241" i="1" s="1"/>
  <c r="AO241" i="1"/>
  <c r="AW241" i="1"/>
  <c r="AX241" i="1"/>
  <c r="AY241" i="1"/>
  <c r="AZ241" i="1"/>
  <c r="BA241" i="1"/>
  <c r="BB241" i="1"/>
  <c r="AK242" i="1"/>
  <c r="AL242" i="1"/>
  <c r="AM242" i="1"/>
  <c r="AN242" i="1"/>
  <c r="AO242" i="1" s="1"/>
  <c r="AP242" i="1"/>
  <c r="AW242" i="1"/>
  <c r="AX242" i="1"/>
  <c r="AY242" i="1"/>
  <c r="AZ242" i="1"/>
  <c r="BA242" i="1"/>
  <c r="BB242" i="1"/>
  <c r="AI243" i="1"/>
  <c r="AK243" i="1"/>
  <c r="AL243" i="1"/>
  <c r="AM243" i="1"/>
  <c r="AN243" i="1"/>
  <c r="AO243" i="1" s="1"/>
  <c r="AP243" i="1"/>
  <c r="AW243" i="1"/>
  <c r="AX243" i="1"/>
  <c r="AY243" i="1"/>
  <c r="AZ243" i="1"/>
  <c r="BA243" i="1"/>
  <c r="BB243" i="1"/>
  <c r="AI244" i="1"/>
  <c r="AK244" i="1"/>
  <c r="AL244" i="1"/>
  <c r="AM244" i="1"/>
  <c r="AN244" i="1"/>
  <c r="AP244" i="1" s="1"/>
  <c r="AO244" i="1"/>
  <c r="AW244" i="1"/>
  <c r="AX244" i="1"/>
  <c r="AY244" i="1"/>
  <c r="AZ244" i="1"/>
  <c r="BA244" i="1"/>
  <c r="BB244" i="1"/>
  <c r="AK245" i="1"/>
  <c r="AL245" i="1"/>
  <c r="AM245" i="1"/>
  <c r="AN245" i="1"/>
  <c r="AW245" i="1"/>
  <c r="AX245" i="1"/>
  <c r="AY245" i="1"/>
  <c r="AZ245" i="1"/>
  <c r="BA245" i="1"/>
  <c r="BB245" i="1"/>
  <c r="AK246" i="1"/>
  <c r="AL246" i="1"/>
  <c r="AM246" i="1"/>
  <c r="AN246" i="1"/>
  <c r="AW246" i="1"/>
  <c r="AX246" i="1"/>
  <c r="AY246" i="1"/>
  <c r="AZ246" i="1"/>
  <c r="BA246" i="1"/>
  <c r="BB246" i="1"/>
  <c r="AI247" i="1"/>
  <c r="AK247" i="1"/>
  <c r="AL247" i="1"/>
  <c r="AM247" i="1"/>
  <c r="AN247" i="1"/>
  <c r="AP247" i="1" s="1"/>
  <c r="AO247" i="1"/>
  <c r="AW247" i="1"/>
  <c r="AX247" i="1"/>
  <c r="AY247" i="1"/>
  <c r="AZ247" i="1"/>
  <c r="BA247" i="1"/>
  <c r="BB247" i="1"/>
  <c r="AK248" i="1"/>
  <c r="AL248" i="1"/>
  <c r="AM248" i="1"/>
  <c r="AN248" i="1"/>
  <c r="AO248" i="1" s="1"/>
  <c r="AW248" i="1"/>
  <c r="AX248" i="1"/>
  <c r="AY248" i="1"/>
  <c r="AZ248" i="1"/>
  <c r="BA248" i="1"/>
  <c r="BB248" i="1"/>
  <c r="AK249" i="1"/>
  <c r="AL249" i="1"/>
  <c r="AM249" i="1"/>
  <c r="AN249" i="1"/>
  <c r="AW249" i="1"/>
  <c r="AX249" i="1"/>
  <c r="AY249" i="1"/>
  <c r="AZ249" i="1"/>
  <c r="BA249" i="1"/>
  <c r="BB249" i="1"/>
  <c r="AK250" i="1"/>
  <c r="AL250" i="1"/>
  <c r="AM250" i="1"/>
  <c r="AN250" i="1"/>
  <c r="AO250" i="1"/>
  <c r="AP250" i="1"/>
  <c r="AW250" i="1"/>
  <c r="AX250" i="1"/>
  <c r="AY250" i="1"/>
  <c r="AZ250" i="1"/>
  <c r="BA250" i="1"/>
  <c r="BB250" i="1"/>
  <c r="AI251" i="1"/>
  <c r="AK251" i="1"/>
  <c r="AL251" i="1"/>
  <c r="AM251" i="1"/>
  <c r="AN251" i="1"/>
  <c r="AO251" i="1"/>
  <c r="AP251" i="1"/>
  <c r="AW251" i="1"/>
  <c r="AX251" i="1"/>
  <c r="AY251" i="1"/>
  <c r="AZ251" i="1"/>
  <c r="BA251" i="1"/>
  <c r="BB251" i="1"/>
  <c r="AI252" i="1"/>
  <c r="AK252" i="1"/>
  <c r="AL252" i="1"/>
  <c r="AM252" i="1"/>
  <c r="AN252" i="1"/>
  <c r="AW252" i="1"/>
  <c r="AX252" i="1"/>
  <c r="AY252" i="1"/>
  <c r="AZ252" i="1"/>
  <c r="BA252" i="1"/>
  <c r="BB252" i="1"/>
  <c r="AK253" i="1"/>
  <c r="AL253" i="1"/>
  <c r="AM253" i="1"/>
  <c r="AN253" i="1"/>
  <c r="AW253" i="1"/>
  <c r="AX253" i="1"/>
  <c r="AY253" i="1"/>
  <c r="AZ253" i="1"/>
  <c r="BA253" i="1"/>
  <c r="BB253" i="1"/>
  <c r="AK254" i="1"/>
  <c r="AL254" i="1"/>
  <c r="AM254" i="1"/>
  <c r="AN254" i="1"/>
  <c r="AO254" i="1" s="1"/>
  <c r="AP254" i="1"/>
  <c r="AW254" i="1"/>
  <c r="AX254" i="1"/>
  <c r="AY254" i="1"/>
  <c r="AZ254" i="1"/>
  <c r="BA254" i="1"/>
  <c r="BB254" i="1"/>
  <c r="AI255" i="1"/>
  <c r="AK255" i="1"/>
  <c r="AL255" i="1"/>
  <c r="AM255" i="1"/>
  <c r="AN255" i="1"/>
  <c r="AO255" i="1" s="1"/>
  <c r="AW255" i="1"/>
  <c r="AX255" i="1"/>
  <c r="AY255" i="1"/>
  <c r="AZ255" i="1"/>
  <c r="BA255" i="1"/>
  <c r="BB255" i="1"/>
  <c r="AK256" i="1"/>
  <c r="AL256" i="1"/>
  <c r="AM256" i="1"/>
  <c r="AN256" i="1"/>
  <c r="AP256" i="1" s="1"/>
  <c r="AO256" i="1"/>
  <c r="AW256" i="1"/>
  <c r="AX256" i="1"/>
  <c r="AY256" i="1"/>
  <c r="AZ256" i="1"/>
  <c r="BA256" i="1"/>
  <c r="BB256" i="1"/>
  <c r="AK257" i="1"/>
  <c r="AL257" i="1"/>
  <c r="AM257" i="1"/>
  <c r="AN257" i="1"/>
  <c r="AO257" i="1" s="1"/>
  <c r="AW257" i="1"/>
  <c r="AX257" i="1"/>
  <c r="AY257" i="1"/>
  <c r="AZ257" i="1"/>
  <c r="BA257" i="1"/>
  <c r="BB257" i="1"/>
  <c r="AI258" i="1"/>
  <c r="AK258" i="1"/>
  <c r="AL258" i="1"/>
  <c r="AM258" i="1"/>
  <c r="AN258" i="1"/>
  <c r="AP258" i="1" s="1"/>
  <c r="AO258" i="1"/>
  <c r="AW258" i="1"/>
  <c r="AX258" i="1"/>
  <c r="AY258" i="1"/>
  <c r="AZ258" i="1"/>
  <c r="BA258" i="1"/>
  <c r="BB258" i="1"/>
  <c r="AI259" i="1"/>
  <c r="AK259" i="1"/>
  <c r="AL259" i="1"/>
  <c r="AM259" i="1"/>
  <c r="AN259" i="1"/>
  <c r="AW259" i="1"/>
  <c r="AX259" i="1"/>
  <c r="AY259" i="1"/>
  <c r="AZ259" i="1"/>
  <c r="BA259" i="1"/>
  <c r="BB259" i="1"/>
  <c r="AK260" i="1"/>
  <c r="AL260" i="1"/>
  <c r="AM260" i="1"/>
  <c r="AN260" i="1"/>
  <c r="AO260" i="1" s="1"/>
  <c r="AP260" i="1"/>
  <c r="AW260" i="1"/>
  <c r="AX260" i="1"/>
  <c r="AY260" i="1"/>
  <c r="AZ260" i="1"/>
  <c r="BA260" i="1"/>
  <c r="BB260" i="1"/>
  <c r="AI261" i="1"/>
  <c r="AK261" i="1"/>
  <c r="AL261" i="1"/>
  <c r="AM261" i="1"/>
  <c r="AN261" i="1"/>
  <c r="AP261" i="1" s="1"/>
  <c r="AO261" i="1"/>
  <c r="AW261" i="1"/>
  <c r="AX261" i="1"/>
  <c r="AY261" i="1"/>
  <c r="AZ261" i="1"/>
  <c r="BA261" i="1"/>
  <c r="BB261" i="1"/>
  <c r="AK262" i="1"/>
  <c r="AL262" i="1"/>
  <c r="AM262" i="1"/>
  <c r="AN262" i="1"/>
  <c r="AO262" i="1" s="1"/>
  <c r="AP262" i="1"/>
  <c r="AW262" i="1"/>
  <c r="AX262" i="1"/>
  <c r="AY262" i="1"/>
  <c r="AZ262" i="1"/>
  <c r="BA262" i="1"/>
  <c r="BB262" i="1"/>
  <c r="AK263" i="1"/>
  <c r="AL263" i="1"/>
  <c r="AM263" i="1"/>
  <c r="AN263" i="1"/>
  <c r="AW263" i="1"/>
  <c r="AX263" i="1"/>
  <c r="AY263" i="1"/>
  <c r="AZ263" i="1"/>
  <c r="BA263" i="1"/>
  <c r="BB263" i="1"/>
  <c r="AK264" i="1"/>
  <c r="AL264" i="1"/>
  <c r="AM264" i="1"/>
  <c r="AN264" i="1"/>
  <c r="AO264" i="1" s="1"/>
  <c r="AP264" i="1"/>
  <c r="AW264" i="1"/>
  <c r="AX264" i="1"/>
  <c r="AY264" i="1"/>
  <c r="AZ264" i="1"/>
  <c r="BA264" i="1"/>
  <c r="BB264" i="1"/>
  <c r="AI265" i="1"/>
  <c r="AK265" i="1"/>
  <c r="AL265" i="1"/>
  <c r="AM265" i="1"/>
  <c r="AN265" i="1"/>
  <c r="AP265" i="1" s="1"/>
  <c r="AW265" i="1"/>
  <c r="AX265" i="1"/>
  <c r="AY265" i="1"/>
  <c r="AZ265" i="1"/>
  <c r="BA265" i="1"/>
  <c r="BB265" i="1"/>
  <c r="AK266" i="1"/>
  <c r="AL266" i="1"/>
  <c r="AM266" i="1"/>
  <c r="AN266" i="1"/>
  <c r="AW266" i="1"/>
  <c r="AX266" i="1"/>
  <c r="AY266" i="1"/>
  <c r="AZ266" i="1"/>
  <c r="BA266" i="1"/>
  <c r="BB266" i="1"/>
  <c r="AI267" i="1"/>
  <c r="AK267" i="1"/>
  <c r="AL267" i="1"/>
  <c r="AM267" i="1"/>
  <c r="AN267" i="1"/>
  <c r="AW267" i="1"/>
  <c r="AX267" i="1"/>
  <c r="AY267" i="1"/>
  <c r="AZ267" i="1"/>
  <c r="BA267" i="1"/>
  <c r="BB267" i="1"/>
  <c r="AK268" i="1"/>
  <c r="AL268" i="1"/>
  <c r="AM268" i="1"/>
  <c r="AN268" i="1"/>
  <c r="AW268" i="1"/>
  <c r="AX268" i="1"/>
  <c r="AY268" i="1"/>
  <c r="AZ268" i="1"/>
  <c r="BA268" i="1"/>
  <c r="BB268" i="1"/>
  <c r="AK269" i="1"/>
  <c r="AL269" i="1"/>
  <c r="AM269" i="1"/>
  <c r="AN269" i="1"/>
  <c r="AP269" i="1" s="1"/>
  <c r="AW269" i="1"/>
  <c r="AX269" i="1"/>
  <c r="AY269" i="1"/>
  <c r="AZ269" i="1"/>
  <c r="BA269" i="1"/>
  <c r="BB269" i="1"/>
  <c r="AI270" i="1"/>
  <c r="AK270" i="1"/>
  <c r="AL270" i="1"/>
  <c r="AM270" i="1"/>
  <c r="AN270" i="1"/>
  <c r="AO270" i="1"/>
  <c r="AP270" i="1"/>
  <c r="AW270" i="1"/>
  <c r="AX270" i="1"/>
  <c r="AY270" i="1"/>
  <c r="AZ270" i="1"/>
  <c r="BA270" i="1"/>
  <c r="BB270" i="1"/>
  <c r="AI271" i="1"/>
  <c r="AK271" i="1"/>
  <c r="AL271" i="1"/>
  <c r="AM271" i="1"/>
  <c r="AN271" i="1"/>
  <c r="AW271" i="1"/>
  <c r="AX271" i="1"/>
  <c r="AY271" i="1"/>
  <c r="AZ271" i="1"/>
  <c r="BA271" i="1"/>
  <c r="BB271" i="1"/>
  <c r="AK272" i="1"/>
  <c r="AL272" i="1"/>
  <c r="AM272" i="1"/>
  <c r="AN272" i="1"/>
  <c r="AW272" i="1"/>
  <c r="AX272" i="1"/>
  <c r="AY272" i="1"/>
  <c r="AZ272" i="1"/>
  <c r="BA272" i="1"/>
  <c r="BB272" i="1"/>
  <c r="AK273" i="1"/>
  <c r="AL273" i="1"/>
  <c r="AM273" i="1"/>
  <c r="AN273" i="1"/>
  <c r="AO273" i="1"/>
  <c r="AP273" i="1"/>
  <c r="AW273" i="1"/>
  <c r="AX273" i="1"/>
  <c r="AY273" i="1"/>
  <c r="AZ273" i="1"/>
  <c r="BA273" i="1"/>
  <c r="BB273" i="1"/>
  <c r="AI274" i="1"/>
  <c r="AK274" i="1"/>
  <c r="AL274" i="1"/>
  <c r="AM274" i="1"/>
  <c r="AN274" i="1"/>
  <c r="AO274" i="1" s="1"/>
  <c r="AW274" i="1"/>
  <c r="AX274" i="1"/>
  <c r="AY274" i="1"/>
  <c r="AZ274" i="1"/>
  <c r="BA274" i="1"/>
  <c r="BB274" i="1"/>
  <c r="AI275" i="1"/>
  <c r="AK275" i="1"/>
  <c r="AL275" i="1"/>
  <c r="AM275" i="1"/>
  <c r="AN275" i="1"/>
  <c r="AP275" i="1" s="1"/>
  <c r="AO275" i="1"/>
  <c r="AW275" i="1"/>
  <c r="AX275" i="1"/>
  <c r="AY275" i="1"/>
  <c r="AZ275" i="1"/>
  <c r="BA275" i="1"/>
  <c r="BB275" i="1"/>
  <c r="AK276" i="1"/>
  <c r="AL276" i="1"/>
  <c r="AM276" i="1"/>
  <c r="AN276" i="1"/>
  <c r="AO276" i="1" s="1"/>
  <c r="AP276" i="1"/>
  <c r="AW276" i="1"/>
  <c r="AX276" i="1"/>
  <c r="AY276" i="1"/>
  <c r="AZ276" i="1"/>
  <c r="BA276" i="1"/>
  <c r="BB276" i="1"/>
  <c r="AK277" i="1"/>
  <c r="AL277" i="1"/>
  <c r="AM277" i="1"/>
  <c r="AN277" i="1"/>
  <c r="AP277" i="1" s="1"/>
  <c r="AW277" i="1"/>
  <c r="AX277" i="1"/>
  <c r="AY277" i="1"/>
  <c r="AZ277" i="1"/>
  <c r="BA277" i="1"/>
  <c r="BB277" i="1"/>
  <c r="AK278" i="1"/>
  <c r="AL278" i="1"/>
  <c r="AM278" i="1"/>
  <c r="AN278" i="1"/>
  <c r="AP278" i="1" s="1"/>
  <c r="AO278" i="1"/>
  <c r="AW278" i="1"/>
  <c r="AX278" i="1"/>
  <c r="AY278" i="1"/>
  <c r="AZ278" i="1"/>
  <c r="BA278" i="1"/>
  <c r="BB278" i="1"/>
  <c r="AK279" i="1"/>
  <c r="AL279" i="1"/>
  <c r="AM279" i="1"/>
  <c r="AN279" i="1"/>
  <c r="AO279" i="1" s="1"/>
  <c r="AP279" i="1"/>
  <c r="AW279" i="1"/>
  <c r="AX279" i="1"/>
  <c r="AY279" i="1"/>
  <c r="AZ279" i="1"/>
  <c r="BA279" i="1"/>
  <c r="BB279" i="1"/>
  <c r="AI280" i="1"/>
  <c r="AK280" i="1"/>
  <c r="AL280" i="1"/>
  <c r="AM280" i="1"/>
  <c r="AN280" i="1"/>
  <c r="AO280" i="1" s="1"/>
  <c r="AW280" i="1"/>
  <c r="AX280" i="1"/>
  <c r="AY280" i="1"/>
  <c r="AZ280" i="1"/>
  <c r="BA280" i="1"/>
  <c r="BB280" i="1"/>
  <c r="AI281" i="1"/>
  <c r="AK281" i="1"/>
  <c r="AL281" i="1"/>
  <c r="AM281" i="1"/>
  <c r="AN281" i="1"/>
  <c r="AP281" i="1" s="1"/>
  <c r="AW281" i="1"/>
  <c r="AX281" i="1"/>
  <c r="AY281" i="1"/>
  <c r="AZ281" i="1"/>
  <c r="BA281" i="1"/>
  <c r="BB281" i="1"/>
  <c r="AK282" i="1"/>
  <c r="AL282" i="1"/>
  <c r="AM282" i="1"/>
  <c r="AN282" i="1"/>
  <c r="AO282" i="1" s="1"/>
  <c r="AW282" i="1"/>
  <c r="AX282" i="1"/>
  <c r="AY282" i="1"/>
  <c r="AZ282" i="1"/>
  <c r="BA282" i="1"/>
  <c r="BB282" i="1"/>
  <c r="AK283" i="1"/>
  <c r="AL283" i="1"/>
  <c r="AM283" i="1"/>
  <c r="AN283" i="1"/>
  <c r="AP283" i="1" s="1"/>
  <c r="AO283" i="1"/>
  <c r="AW283" i="1"/>
  <c r="AX283" i="1"/>
  <c r="AY283" i="1"/>
  <c r="AZ283" i="1"/>
  <c r="BA283" i="1"/>
  <c r="BB283" i="1"/>
  <c r="AI284" i="1"/>
  <c r="AK284" i="1"/>
  <c r="AL284" i="1"/>
  <c r="AM284" i="1"/>
  <c r="AN284" i="1"/>
  <c r="AO284" i="1"/>
  <c r="AP284" i="1"/>
  <c r="AW284" i="1"/>
  <c r="AX284" i="1"/>
  <c r="AY284" i="1"/>
  <c r="AZ284" i="1"/>
  <c r="BA284" i="1"/>
  <c r="BB284" i="1"/>
  <c r="AI285" i="1"/>
  <c r="AK285" i="1"/>
  <c r="AL285" i="1"/>
  <c r="AM285" i="1"/>
  <c r="AN285" i="1"/>
  <c r="AW285" i="1"/>
  <c r="AX285" i="1"/>
  <c r="AY285" i="1"/>
  <c r="AZ285" i="1"/>
  <c r="BA285" i="1"/>
  <c r="BB285" i="1"/>
  <c r="AK286" i="1"/>
  <c r="AL286" i="1"/>
  <c r="AM286" i="1"/>
  <c r="AN286" i="1"/>
  <c r="AP286" i="1" s="1"/>
  <c r="AO286" i="1"/>
  <c r="AW286" i="1"/>
  <c r="AX286" i="1"/>
  <c r="AY286" i="1"/>
  <c r="AZ286" i="1"/>
  <c r="BA286" i="1"/>
  <c r="BB286" i="1"/>
  <c r="AK287" i="1"/>
  <c r="AL287" i="1"/>
  <c r="AM287" i="1"/>
  <c r="AN287" i="1"/>
  <c r="AO287" i="1" s="1"/>
  <c r="AW287" i="1"/>
  <c r="AX287" i="1"/>
  <c r="AY287" i="1"/>
  <c r="AZ287" i="1"/>
  <c r="BA287" i="1"/>
  <c r="BB287" i="1"/>
  <c r="AI288" i="1"/>
  <c r="AK288" i="1"/>
  <c r="AL288" i="1"/>
  <c r="AM288" i="1"/>
  <c r="AN288" i="1"/>
  <c r="AO288" i="1" s="1"/>
  <c r="AW288" i="1"/>
  <c r="AX288" i="1"/>
  <c r="AY288" i="1"/>
  <c r="AZ288" i="1"/>
  <c r="BA288" i="1"/>
  <c r="BB288" i="1"/>
  <c r="AI289" i="1"/>
  <c r="AK289" i="1"/>
  <c r="AL289" i="1"/>
  <c r="AM289" i="1"/>
  <c r="AN289" i="1"/>
  <c r="AP289" i="1" s="1"/>
  <c r="AW289" i="1"/>
  <c r="AX289" i="1"/>
  <c r="AY289" i="1"/>
  <c r="AZ289" i="1"/>
  <c r="BA289" i="1"/>
  <c r="BB289" i="1"/>
  <c r="AK290" i="1"/>
  <c r="AL290" i="1"/>
  <c r="AM290" i="1"/>
  <c r="AN290" i="1"/>
  <c r="AO290" i="1" s="1"/>
  <c r="AP290" i="1"/>
  <c r="AW290" i="1"/>
  <c r="AX290" i="1"/>
  <c r="AY290" i="1"/>
  <c r="AZ290" i="1"/>
  <c r="BA290" i="1"/>
  <c r="BB290" i="1"/>
  <c r="AK291" i="1"/>
  <c r="AL291" i="1"/>
  <c r="AM291" i="1"/>
  <c r="AN291" i="1"/>
  <c r="AP291" i="1" s="1"/>
  <c r="AW291" i="1"/>
  <c r="AX291" i="1"/>
  <c r="AY291" i="1"/>
  <c r="AZ291" i="1"/>
  <c r="BA291" i="1"/>
  <c r="BB291" i="1"/>
  <c r="AK292" i="1"/>
  <c r="AL292" i="1"/>
  <c r="AM292" i="1"/>
  <c r="AN292" i="1"/>
  <c r="AO292" i="1" s="1"/>
  <c r="AW292" i="1"/>
  <c r="AX292" i="1"/>
  <c r="AY292" i="1"/>
  <c r="AZ292" i="1"/>
  <c r="BA292" i="1"/>
  <c r="BB292" i="1"/>
  <c r="AK293" i="1"/>
  <c r="AL293" i="1"/>
  <c r="AM293" i="1"/>
  <c r="AN293" i="1"/>
  <c r="AO293" i="1" s="1"/>
  <c r="AP293" i="1"/>
  <c r="AW293" i="1"/>
  <c r="AX293" i="1"/>
  <c r="AY293" i="1"/>
  <c r="AZ293" i="1"/>
  <c r="BA293" i="1"/>
  <c r="BB293" i="1"/>
  <c r="AI294" i="1"/>
  <c r="AK294" i="1"/>
  <c r="AL294" i="1"/>
  <c r="AM294" i="1"/>
  <c r="AN294" i="1"/>
  <c r="AO294" i="1" s="1"/>
  <c r="AW294" i="1"/>
  <c r="AX294" i="1"/>
  <c r="AY294" i="1"/>
  <c r="AZ294" i="1"/>
  <c r="BA294" i="1"/>
  <c r="BB294" i="1"/>
  <c r="AI295" i="1"/>
  <c r="AK295" i="1"/>
  <c r="AL295" i="1"/>
  <c r="AM295" i="1"/>
  <c r="AN295" i="1"/>
  <c r="AP295" i="1" s="1"/>
  <c r="AW295" i="1"/>
  <c r="AX295" i="1"/>
  <c r="AY295" i="1"/>
  <c r="AZ295" i="1"/>
  <c r="BA295" i="1"/>
  <c r="BB295" i="1"/>
  <c r="AK296" i="1"/>
  <c r="AL296" i="1"/>
  <c r="AM296" i="1"/>
  <c r="AN296" i="1"/>
  <c r="AO296" i="1" s="1"/>
  <c r="AP296" i="1"/>
  <c r="AW296" i="1"/>
  <c r="AX296" i="1"/>
  <c r="AY296" i="1"/>
  <c r="AZ296" i="1"/>
  <c r="BA296" i="1"/>
  <c r="BB296" i="1"/>
  <c r="AK297" i="1"/>
  <c r="AL297" i="1"/>
  <c r="AM297" i="1"/>
  <c r="AN297" i="1"/>
  <c r="AP297" i="1" s="1"/>
  <c r="AO297" i="1"/>
  <c r="AW297" i="1"/>
  <c r="AX297" i="1"/>
  <c r="AY297" i="1"/>
  <c r="AZ297" i="1"/>
  <c r="BA297" i="1"/>
  <c r="BB297" i="1"/>
  <c r="AK298" i="1"/>
  <c r="AL298" i="1"/>
  <c r="AM298" i="1"/>
  <c r="AN298" i="1"/>
  <c r="AO298" i="1"/>
  <c r="AP298" i="1"/>
  <c r="AW298" i="1"/>
  <c r="AX298" i="1"/>
  <c r="AY298" i="1"/>
  <c r="AZ298" i="1"/>
  <c r="BA298" i="1"/>
  <c r="BB298" i="1"/>
  <c r="AI299" i="1"/>
  <c r="AK299" i="1"/>
  <c r="AL299" i="1"/>
  <c r="AM299" i="1"/>
  <c r="AN299" i="1"/>
  <c r="AO299" i="1"/>
  <c r="AP299" i="1"/>
  <c r="AW299" i="1"/>
  <c r="AX299" i="1"/>
  <c r="AY299" i="1"/>
  <c r="AZ299" i="1"/>
  <c r="BA299" i="1"/>
  <c r="BB299" i="1"/>
  <c r="AI300" i="1"/>
  <c r="AK300" i="1"/>
  <c r="AL300" i="1"/>
  <c r="AM300" i="1"/>
  <c r="AN300" i="1"/>
  <c r="AW300" i="1"/>
  <c r="AX300" i="1"/>
  <c r="AY300" i="1"/>
  <c r="AZ300" i="1"/>
  <c r="BA300" i="1"/>
  <c r="BB300" i="1"/>
  <c r="AK301" i="1"/>
  <c r="AL301" i="1"/>
  <c r="AM301" i="1"/>
  <c r="AN301" i="1"/>
  <c r="AP301" i="1" s="1"/>
  <c r="AO301" i="1"/>
  <c r="AW301" i="1"/>
  <c r="AX301" i="1"/>
  <c r="AY301" i="1"/>
  <c r="AZ301" i="1"/>
  <c r="BA301" i="1"/>
  <c r="BB301" i="1"/>
  <c r="AK302" i="1"/>
  <c r="AL302" i="1"/>
  <c r="AM302" i="1"/>
  <c r="AN302" i="1"/>
  <c r="AO302" i="1" s="1"/>
  <c r="AW302" i="1"/>
  <c r="AX302" i="1"/>
  <c r="AY302" i="1"/>
  <c r="AZ302" i="1"/>
  <c r="BA302" i="1"/>
  <c r="BB302" i="1"/>
  <c r="AI303" i="1"/>
  <c r="AK303" i="1"/>
  <c r="AL303" i="1"/>
  <c r="AM303" i="1"/>
  <c r="AN303" i="1"/>
  <c r="AP303" i="1" s="1"/>
  <c r="AO303" i="1"/>
  <c r="AW303" i="1"/>
  <c r="AX303" i="1"/>
  <c r="AY303" i="1"/>
  <c r="AZ303" i="1"/>
  <c r="BA303" i="1"/>
  <c r="BB303" i="1"/>
  <c r="AK304" i="1"/>
  <c r="AL304" i="1"/>
  <c r="AM304" i="1"/>
  <c r="AN304" i="1"/>
  <c r="AW304" i="1"/>
  <c r="AX304" i="1"/>
  <c r="AY304" i="1"/>
  <c r="AZ304" i="1"/>
  <c r="BA304" i="1"/>
  <c r="BB304" i="1"/>
  <c r="AK305" i="1"/>
  <c r="AL305" i="1"/>
  <c r="AM305" i="1"/>
  <c r="AN305" i="1"/>
  <c r="AP305" i="1" s="1"/>
  <c r="AW305" i="1"/>
  <c r="AX305" i="1"/>
  <c r="AY305" i="1"/>
  <c r="AZ305" i="1"/>
  <c r="BA305" i="1"/>
  <c r="BB305" i="1"/>
  <c r="AK306" i="1"/>
  <c r="AL306" i="1"/>
  <c r="AM306" i="1"/>
  <c r="AN306" i="1"/>
  <c r="AO306" i="1" s="1"/>
  <c r="AP306" i="1"/>
  <c r="AW306" i="1"/>
  <c r="AX306" i="1"/>
  <c r="AY306" i="1"/>
  <c r="AZ306" i="1"/>
  <c r="BA306" i="1"/>
  <c r="BB306" i="1"/>
  <c r="AI307" i="1"/>
  <c r="AK307" i="1"/>
  <c r="AL307" i="1"/>
  <c r="AM307" i="1"/>
  <c r="AN307" i="1"/>
  <c r="AO307" i="1"/>
  <c r="AP307" i="1"/>
  <c r="AW307" i="1"/>
  <c r="AX307" i="1"/>
  <c r="AY307" i="1"/>
  <c r="AZ307" i="1"/>
  <c r="BA307" i="1"/>
  <c r="BB307" i="1"/>
  <c r="AI308" i="1"/>
  <c r="AK308" i="1"/>
  <c r="AL308" i="1"/>
  <c r="AM308" i="1"/>
  <c r="AN308" i="1"/>
  <c r="AW308" i="1"/>
  <c r="AX308" i="1"/>
  <c r="AY308" i="1"/>
  <c r="AZ308" i="1"/>
  <c r="BA308" i="1"/>
  <c r="BB308" i="1"/>
  <c r="AI309" i="1"/>
  <c r="AK309" i="1"/>
  <c r="AL309" i="1"/>
  <c r="AM309" i="1"/>
  <c r="AN309" i="1"/>
  <c r="AW309" i="1"/>
  <c r="AX309" i="1"/>
  <c r="AY309" i="1"/>
  <c r="AZ309" i="1"/>
  <c r="BA309" i="1"/>
  <c r="BB309" i="1"/>
  <c r="AI310" i="1"/>
  <c r="AK310" i="1"/>
  <c r="AL310" i="1"/>
  <c r="AM310" i="1"/>
  <c r="AN310" i="1"/>
  <c r="AO310" i="1" s="1"/>
  <c r="AW310" i="1"/>
  <c r="AX310" i="1"/>
  <c r="AY310" i="1"/>
  <c r="AZ310" i="1"/>
  <c r="BA310" i="1"/>
  <c r="BB310" i="1"/>
  <c r="AI311" i="1"/>
  <c r="AK311" i="1"/>
  <c r="AL311" i="1"/>
  <c r="AM311" i="1"/>
  <c r="AN311" i="1"/>
  <c r="AW311" i="1"/>
  <c r="AX311" i="1"/>
  <c r="AY311" i="1"/>
  <c r="AZ311" i="1"/>
  <c r="BA311" i="1"/>
  <c r="BB311" i="1"/>
  <c r="AK312" i="1"/>
  <c r="AL312" i="1"/>
  <c r="AM312" i="1"/>
  <c r="AN312" i="1"/>
  <c r="AO312" i="1" s="1"/>
  <c r="AW312" i="1"/>
  <c r="AX312" i="1"/>
  <c r="AY312" i="1"/>
  <c r="AZ312" i="1"/>
  <c r="BA312" i="1"/>
  <c r="BB312" i="1"/>
  <c r="AK313" i="1"/>
  <c r="AL313" i="1"/>
  <c r="AM313" i="1"/>
  <c r="AN313" i="1"/>
  <c r="AP313" i="1" s="1"/>
  <c r="AO313" i="1"/>
  <c r="AW313" i="1"/>
  <c r="AX313" i="1"/>
  <c r="AY313" i="1"/>
  <c r="AZ313" i="1"/>
  <c r="BA313" i="1"/>
  <c r="BB313" i="1"/>
  <c r="AK314" i="1"/>
  <c r="AL314" i="1"/>
  <c r="AM314" i="1"/>
  <c r="AN314" i="1"/>
  <c r="AW314" i="1"/>
  <c r="AX314" i="1"/>
  <c r="AY314" i="1"/>
  <c r="AZ314" i="1"/>
  <c r="BA314" i="1"/>
  <c r="BB314" i="1"/>
  <c r="AK315" i="1"/>
  <c r="AL315" i="1"/>
  <c r="AM315" i="1"/>
  <c r="AN315" i="1"/>
  <c r="AP315" i="1" s="1"/>
  <c r="AO315" i="1"/>
  <c r="AW315" i="1"/>
  <c r="AX315" i="1"/>
  <c r="AY315" i="1"/>
  <c r="AZ315" i="1"/>
  <c r="BA315" i="1"/>
  <c r="BB315" i="1"/>
  <c r="AK316" i="1"/>
  <c r="AL316" i="1"/>
  <c r="AM316" i="1"/>
  <c r="AN316" i="1"/>
  <c r="AW316" i="1"/>
  <c r="AX316" i="1"/>
  <c r="AY316" i="1"/>
  <c r="AZ316" i="1"/>
  <c r="BA316" i="1"/>
  <c r="BB316" i="1"/>
  <c r="AI317" i="1"/>
  <c r="AK317" i="1"/>
  <c r="AL317" i="1"/>
  <c r="AM317" i="1"/>
  <c r="AN317" i="1"/>
  <c r="AP317" i="1" s="1"/>
  <c r="AO317" i="1"/>
  <c r="AW317" i="1"/>
  <c r="AX317" i="1"/>
  <c r="AY317" i="1"/>
  <c r="AZ317" i="1"/>
  <c r="BA317" i="1"/>
  <c r="BB317" i="1"/>
  <c r="AK318" i="1"/>
  <c r="AL318" i="1"/>
  <c r="AM318" i="1"/>
  <c r="AN318" i="1"/>
  <c r="AO318" i="1" s="1"/>
  <c r="AW318" i="1"/>
  <c r="AX318" i="1"/>
  <c r="AY318" i="1"/>
  <c r="AZ318" i="1"/>
  <c r="BA318" i="1"/>
  <c r="BB318" i="1"/>
  <c r="AK319" i="1"/>
  <c r="AL319" i="1"/>
  <c r="AM319" i="1"/>
  <c r="AN319" i="1"/>
  <c r="AP319" i="1" s="1"/>
  <c r="AO319" i="1"/>
  <c r="AW319" i="1"/>
  <c r="AX319" i="1"/>
  <c r="AY319" i="1"/>
  <c r="AZ319" i="1"/>
  <c r="BA319" i="1"/>
  <c r="BB319" i="1"/>
  <c r="AK320" i="1"/>
  <c r="AL320" i="1"/>
  <c r="AM320" i="1"/>
  <c r="AN320" i="1"/>
  <c r="AO320" i="1" s="1"/>
  <c r="AW320" i="1"/>
  <c r="AX320" i="1"/>
  <c r="AY320" i="1"/>
  <c r="AZ320" i="1"/>
  <c r="BA320" i="1"/>
  <c r="BB320" i="1"/>
  <c r="AI321" i="1"/>
  <c r="AK321" i="1"/>
  <c r="AL321" i="1"/>
  <c r="AM321" i="1"/>
  <c r="AN321" i="1"/>
  <c r="AO321" i="1"/>
  <c r="AP321" i="1"/>
  <c r="AW321" i="1"/>
  <c r="AX321" i="1"/>
  <c r="AY321" i="1"/>
  <c r="AZ321" i="1"/>
  <c r="BA321" i="1"/>
  <c r="BB321" i="1"/>
  <c r="AI322" i="1"/>
  <c r="AK322" i="1"/>
  <c r="AL322" i="1"/>
  <c r="AM322" i="1"/>
  <c r="AN322" i="1"/>
  <c r="AO322" i="1" s="1"/>
  <c r="AW322" i="1"/>
  <c r="AX322" i="1"/>
  <c r="AY322" i="1"/>
  <c r="AZ322" i="1"/>
  <c r="BA322" i="1"/>
  <c r="BB322" i="1"/>
  <c r="AI323" i="1"/>
  <c r="AK323" i="1"/>
  <c r="AL323" i="1"/>
  <c r="AM323" i="1"/>
  <c r="AN323" i="1"/>
  <c r="AP323" i="1" s="1"/>
  <c r="AW323" i="1"/>
  <c r="AX323" i="1"/>
  <c r="AY323" i="1"/>
  <c r="AZ323" i="1"/>
  <c r="BA323" i="1"/>
  <c r="BB323" i="1"/>
  <c r="AI324" i="1"/>
  <c r="AK324" i="1"/>
  <c r="AL324" i="1"/>
  <c r="AM324" i="1"/>
  <c r="AN324" i="1"/>
  <c r="AO324" i="1"/>
  <c r="AP324" i="1"/>
  <c r="AW324" i="1"/>
  <c r="AX324" i="1"/>
  <c r="AY324" i="1"/>
  <c r="AZ324" i="1"/>
  <c r="BA324" i="1"/>
  <c r="BB324" i="1"/>
  <c r="AK325" i="1"/>
  <c r="AL325" i="1"/>
  <c r="AM325" i="1"/>
  <c r="AN325" i="1"/>
  <c r="AO325" i="1" s="1"/>
  <c r="AP325" i="1"/>
  <c r="AW325" i="1"/>
  <c r="AX325" i="1"/>
  <c r="AY325" i="1"/>
  <c r="AZ325" i="1"/>
  <c r="BA325" i="1"/>
  <c r="BB325" i="1"/>
  <c r="AI326" i="1"/>
  <c r="AK326" i="1"/>
  <c r="AL326" i="1"/>
  <c r="AM326" i="1"/>
  <c r="AN326" i="1"/>
  <c r="AW326" i="1"/>
  <c r="AX326" i="1"/>
  <c r="AY326" i="1"/>
  <c r="AZ326" i="1"/>
  <c r="BA326" i="1"/>
  <c r="BB326" i="1"/>
  <c r="AK327" i="1"/>
  <c r="AL327" i="1"/>
  <c r="AM327" i="1"/>
  <c r="AN327" i="1"/>
  <c r="AP327" i="1" s="1"/>
  <c r="AO327" i="1"/>
  <c r="AW327" i="1"/>
  <c r="AX327" i="1"/>
  <c r="AY327" i="1"/>
  <c r="AZ327" i="1"/>
  <c r="BA327" i="1"/>
  <c r="BB327" i="1"/>
  <c r="AK328" i="1"/>
  <c r="AL328" i="1"/>
  <c r="AM328" i="1"/>
  <c r="AN328" i="1"/>
  <c r="AO328" i="1"/>
  <c r="AP328" i="1"/>
  <c r="AW328" i="1"/>
  <c r="AX328" i="1"/>
  <c r="AY328" i="1"/>
  <c r="AZ328" i="1"/>
  <c r="BA328" i="1"/>
  <c r="BB328" i="1"/>
  <c r="AK329" i="1"/>
  <c r="AL329" i="1"/>
  <c r="AM329" i="1"/>
  <c r="AN329" i="1"/>
  <c r="AO329" i="1"/>
  <c r="AP329" i="1"/>
  <c r="AW329" i="1"/>
  <c r="AX329" i="1"/>
  <c r="AY329" i="1"/>
  <c r="AZ329" i="1"/>
  <c r="BA329" i="1"/>
  <c r="BB329" i="1"/>
  <c r="AI330" i="1"/>
  <c r="AK330" i="1"/>
  <c r="AL330" i="1"/>
  <c r="AM330" i="1"/>
  <c r="AN330" i="1"/>
  <c r="AO330" i="1" s="1"/>
  <c r="AP330" i="1"/>
  <c r="AW330" i="1"/>
  <c r="AX330" i="1"/>
  <c r="AY330" i="1"/>
  <c r="AZ330" i="1"/>
  <c r="BA330" i="1"/>
  <c r="BB330" i="1"/>
  <c r="AK331" i="1"/>
  <c r="AL331" i="1"/>
  <c r="AM331" i="1"/>
  <c r="AN331" i="1"/>
  <c r="AP331" i="1" s="1"/>
  <c r="AO331" i="1"/>
  <c r="AW331" i="1"/>
  <c r="AX331" i="1"/>
  <c r="AY331" i="1"/>
  <c r="AZ331" i="1"/>
  <c r="BA331" i="1"/>
  <c r="BB331" i="1"/>
  <c r="AI332" i="1"/>
  <c r="AK332" i="1"/>
  <c r="AL332" i="1"/>
  <c r="AM332" i="1"/>
  <c r="AN332" i="1"/>
  <c r="AO332" i="1" s="1"/>
  <c r="AW332" i="1"/>
  <c r="AX332" i="1"/>
  <c r="AY332" i="1"/>
  <c r="AZ332" i="1"/>
  <c r="BA332" i="1"/>
  <c r="BB332" i="1"/>
  <c r="AK333" i="1"/>
  <c r="AL333" i="1"/>
  <c r="AM333" i="1"/>
  <c r="AN333" i="1"/>
  <c r="AP333" i="1" s="1"/>
  <c r="AW333" i="1"/>
  <c r="AX333" i="1"/>
  <c r="AY333" i="1"/>
  <c r="AZ333" i="1"/>
  <c r="BA333" i="1"/>
  <c r="BB333" i="1"/>
  <c r="AK334" i="1"/>
  <c r="AL334" i="1"/>
  <c r="AM334" i="1"/>
  <c r="AN334" i="1"/>
  <c r="AP334" i="1" s="1"/>
  <c r="AO334" i="1"/>
  <c r="AW334" i="1"/>
  <c r="AX334" i="1"/>
  <c r="AY334" i="1"/>
  <c r="AZ334" i="1"/>
  <c r="BA334" i="1"/>
  <c r="BB334" i="1"/>
  <c r="AK335" i="1"/>
  <c r="AL335" i="1"/>
  <c r="AM335" i="1"/>
  <c r="AN335" i="1"/>
  <c r="AP335" i="1" s="1"/>
  <c r="AO335" i="1"/>
  <c r="AW335" i="1"/>
  <c r="AX335" i="1"/>
  <c r="AY335" i="1"/>
  <c r="AZ335" i="1"/>
  <c r="BA335" i="1"/>
  <c r="BB335" i="1"/>
  <c r="AK336" i="1"/>
  <c r="AL336" i="1"/>
  <c r="AM336" i="1"/>
  <c r="AN336" i="1"/>
  <c r="AO336" i="1" s="1"/>
  <c r="AW336" i="1"/>
  <c r="AX336" i="1"/>
  <c r="AY336" i="1"/>
  <c r="AZ336" i="1"/>
  <c r="BA336" i="1"/>
  <c r="BB336" i="1"/>
  <c r="AI337" i="1"/>
  <c r="AK337" i="1"/>
  <c r="AL337" i="1"/>
  <c r="AM337" i="1"/>
  <c r="AN337" i="1"/>
  <c r="AP337" i="1" s="1"/>
  <c r="AO337" i="1"/>
  <c r="AW337" i="1"/>
  <c r="AX337" i="1"/>
  <c r="AY337" i="1"/>
  <c r="AZ337" i="1"/>
  <c r="BA337" i="1"/>
  <c r="BB337" i="1"/>
  <c r="AK338" i="1"/>
  <c r="AL338" i="1"/>
  <c r="AM338" i="1"/>
  <c r="AN338" i="1"/>
  <c r="AP338" i="1" s="1"/>
  <c r="AO338" i="1"/>
  <c r="AW338" i="1"/>
  <c r="AX338" i="1"/>
  <c r="AY338" i="1"/>
  <c r="AZ338" i="1"/>
  <c r="BA338" i="1"/>
  <c r="BB338" i="1"/>
  <c r="AK339" i="1"/>
  <c r="AL339" i="1"/>
  <c r="AM339" i="1"/>
  <c r="AN339" i="1"/>
  <c r="AO339" i="1" s="1"/>
  <c r="AP339" i="1"/>
  <c r="AW339" i="1"/>
  <c r="AX339" i="1"/>
  <c r="AY339" i="1"/>
  <c r="AZ339" i="1"/>
  <c r="BA339" i="1"/>
  <c r="BB339" i="1"/>
  <c r="AK340" i="1"/>
  <c r="AL340" i="1"/>
  <c r="AM340" i="1"/>
  <c r="AN340" i="1"/>
  <c r="AO340" i="1" s="1"/>
  <c r="AW340" i="1"/>
  <c r="AX340" i="1"/>
  <c r="AY340" i="1"/>
  <c r="AZ340" i="1"/>
  <c r="BA340" i="1"/>
  <c r="BB340" i="1"/>
  <c r="AK341" i="1"/>
  <c r="AL341" i="1"/>
  <c r="AM341" i="1"/>
  <c r="AN341" i="1"/>
  <c r="AP341" i="1" s="1"/>
  <c r="AW341" i="1"/>
  <c r="AX341" i="1"/>
  <c r="AY341" i="1"/>
  <c r="AZ341" i="1"/>
  <c r="BA341" i="1"/>
  <c r="BB341" i="1"/>
  <c r="AK342" i="1"/>
  <c r="AL342" i="1"/>
  <c r="AM342" i="1"/>
  <c r="AN342" i="1"/>
  <c r="AO342" i="1" s="1"/>
  <c r="AW342" i="1"/>
  <c r="AX342" i="1"/>
  <c r="AY342" i="1"/>
  <c r="AZ342" i="1"/>
  <c r="BA342" i="1"/>
  <c r="BB342" i="1"/>
  <c r="AK343" i="1"/>
  <c r="AL343" i="1"/>
  <c r="AM343" i="1"/>
  <c r="AN343" i="1"/>
  <c r="AO343" i="1"/>
  <c r="AP343" i="1"/>
  <c r="AW343" i="1"/>
  <c r="AX343" i="1"/>
  <c r="AY343" i="1"/>
  <c r="AZ343" i="1"/>
  <c r="BA343" i="1"/>
  <c r="BB343" i="1"/>
  <c r="AI344" i="1"/>
  <c r="AK344" i="1"/>
  <c r="AL344" i="1"/>
  <c r="AM344" i="1"/>
  <c r="AN344" i="1"/>
  <c r="AO344" i="1" s="1"/>
  <c r="AP344" i="1"/>
  <c r="AW344" i="1"/>
  <c r="AX344" i="1"/>
  <c r="AY344" i="1"/>
  <c r="AZ344" i="1"/>
  <c r="BA344" i="1"/>
  <c r="BB344" i="1"/>
  <c r="AI345" i="1"/>
  <c r="AK345" i="1"/>
  <c r="AL345" i="1"/>
  <c r="AM345" i="1"/>
  <c r="AN345" i="1"/>
  <c r="AW345" i="1"/>
  <c r="AX345" i="1"/>
  <c r="AY345" i="1"/>
  <c r="AZ345" i="1"/>
  <c r="BA345" i="1"/>
  <c r="BB345" i="1"/>
  <c r="AK346" i="1"/>
  <c r="AL346" i="1"/>
  <c r="AM346" i="1"/>
  <c r="AN346" i="1"/>
  <c r="AO346" i="1" s="1"/>
  <c r="AW346" i="1"/>
  <c r="AX346" i="1"/>
  <c r="AY346" i="1"/>
  <c r="AZ346" i="1"/>
  <c r="BA346" i="1"/>
  <c r="BB346" i="1"/>
  <c r="AK347" i="1"/>
  <c r="AL347" i="1"/>
  <c r="AM347" i="1"/>
  <c r="AN347" i="1"/>
  <c r="AO347" i="1"/>
  <c r="AP347" i="1"/>
  <c r="AW347" i="1"/>
  <c r="AX347" i="1"/>
  <c r="AY347" i="1"/>
  <c r="AZ347" i="1"/>
  <c r="BA347" i="1"/>
  <c r="BB347" i="1"/>
  <c r="AK348" i="1"/>
  <c r="AL348" i="1"/>
  <c r="AM348" i="1"/>
  <c r="AN348" i="1"/>
  <c r="AO348" i="1" s="1"/>
  <c r="AP348" i="1"/>
  <c r="AW348" i="1"/>
  <c r="AX348" i="1"/>
  <c r="AY348" i="1"/>
  <c r="AZ348" i="1"/>
  <c r="BA348" i="1"/>
  <c r="BB348" i="1"/>
  <c r="AI349" i="1"/>
  <c r="AK349" i="1"/>
  <c r="AL349" i="1"/>
  <c r="AM349" i="1"/>
  <c r="AN349" i="1"/>
  <c r="AW349" i="1"/>
  <c r="AX349" i="1"/>
  <c r="AY349" i="1"/>
  <c r="AZ349" i="1"/>
  <c r="BA349" i="1"/>
  <c r="BB349" i="1"/>
  <c r="AK350" i="1"/>
  <c r="AL350" i="1"/>
  <c r="AM350" i="1"/>
  <c r="AN350" i="1"/>
  <c r="AO350" i="1" s="1"/>
  <c r="AP350" i="1"/>
  <c r="AW350" i="1"/>
  <c r="AX350" i="1"/>
  <c r="AY350" i="1"/>
  <c r="AZ350" i="1"/>
  <c r="BA350" i="1"/>
  <c r="BB350" i="1"/>
  <c r="AI351" i="1"/>
  <c r="AK351" i="1"/>
  <c r="AL351" i="1"/>
  <c r="AM351" i="1"/>
  <c r="AN351" i="1"/>
  <c r="AP351" i="1" s="1"/>
  <c r="AW351" i="1"/>
  <c r="AX351" i="1"/>
  <c r="AY351" i="1"/>
  <c r="AZ351" i="1"/>
  <c r="BA351" i="1"/>
  <c r="BB351" i="1"/>
  <c r="AI352" i="1"/>
  <c r="AK352" i="1"/>
  <c r="AL352" i="1"/>
  <c r="AM352" i="1"/>
  <c r="AN352" i="1"/>
  <c r="AO352" i="1" s="1"/>
  <c r="AW352" i="1"/>
  <c r="AX352" i="1"/>
  <c r="AY352" i="1"/>
  <c r="AZ352" i="1"/>
  <c r="BA352" i="1"/>
  <c r="BB352" i="1"/>
  <c r="AK353" i="1"/>
  <c r="AL353" i="1"/>
  <c r="AM353" i="1"/>
  <c r="AN353" i="1"/>
  <c r="AW353" i="1"/>
  <c r="AX353" i="1"/>
  <c r="AY353" i="1"/>
  <c r="AZ353" i="1"/>
  <c r="BA353" i="1"/>
  <c r="BB353" i="1"/>
  <c r="AI354" i="1"/>
  <c r="AK354" i="1"/>
  <c r="AL354" i="1"/>
  <c r="AM354" i="1"/>
  <c r="AN354" i="1"/>
  <c r="AO354" i="1"/>
  <c r="AP354" i="1"/>
  <c r="AW354" i="1"/>
  <c r="AX354" i="1"/>
  <c r="AY354" i="1"/>
  <c r="AZ354" i="1"/>
  <c r="BA354" i="1"/>
  <c r="BB354" i="1"/>
  <c r="AK355" i="1"/>
  <c r="AL355" i="1"/>
  <c r="AM355" i="1"/>
  <c r="AN355" i="1"/>
  <c r="AO355" i="1"/>
  <c r="AP355" i="1"/>
  <c r="AW355" i="1"/>
  <c r="AX355" i="1"/>
  <c r="AY355" i="1"/>
  <c r="AZ355" i="1"/>
  <c r="BA355" i="1"/>
  <c r="BB355" i="1"/>
  <c r="AK356" i="1"/>
  <c r="AL356" i="1"/>
  <c r="AM356" i="1"/>
  <c r="AN356" i="1"/>
  <c r="AO356" i="1" s="1"/>
  <c r="AP356" i="1"/>
  <c r="AW356" i="1"/>
  <c r="AX356" i="1"/>
  <c r="AY356" i="1"/>
  <c r="AZ356" i="1"/>
  <c r="BA356" i="1"/>
  <c r="BB356" i="1"/>
  <c r="AK357" i="1"/>
  <c r="AL357" i="1"/>
  <c r="AM357" i="1"/>
  <c r="AN357" i="1"/>
  <c r="AW357" i="1"/>
  <c r="AX357" i="1"/>
  <c r="AY357" i="1"/>
  <c r="AZ357" i="1"/>
  <c r="BA357" i="1"/>
  <c r="BB357" i="1"/>
  <c r="AK358" i="1"/>
  <c r="AL358" i="1"/>
  <c r="AM358" i="1"/>
  <c r="AN358" i="1"/>
  <c r="AO358" i="1" s="1"/>
  <c r="AP358" i="1"/>
  <c r="AW358" i="1"/>
  <c r="AX358" i="1"/>
  <c r="AY358" i="1"/>
  <c r="AZ358" i="1"/>
  <c r="BA358" i="1"/>
  <c r="BB358" i="1"/>
  <c r="AI359" i="1"/>
  <c r="AK359" i="1"/>
  <c r="AL359" i="1"/>
  <c r="AM359" i="1"/>
  <c r="AN359" i="1"/>
  <c r="AP359" i="1" s="1"/>
  <c r="AW359" i="1"/>
  <c r="AX359" i="1"/>
  <c r="AY359" i="1"/>
  <c r="AZ359" i="1"/>
  <c r="BA359" i="1"/>
  <c r="BB359" i="1"/>
  <c r="AK360" i="1"/>
  <c r="AL360" i="1"/>
  <c r="AM360" i="1"/>
  <c r="AN360" i="1"/>
  <c r="AO360" i="1"/>
  <c r="AP360" i="1"/>
  <c r="AW360" i="1"/>
  <c r="AX360" i="1"/>
  <c r="AY360" i="1"/>
  <c r="AZ360" i="1"/>
  <c r="BA360" i="1"/>
  <c r="BB360" i="1"/>
  <c r="AK361" i="1"/>
  <c r="AL361" i="1"/>
  <c r="AM361" i="1"/>
  <c r="AN361" i="1"/>
  <c r="AO361" i="1"/>
  <c r="AP361" i="1"/>
  <c r="AW361" i="1"/>
  <c r="AX361" i="1"/>
  <c r="AY361" i="1"/>
  <c r="AZ361" i="1"/>
  <c r="BA361" i="1"/>
  <c r="BB361" i="1"/>
  <c r="AK362" i="1"/>
  <c r="AL362" i="1"/>
  <c r="AM362" i="1"/>
  <c r="AN362" i="1"/>
  <c r="AO362" i="1" s="1"/>
  <c r="AW362" i="1"/>
  <c r="AX362" i="1"/>
  <c r="AY362" i="1"/>
  <c r="AZ362" i="1"/>
  <c r="BA362" i="1"/>
  <c r="BB362" i="1"/>
  <c r="AI363" i="1"/>
  <c r="AK363" i="1"/>
  <c r="AL363" i="1"/>
  <c r="AM363" i="1"/>
  <c r="AN363" i="1"/>
  <c r="AP363" i="1" s="1"/>
  <c r="AW363" i="1"/>
  <c r="AX363" i="1"/>
  <c r="AY363" i="1"/>
  <c r="AZ363" i="1"/>
  <c r="BA363" i="1"/>
  <c r="BB363" i="1"/>
  <c r="AK364" i="1"/>
  <c r="AL364" i="1"/>
  <c r="AM364" i="1"/>
  <c r="AN364" i="1"/>
  <c r="AO364" i="1" s="1"/>
  <c r="AW364" i="1"/>
  <c r="AX364" i="1"/>
  <c r="AY364" i="1"/>
  <c r="AZ364" i="1"/>
  <c r="BA364" i="1"/>
  <c r="BB364" i="1"/>
  <c r="AI365" i="1"/>
  <c r="AK365" i="1"/>
  <c r="AL365" i="1"/>
  <c r="AM365" i="1"/>
  <c r="AN365" i="1"/>
  <c r="AW365" i="1"/>
  <c r="AX365" i="1"/>
  <c r="AY365" i="1"/>
  <c r="AZ365" i="1"/>
  <c r="BA365" i="1"/>
  <c r="BB365" i="1"/>
  <c r="AK366" i="1"/>
  <c r="AL366" i="1"/>
  <c r="AM366" i="1"/>
  <c r="AN366" i="1"/>
  <c r="AP366" i="1" s="1"/>
  <c r="AO366" i="1"/>
  <c r="AW366" i="1"/>
  <c r="AX366" i="1"/>
  <c r="AY366" i="1"/>
  <c r="AZ366" i="1"/>
  <c r="BA366" i="1"/>
  <c r="BB366" i="1"/>
  <c r="AI367" i="1"/>
  <c r="AK367" i="1"/>
  <c r="AL367" i="1"/>
  <c r="AM367" i="1"/>
  <c r="AN367" i="1"/>
  <c r="AO367" i="1"/>
  <c r="AP367" i="1"/>
  <c r="AW367" i="1"/>
  <c r="AX367" i="1"/>
  <c r="AY367" i="1"/>
  <c r="AZ367" i="1"/>
  <c r="BA367" i="1"/>
  <c r="BB367" i="1"/>
  <c r="AK368" i="1"/>
  <c r="AL368" i="1"/>
  <c r="AM368" i="1"/>
  <c r="AN368" i="1"/>
  <c r="AO368" i="1"/>
  <c r="AP368" i="1"/>
  <c r="AW368" i="1"/>
  <c r="AX368" i="1"/>
  <c r="AY368" i="1"/>
  <c r="AZ368" i="1"/>
  <c r="BA368" i="1"/>
  <c r="BB368" i="1"/>
  <c r="AI369" i="1"/>
  <c r="AK369" i="1"/>
  <c r="AL369" i="1"/>
  <c r="AM369" i="1"/>
  <c r="AN369" i="1"/>
  <c r="AO369" i="1"/>
  <c r="AP369" i="1"/>
  <c r="AW369" i="1"/>
  <c r="AX369" i="1"/>
  <c r="AY369" i="1"/>
  <c r="AZ369" i="1"/>
  <c r="BA369" i="1"/>
  <c r="BB369" i="1"/>
  <c r="AK370" i="1"/>
  <c r="AL370" i="1"/>
  <c r="AM370" i="1"/>
  <c r="AN370" i="1"/>
  <c r="AO370" i="1"/>
  <c r="AP370" i="1"/>
  <c r="AW370" i="1"/>
  <c r="AX370" i="1"/>
  <c r="AY370" i="1"/>
  <c r="AZ370" i="1"/>
  <c r="BA370" i="1"/>
  <c r="BB370" i="1"/>
  <c r="AK371" i="1"/>
  <c r="AL371" i="1"/>
  <c r="AM371" i="1"/>
  <c r="AN371" i="1"/>
  <c r="AW371" i="1"/>
  <c r="AX371" i="1"/>
  <c r="AY371" i="1"/>
  <c r="AZ371" i="1"/>
  <c r="BA371" i="1"/>
  <c r="BB371" i="1"/>
  <c r="AK372" i="1"/>
  <c r="AL372" i="1"/>
  <c r="AM372" i="1"/>
  <c r="AN372" i="1"/>
  <c r="AO372" i="1" s="1"/>
  <c r="AP372" i="1"/>
  <c r="AW372" i="1"/>
  <c r="AX372" i="1"/>
  <c r="AY372" i="1"/>
  <c r="AZ372" i="1"/>
  <c r="BA372" i="1"/>
  <c r="BB372" i="1"/>
  <c r="AI373" i="1"/>
  <c r="AK373" i="1"/>
  <c r="AL373" i="1"/>
  <c r="AM373" i="1"/>
  <c r="AN373" i="1"/>
  <c r="AP373" i="1" s="1"/>
  <c r="AW373" i="1"/>
  <c r="AX373" i="1"/>
  <c r="AY373" i="1"/>
  <c r="AZ373" i="1"/>
  <c r="BA373" i="1"/>
  <c r="BB373" i="1"/>
  <c r="AI374" i="1"/>
  <c r="AK374" i="1"/>
  <c r="AL374" i="1"/>
  <c r="AM374" i="1"/>
  <c r="AN374" i="1"/>
  <c r="AO374" i="1" s="1"/>
  <c r="AW374" i="1"/>
  <c r="AX374" i="1"/>
  <c r="AY374" i="1"/>
  <c r="AZ374" i="1"/>
  <c r="BA374" i="1"/>
  <c r="BB374" i="1"/>
  <c r="AK375" i="1"/>
  <c r="AL375" i="1"/>
  <c r="AM375" i="1"/>
  <c r="AN375" i="1"/>
  <c r="AP375" i="1" s="1"/>
  <c r="AW375" i="1"/>
  <c r="AX375" i="1"/>
  <c r="AY375" i="1"/>
  <c r="AZ375" i="1"/>
  <c r="BA375" i="1"/>
  <c r="BB375" i="1"/>
  <c r="AK376" i="1"/>
  <c r="AL376" i="1"/>
  <c r="AM376" i="1"/>
  <c r="AN376" i="1"/>
  <c r="AO376" i="1" s="1"/>
  <c r="AP376" i="1"/>
  <c r="AW376" i="1"/>
  <c r="AX376" i="1"/>
  <c r="AY376" i="1"/>
  <c r="AZ376" i="1"/>
  <c r="BA376" i="1"/>
  <c r="BB376" i="1"/>
  <c r="AI377" i="1"/>
  <c r="AK377" i="1"/>
  <c r="AL377" i="1"/>
  <c r="AM377" i="1"/>
  <c r="AN377" i="1"/>
  <c r="AO377" i="1"/>
  <c r="AP377" i="1"/>
  <c r="AW377" i="1"/>
  <c r="AX377" i="1"/>
  <c r="AY377" i="1"/>
  <c r="AZ377" i="1"/>
  <c r="BA377" i="1"/>
  <c r="BB377" i="1"/>
  <c r="AI378" i="1"/>
  <c r="AK378" i="1"/>
  <c r="AL378" i="1"/>
  <c r="AM378" i="1"/>
  <c r="AN378" i="1"/>
  <c r="AO378" i="1" s="1"/>
  <c r="AP378" i="1"/>
  <c r="AW378" i="1"/>
  <c r="AX378" i="1"/>
  <c r="AY378" i="1"/>
  <c r="AZ378" i="1"/>
  <c r="BA378" i="1"/>
  <c r="BB378" i="1"/>
  <c r="AK379" i="1"/>
  <c r="AL379" i="1"/>
  <c r="AM379" i="1"/>
  <c r="AN379" i="1"/>
  <c r="AP379" i="1" s="1"/>
  <c r="AO379" i="1"/>
  <c r="AW379" i="1"/>
  <c r="AX379" i="1"/>
  <c r="AY379" i="1"/>
  <c r="AZ379" i="1"/>
  <c r="BA379" i="1"/>
  <c r="BB379" i="1"/>
  <c r="AI380" i="1"/>
  <c r="AK380" i="1"/>
  <c r="AL380" i="1"/>
  <c r="AM380" i="1"/>
  <c r="AN380" i="1"/>
  <c r="AP380" i="1" s="1"/>
  <c r="AO380" i="1"/>
  <c r="AW380" i="1"/>
  <c r="AX380" i="1"/>
  <c r="AY380" i="1"/>
  <c r="AZ380" i="1"/>
  <c r="BA380" i="1"/>
  <c r="BB380" i="1"/>
  <c r="AK381" i="1"/>
  <c r="AL381" i="1"/>
  <c r="AM381" i="1"/>
  <c r="AN381" i="1"/>
  <c r="AO381" i="1"/>
  <c r="AP381" i="1"/>
  <c r="AW381" i="1"/>
  <c r="AX381" i="1"/>
  <c r="AY381" i="1"/>
  <c r="AZ381" i="1"/>
  <c r="BA381" i="1"/>
  <c r="BB381" i="1"/>
  <c r="AK382" i="1"/>
  <c r="AL382" i="1"/>
  <c r="AM382" i="1"/>
  <c r="AN382" i="1"/>
  <c r="AO382" i="1"/>
  <c r="AP382" i="1"/>
  <c r="AW382" i="1"/>
  <c r="AX382" i="1"/>
  <c r="AY382" i="1"/>
  <c r="AZ382" i="1"/>
  <c r="BA382" i="1"/>
  <c r="BB382" i="1"/>
  <c r="AK383" i="1"/>
  <c r="AL383" i="1"/>
  <c r="AM383" i="1"/>
  <c r="AN383" i="1"/>
  <c r="AO383" i="1" s="1"/>
  <c r="AP383" i="1"/>
  <c r="AW383" i="1"/>
  <c r="AX383" i="1"/>
  <c r="AY383" i="1"/>
  <c r="AZ383" i="1"/>
  <c r="BA383" i="1"/>
  <c r="BB383" i="1"/>
  <c r="AK384" i="1"/>
  <c r="AL384" i="1"/>
  <c r="AM384" i="1"/>
  <c r="AN384" i="1"/>
  <c r="AO384" i="1" s="1"/>
  <c r="AW384" i="1"/>
  <c r="AX384" i="1"/>
  <c r="AY384" i="1"/>
  <c r="AZ384" i="1"/>
  <c r="BA384" i="1"/>
  <c r="BB384" i="1"/>
  <c r="AI385" i="1"/>
  <c r="AK385" i="1"/>
  <c r="AL385" i="1"/>
  <c r="AM385" i="1"/>
  <c r="AN385" i="1"/>
  <c r="AO385" i="1"/>
  <c r="AP385" i="1"/>
  <c r="AW385" i="1"/>
  <c r="AX385" i="1"/>
  <c r="AY385" i="1"/>
  <c r="AZ385" i="1"/>
  <c r="BA385" i="1"/>
  <c r="BB385" i="1"/>
  <c r="AK386" i="1"/>
  <c r="AL386" i="1"/>
  <c r="AM386" i="1"/>
  <c r="AN386" i="1"/>
  <c r="AO386" i="1" s="1"/>
  <c r="AW386" i="1"/>
  <c r="AX386" i="1"/>
  <c r="AY386" i="1"/>
  <c r="AZ386" i="1"/>
  <c r="BA386" i="1"/>
  <c r="BB386" i="1"/>
  <c r="AI387" i="1"/>
  <c r="AK387" i="1"/>
  <c r="AL387" i="1"/>
  <c r="AM387" i="1"/>
  <c r="AN387" i="1"/>
  <c r="AW387" i="1"/>
  <c r="AX387" i="1"/>
  <c r="AY387" i="1"/>
  <c r="AZ387" i="1"/>
  <c r="BA387" i="1"/>
  <c r="BB387" i="1"/>
  <c r="AK388" i="1"/>
  <c r="AL388" i="1"/>
  <c r="AM388" i="1"/>
  <c r="AN388" i="1"/>
  <c r="AO388" i="1" s="1"/>
  <c r="AW388" i="1"/>
  <c r="AX388" i="1"/>
  <c r="AY388" i="1"/>
  <c r="AZ388" i="1"/>
  <c r="BA388" i="1"/>
  <c r="BB388" i="1"/>
  <c r="AK389" i="1"/>
  <c r="AL389" i="1"/>
  <c r="AM389" i="1"/>
  <c r="AN389" i="1"/>
  <c r="AP389" i="1" s="1"/>
  <c r="AO389" i="1"/>
  <c r="AW389" i="1"/>
  <c r="AX389" i="1"/>
  <c r="AY389" i="1"/>
  <c r="AZ389" i="1"/>
  <c r="BA389" i="1"/>
  <c r="BB389" i="1"/>
  <c r="AI390" i="1"/>
  <c r="AK390" i="1"/>
  <c r="AL390" i="1"/>
  <c r="AM390" i="1"/>
  <c r="AN390" i="1"/>
  <c r="AP390" i="1" s="1"/>
  <c r="AO390" i="1"/>
  <c r="AW390" i="1"/>
  <c r="AX390" i="1"/>
  <c r="AY390" i="1"/>
  <c r="AZ390" i="1"/>
  <c r="BA390" i="1"/>
  <c r="BB390" i="1"/>
  <c r="AI391" i="1"/>
  <c r="AK391" i="1"/>
  <c r="AL391" i="1"/>
  <c r="AM391" i="1"/>
  <c r="AN391" i="1"/>
  <c r="AO391" i="1"/>
  <c r="AP391" i="1"/>
  <c r="AW391" i="1"/>
  <c r="AX391" i="1"/>
  <c r="AY391" i="1"/>
  <c r="AZ391" i="1"/>
  <c r="BA391" i="1"/>
  <c r="BB391" i="1"/>
  <c r="AI392" i="1"/>
  <c r="AK392" i="1"/>
  <c r="AL392" i="1"/>
  <c r="AM392" i="1"/>
  <c r="AN392" i="1"/>
  <c r="AO392" i="1" s="1"/>
  <c r="AW392" i="1"/>
  <c r="AX392" i="1"/>
  <c r="AY392" i="1"/>
  <c r="AZ392" i="1"/>
  <c r="BA392" i="1"/>
  <c r="BB392" i="1"/>
  <c r="AI393" i="1"/>
  <c r="AK393" i="1"/>
  <c r="AL393" i="1"/>
  <c r="AM393" i="1"/>
  <c r="AN393" i="1"/>
  <c r="AP393" i="1" s="1"/>
  <c r="AO393" i="1"/>
  <c r="AW393" i="1"/>
  <c r="AX393" i="1"/>
  <c r="AY393" i="1"/>
  <c r="AZ393" i="1"/>
  <c r="BA393" i="1"/>
  <c r="BB393" i="1"/>
  <c r="AI394" i="1"/>
  <c r="AK394" i="1"/>
  <c r="AL394" i="1"/>
  <c r="AM394" i="1"/>
  <c r="AN394" i="1"/>
  <c r="AO394" i="1" s="1"/>
  <c r="AP394" i="1"/>
  <c r="AW394" i="1"/>
  <c r="AX394" i="1"/>
  <c r="AY394" i="1"/>
  <c r="AZ394" i="1"/>
  <c r="BA394" i="1"/>
  <c r="BB394" i="1"/>
  <c r="AI395" i="1"/>
  <c r="AK395" i="1"/>
  <c r="AL395" i="1"/>
  <c r="AM395" i="1"/>
  <c r="AN395" i="1"/>
  <c r="AP395" i="1" s="1"/>
  <c r="AO395" i="1"/>
  <c r="AW395" i="1"/>
  <c r="AX395" i="1"/>
  <c r="AY395" i="1"/>
  <c r="AZ395" i="1"/>
  <c r="BA395" i="1"/>
  <c r="BB395" i="1"/>
  <c r="AK396" i="1"/>
  <c r="AL396" i="1"/>
  <c r="AM396" i="1"/>
  <c r="AN396" i="1"/>
  <c r="AO396" i="1" s="1"/>
  <c r="AW396" i="1"/>
  <c r="AX396" i="1"/>
  <c r="AY396" i="1"/>
  <c r="AZ396" i="1"/>
  <c r="BA396" i="1"/>
  <c r="BB396" i="1"/>
  <c r="AI397" i="1"/>
  <c r="AK397" i="1"/>
  <c r="AL397" i="1"/>
  <c r="AM397" i="1"/>
  <c r="AN397" i="1"/>
  <c r="AP397" i="1" s="1"/>
  <c r="AO397" i="1"/>
  <c r="AW397" i="1"/>
  <c r="AX397" i="1"/>
  <c r="AY397" i="1"/>
  <c r="AZ397" i="1"/>
  <c r="BA397" i="1"/>
  <c r="BB397" i="1"/>
  <c r="AI398" i="1"/>
  <c r="AK398" i="1"/>
  <c r="AL398" i="1"/>
  <c r="AM398" i="1"/>
  <c r="AN398" i="1"/>
  <c r="AO398" i="1"/>
  <c r="AP398" i="1"/>
  <c r="AW398" i="1"/>
  <c r="AX398" i="1"/>
  <c r="AY398" i="1"/>
  <c r="AZ398" i="1"/>
  <c r="BA398" i="1"/>
  <c r="BB398" i="1"/>
  <c r="AK399" i="1"/>
  <c r="AL399" i="1"/>
  <c r="AM399" i="1"/>
  <c r="AN399" i="1"/>
  <c r="AO399" i="1" s="1"/>
  <c r="AP399" i="1"/>
  <c r="AW399" i="1"/>
  <c r="AX399" i="1"/>
  <c r="AY399" i="1"/>
  <c r="AZ399" i="1"/>
  <c r="BA399" i="1"/>
  <c r="BB399" i="1"/>
  <c r="AI400" i="1"/>
  <c r="AK400" i="1"/>
  <c r="AL400" i="1"/>
  <c r="AM400" i="1"/>
  <c r="AN400" i="1"/>
  <c r="AW400" i="1"/>
  <c r="AX400" i="1"/>
  <c r="AY400" i="1"/>
  <c r="AZ400" i="1"/>
  <c r="BA400" i="1"/>
  <c r="BB400" i="1"/>
  <c r="AK401" i="1"/>
  <c r="AL401" i="1"/>
  <c r="AM401" i="1"/>
  <c r="AN401" i="1"/>
  <c r="AP401" i="1" s="1"/>
  <c r="AO401" i="1"/>
  <c r="AW401" i="1"/>
  <c r="AX401" i="1"/>
  <c r="AY401" i="1"/>
  <c r="AZ401" i="1"/>
  <c r="BA401" i="1"/>
  <c r="BB401" i="1"/>
  <c r="AK402" i="1"/>
  <c r="AL402" i="1"/>
  <c r="AM402" i="1"/>
  <c r="AN402" i="1"/>
  <c r="AO402" i="1"/>
  <c r="AP402" i="1"/>
  <c r="AW402" i="1"/>
  <c r="AX402" i="1"/>
  <c r="AY402" i="1"/>
  <c r="AZ402" i="1"/>
  <c r="BA402" i="1"/>
  <c r="BB402" i="1"/>
  <c r="AK403" i="1"/>
  <c r="AL403" i="1"/>
  <c r="AM403" i="1"/>
  <c r="AN403" i="1"/>
  <c r="AO403" i="1"/>
  <c r="AP403" i="1"/>
  <c r="AW403" i="1"/>
  <c r="AX403" i="1"/>
  <c r="AY403" i="1"/>
  <c r="AZ403" i="1"/>
  <c r="BA403" i="1"/>
  <c r="BB403" i="1"/>
  <c r="AI404" i="1"/>
  <c r="AK404" i="1"/>
  <c r="AL404" i="1"/>
  <c r="AM404" i="1"/>
  <c r="AN404" i="1"/>
  <c r="AO404" i="1"/>
  <c r="AP404" i="1"/>
  <c r="AW404" i="1"/>
  <c r="AX404" i="1"/>
  <c r="AY404" i="1"/>
  <c r="AZ404" i="1"/>
  <c r="BA404" i="1"/>
  <c r="BB404" i="1"/>
  <c r="AI405" i="1"/>
  <c r="AK405" i="1"/>
  <c r="AL405" i="1"/>
  <c r="AM405" i="1"/>
  <c r="AN405" i="1"/>
  <c r="AW405" i="1"/>
  <c r="AX405" i="1"/>
  <c r="AY405" i="1"/>
  <c r="AZ405" i="1"/>
  <c r="BA405" i="1"/>
  <c r="BB405" i="1"/>
  <c r="AK406" i="1"/>
  <c r="AL406" i="1"/>
  <c r="AM406" i="1"/>
  <c r="AN406" i="1"/>
  <c r="AO406" i="1" s="1"/>
  <c r="AW406" i="1"/>
  <c r="AX406" i="1"/>
  <c r="AY406" i="1"/>
  <c r="AZ406" i="1"/>
  <c r="BA406" i="1"/>
  <c r="BB406" i="1"/>
  <c r="AI407" i="1"/>
  <c r="AK407" i="1"/>
  <c r="AL407" i="1"/>
  <c r="AM407" i="1"/>
  <c r="AN407" i="1"/>
  <c r="AP407" i="1" s="1"/>
  <c r="AW407" i="1"/>
  <c r="AX407" i="1"/>
  <c r="AY407" i="1"/>
  <c r="AZ407" i="1"/>
  <c r="BA407" i="1"/>
  <c r="BB407" i="1"/>
  <c r="AI408" i="1"/>
  <c r="AK408" i="1"/>
  <c r="AL408" i="1"/>
  <c r="AM408" i="1"/>
  <c r="AN408" i="1"/>
  <c r="AW408" i="1"/>
  <c r="AX408" i="1"/>
  <c r="AY408" i="1"/>
  <c r="AZ408" i="1"/>
  <c r="BA408" i="1"/>
  <c r="BB408" i="1"/>
  <c r="AK409" i="1"/>
  <c r="AL409" i="1"/>
  <c r="AM409" i="1"/>
  <c r="AN409" i="1"/>
  <c r="AP409" i="1" s="1"/>
  <c r="AO409" i="1"/>
  <c r="AW409" i="1"/>
  <c r="AX409" i="1"/>
  <c r="AY409" i="1"/>
  <c r="AZ409" i="1"/>
  <c r="BA409" i="1"/>
  <c r="BB409" i="1"/>
  <c r="AK410" i="1"/>
  <c r="AL410" i="1"/>
  <c r="AM410" i="1"/>
  <c r="AN410" i="1"/>
  <c r="AO410" i="1" s="1"/>
  <c r="AW410" i="1"/>
  <c r="AX410" i="1"/>
  <c r="AY410" i="1"/>
  <c r="AZ410" i="1"/>
  <c r="BA410" i="1"/>
  <c r="BB410" i="1"/>
  <c r="AK411" i="1"/>
  <c r="AL411" i="1"/>
  <c r="AM411" i="1"/>
  <c r="AN411" i="1"/>
  <c r="AP411" i="1" s="1"/>
  <c r="AO411" i="1"/>
  <c r="AW411" i="1"/>
  <c r="AX411" i="1"/>
  <c r="AY411" i="1"/>
  <c r="AZ411" i="1"/>
  <c r="BA411" i="1"/>
  <c r="BB411" i="1"/>
  <c r="AK412" i="1"/>
  <c r="AL412" i="1"/>
  <c r="AM412" i="1"/>
  <c r="AN412" i="1"/>
  <c r="AO412" i="1"/>
  <c r="AP412" i="1"/>
  <c r="AW412" i="1"/>
  <c r="AX412" i="1"/>
  <c r="AY412" i="1"/>
  <c r="AZ412" i="1"/>
  <c r="BA412" i="1"/>
  <c r="BB412" i="1"/>
  <c r="AK413" i="1"/>
  <c r="AL413" i="1"/>
  <c r="AM413" i="1"/>
  <c r="AN413" i="1"/>
  <c r="AO413" i="1"/>
  <c r="AP413" i="1"/>
  <c r="AW413" i="1"/>
  <c r="AX413" i="1"/>
  <c r="AY413" i="1"/>
  <c r="AZ413" i="1"/>
  <c r="BA413" i="1"/>
  <c r="BB413" i="1"/>
  <c r="AI414" i="1"/>
  <c r="AK414" i="1"/>
  <c r="AL414" i="1"/>
  <c r="AM414" i="1"/>
  <c r="AN414" i="1"/>
  <c r="AO414" i="1" s="1"/>
  <c r="AP414" i="1"/>
  <c r="AW414" i="1"/>
  <c r="AX414" i="1"/>
  <c r="AY414" i="1"/>
  <c r="AZ414" i="1"/>
  <c r="BA414" i="1"/>
  <c r="BB414" i="1"/>
  <c r="AK415" i="1"/>
  <c r="AL415" i="1"/>
  <c r="AM415" i="1"/>
  <c r="AN415" i="1"/>
  <c r="AP415" i="1" s="1"/>
  <c r="AO415" i="1"/>
  <c r="AW415" i="1"/>
  <c r="AX415" i="1"/>
  <c r="AY415" i="1"/>
  <c r="AZ415" i="1"/>
  <c r="BA415" i="1"/>
  <c r="BB415" i="1"/>
  <c r="AI416" i="1"/>
  <c r="AK416" i="1"/>
  <c r="AL416" i="1"/>
  <c r="AM416" i="1"/>
  <c r="AN416" i="1"/>
  <c r="AO416" i="1" s="1"/>
  <c r="AP416" i="1"/>
  <c r="AW416" i="1"/>
  <c r="AX416" i="1"/>
  <c r="AY416" i="1"/>
  <c r="AZ416" i="1"/>
  <c r="BA416" i="1"/>
  <c r="BB416" i="1"/>
  <c r="AK417" i="1"/>
  <c r="AL417" i="1"/>
  <c r="AM417" i="1"/>
  <c r="AN417" i="1"/>
  <c r="AP417" i="1" s="1"/>
  <c r="AO417" i="1"/>
  <c r="AW417" i="1"/>
  <c r="AX417" i="1"/>
  <c r="AY417" i="1"/>
  <c r="AZ417" i="1"/>
  <c r="BA417" i="1"/>
  <c r="BB417" i="1"/>
  <c r="AK418" i="1"/>
  <c r="AL418" i="1"/>
  <c r="AM418" i="1"/>
  <c r="AN418" i="1"/>
  <c r="AO418" i="1" s="1"/>
  <c r="AW418" i="1"/>
  <c r="AX418" i="1"/>
  <c r="AY418" i="1"/>
  <c r="AZ418" i="1"/>
  <c r="BA418" i="1"/>
  <c r="BB418" i="1"/>
  <c r="AI419" i="1"/>
  <c r="AK419" i="1"/>
  <c r="AL419" i="1"/>
  <c r="AM419" i="1"/>
  <c r="AN419" i="1"/>
  <c r="AO419" i="1"/>
  <c r="AP419" i="1"/>
  <c r="AW419" i="1"/>
  <c r="AX419" i="1"/>
  <c r="AY419" i="1"/>
  <c r="AZ419" i="1"/>
  <c r="BA419" i="1"/>
  <c r="BB419" i="1"/>
  <c r="AK420" i="1"/>
  <c r="AL420" i="1"/>
  <c r="AM420" i="1"/>
  <c r="AN420" i="1"/>
  <c r="AO420" i="1" s="1"/>
  <c r="AP420" i="1"/>
  <c r="AW420" i="1"/>
  <c r="AX420" i="1"/>
  <c r="AY420" i="1"/>
  <c r="AZ420" i="1"/>
  <c r="BA420" i="1"/>
  <c r="BB420" i="1"/>
  <c r="AI421" i="1"/>
  <c r="AK421" i="1"/>
  <c r="AL421" i="1"/>
  <c r="AM421" i="1"/>
  <c r="AN421" i="1"/>
  <c r="AP421" i="1" s="1"/>
  <c r="AW421" i="1"/>
  <c r="AX421" i="1"/>
  <c r="AY421" i="1"/>
  <c r="AZ421" i="1"/>
  <c r="BA421" i="1"/>
  <c r="BB421" i="1"/>
  <c r="AK422" i="1"/>
  <c r="AL422" i="1"/>
  <c r="AM422" i="1"/>
  <c r="AN422" i="1"/>
  <c r="AO422" i="1" s="1"/>
  <c r="AP422" i="1"/>
  <c r="AW422" i="1"/>
  <c r="AX422" i="1"/>
  <c r="AY422" i="1"/>
  <c r="AZ422" i="1"/>
  <c r="BA422" i="1"/>
  <c r="BB422" i="1"/>
  <c r="AI423" i="1"/>
  <c r="AK423" i="1"/>
  <c r="AL423" i="1"/>
  <c r="AM423" i="1"/>
  <c r="AN423" i="1"/>
  <c r="AP423" i="1" s="1"/>
  <c r="AW423" i="1"/>
  <c r="AX423" i="1"/>
  <c r="AY423" i="1"/>
  <c r="AZ423" i="1"/>
  <c r="BA423" i="1"/>
  <c r="BB423" i="1"/>
  <c r="AK424" i="1"/>
  <c r="AL424" i="1"/>
  <c r="AM424" i="1"/>
  <c r="AN424" i="1"/>
  <c r="AP424" i="1" s="1"/>
  <c r="AO424" i="1"/>
  <c r="AW424" i="1"/>
  <c r="AX424" i="1"/>
  <c r="AY424" i="1"/>
  <c r="AZ424" i="1"/>
  <c r="BA424" i="1"/>
  <c r="BB424" i="1"/>
  <c r="AI425" i="1"/>
  <c r="AK425" i="1"/>
  <c r="AL425" i="1"/>
  <c r="AM425" i="1"/>
  <c r="AN425" i="1"/>
  <c r="AO425" i="1"/>
  <c r="AP425" i="1"/>
  <c r="AW425" i="1"/>
  <c r="AX425" i="1"/>
  <c r="AY425" i="1"/>
  <c r="AZ425" i="1"/>
  <c r="BA425" i="1"/>
  <c r="BB425" i="1"/>
  <c r="AK426" i="1"/>
  <c r="AL426" i="1"/>
  <c r="AM426" i="1"/>
  <c r="AN426" i="1"/>
  <c r="AO426" i="1" s="1"/>
  <c r="AP426" i="1"/>
  <c r="AW426" i="1"/>
  <c r="AX426" i="1"/>
  <c r="AY426" i="1"/>
  <c r="AZ426" i="1"/>
  <c r="BA426" i="1"/>
  <c r="BB426" i="1"/>
  <c r="AK427" i="1"/>
  <c r="AL427" i="1"/>
  <c r="AM427" i="1"/>
  <c r="AN427" i="1"/>
  <c r="AW427" i="1"/>
  <c r="AX427" i="1"/>
  <c r="AY427" i="1"/>
  <c r="AZ427" i="1"/>
  <c r="BA427" i="1"/>
  <c r="BB427" i="1"/>
  <c r="AK428" i="1"/>
  <c r="AL428" i="1"/>
  <c r="AM428" i="1"/>
  <c r="AN428" i="1"/>
  <c r="AO428" i="1" s="1"/>
  <c r="AW428" i="1"/>
  <c r="AX428" i="1"/>
  <c r="AY428" i="1"/>
  <c r="AZ428" i="1"/>
  <c r="BA428" i="1"/>
  <c r="BB428" i="1"/>
  <c r="AI429" i="1"/>
  <c r="AK429" i="1"/>
  <c r="AL429" i="1"/>
  <c r="AM429" i="1"/>
  <c r="AN429" i="1"/>
  <c r="AP429" i="1" s="1"/>
  <c r="AW429" i="1"/>
  <c r="AX429" i="1"/>
  <c r="AY429" i="1"/>
  <c r="AZ429" i="1"/>
  <c r="BA429" i="1"/>
  <c r="BB429" i="1"/>
  <c r="AK430" i="1"/>
  <c r="AL430" i="1"/>
  <c r="AM430" i="1"/>
  <c r="AN430" i="1"/>
  <c r="AW430" i="1"/>
  <c r="AX430" i="1"/>
  <c r="AY430" i="1"/>
  <c r="AZ430" i="1"/>
  <c r="BA430" i="1"/>
  <c r="BB430" i="1"/>
  <c r="AK431" i="1"/>
  <c r="AL431" i="1"/>
  <c r="AM431" i="1"/>
  <c r="AN431" i="1"/>
  <c r="AP431" i="1" s="1"/>
  <c r="AO431" i="1"/>
  <c r="AW431" i="1"/>
  <c r="AX431" i="1"/>
  <c r="AY431" i="1"/>
  <c r="AZ431" i="1"/>
  <c r="BA431" i="1"/>
  <c r="BB431" i="1"/>
  <c r="AK432" i="1"/>
  <c r="AL432" i="1"/>
  <c r="AM432" i="1"/>
  <c r="AN432" i="1"/>
  <c r="AO432" i="1" s="1"/>
  <c r="AP432" i="1"/>
  <c r="AW432" i="1"/>
  <c r="AX432" i="1"/>
  <c r="AY432" i="1"/>
  <c r="AZ432" i="1"/>
  <c r="BA432" i="1"/>
  <c r="BB432" i="1"/>
  <c r="AI433" i="1"/>
  <c r="AK433" i="1"/>
  <c r="AL433" i="1"/>
  <c r="AM433" i="1"/>
  <c r="AN433" i="1"/>
  <c r="AP433" i="1" s="1"/>
  <c r="AO433" i="1"/>
  <c r="AW433" i="1"/>
  <c r="AX433" i="1"/>
  <c r="AY433" i="1"/>
  <c r="AZ433" i="1"/>
  <c r="BA433" i="1"/>
  <c r="BB433" i="1"/>
  <c r="AI434" i="1"/>
  <c r="AK434" i="1"/>
  <c r="AL434" i="1"/>
  <c r="AM434" i="1"/>
  <c r="AN434" i="1"/>
  <c r="AO434" i="1" s="1"/>
  <c r="AP434" i="1"/>
  <c r="AW434" i="1"/>
  <c r="AX434" i="1"/>
  <c r="AY434" i="1"/>
  <c r="AZ434" i="1"/>
  <c r="BA434" i="1"/>
  <c r="BB434" i="1"/>
  <c r="AI435" i="1"/>
  <c r="AK435" i="1"/>
  <c r="AL435" i="1"/>
  <c r="AM435" i="1"/>
  <c r="AN435" i="1"/>
  <c r="AP435" i="1" s="1"/>
  <c r="AW435" i="1"/>
  <c r="AX435" i="1"/>
  <c r="AY435" i="1"/>
  <c r="AZ435" i="1"/>
  <c r="BA435" i="1"/>
  <c r="BB435" i="1"/>
  <c r="AK436" i="1"/>
  <c r="AL436" i="1"/>
  <c r="AM436" i="1"/>
  <c r="AN436" i="1"/>
  <c r="AP436" i="1" s="1"/>
  <c r="AO436" i="1"/>
  <c r="AW436" i="1"/>
  <c r="AX436" i="1"/>
  <c r="AY436" i="1"/>
  <c r="AZ436" i="1"/>
  <c r="BA436" i="1"/>
  <c r="BB436" i="1"/>
  <c r="AK437" i="1"/>
  <c r="AL437" i="1"/>
  <c r="AM437" i="1"/>
  <c r="AN437" i="1"/>
  <c r="AP437" i="1" s="1"/>
  <c r="AO437" i="1"/>
  <c r="AW437" i="1"/>
  <c r="AX437" i="1"/>
  <c r="AY437" i="1"/>
  <c r="AZ437" i="1"/>
  <c r="BA437" i="1"/>
  <c r="BB437" i="1"/>
  <c r="AK438" i="1"/>
  <c r="AL438" i="1"/>
  <c r="AM438" i="1"/>
  <c r="AN438" i="1"/>
  <c r="AO438" i="1" s="1"/>
  <c r="AP438" i="1"/>
  <c r="AW438" i="1"/>
  <c r="AX438" i="1"/>
  <c r="AY438" i="1"/>
  <c r="AZ438" i="1"/>
  <c r="BA438" i="1"/>
  <c r="BB438" i="1"/>
  <c r="AI439" i="1"/>
  <c r="AK439" i="1"/>
  <c r="AL439" i="1"/>
  <c r="AM439" i="1"/>
  <c r="AN439" i="1"/>
  <c r="AP439" i="1" s="1"/>
  <c r="AO439" i="1"/>
  <c r="AW439" i="1"/>
  <c r="AX439" i="1"/>
  <c r="AY439" i="1"/>
  <c r="AZ439" i="1"/>
  <c r="BA439" i="1"/>
  <c r="BB439" i="1"/>
  <c r="AI440" i="1"/>
  <c r="AK440" i="1"/>
  <c r="AL440" i="1"/>
  <c r="AM440" i="1"/>
  <c r="AN440" i="1"/>
  <c r="AO440" i="1" s="1"/>
  <c r="AW440" i="1"/>
  <c r="AX440" i="1"/>
  <c r="AY440" i="1"/>
  <c r="AZ440" i="1"/>
  <c r="BA440" i="1"/>
  <c r="BB440" i="1"/>
  <c r="AK441" i="1"/>
  <c r="AL441" i="1"/>
  <c r="AM441" i="1"/>
  <c r="AN441" i="1"/>
  <c r="AP441" i="1" s="1"/>
  <c r="AO441" i="1"/>
  <c r="AW441" i="1"/>
  <c r="AX441" i="1"/>
  <c r="AY441" i="1"/>
  <c r="AZ441" i="1"/>
  <c r="BA441" i="1"/>
  <c r="BB441" i="1"/>
  <c r="AI442" i="1"/>
  <c r="AK442" i="1"/>
  <c r="AL442" i="1"/>
  <c r="AM442" i="1"/>
  <c r="AN442" i="1"/>
  <c r="AO442" i="1" s="1"/>
  <c r="AP442" i="1"/>
  <c r="AW442" i="1"/>
  <c r="AX442" i="1"/>
  <c r="AY442" i="1"/>
  <c r="AZ442" i="1"/>
  <c r="BA442" i="1"/>
  <c r="BB442" i="1"/>
  <c r="AI443" i="1"/>
  <c r="AK443" i="1"/>
  <c r="AL443" i="1"/>
  <c r="AM443" i="1"/>
  <c r="AN443" i="1"/>
  <c r="AP443" i="1" s="1"/>
  <c r="AW443" i="1"/>
  <c r="AX443" i="1"/>
  <c r="AY443" i="1"/>
  <c r="AZ443" i="1"/>
  <c r="BA443" i="1"/>
  <c r="BB443" i="1"/>
  <c r="AK444" i="1"/>
  <c r="AL444" i="1"/>
  <c r="AM444" i="1"/>
  <c r="AN444" i="1"/>
  <c r="AP444" i="1" s="1"/>
  <c r="AW444" i="1"/>
  <c r="AX444" i="1"/>
  <c r="AY444" i="1"/>
  <c r="AZ444" i="1"/>
  <c r="BA444" i="1"/>
  <c r="BB444" i="1"/>
  <c r="AK445" i="1"/>
  <c r="AL445" i="1"/>
  <c r="AM445" i="1"/>
  <c r="AN445" i="1"/>
  <c r="AO445" i="1"/>
  <c r="AP445" i="1"/>
  <c r="AW445" i="1"/>
  <c r="AX445" i="1"/>
  <c r="AY445" i="1"/>
  <c r="AZ445" i="1"/>
  <c r="BA445" i="1"/>
  <c r="BB445" i="1"/>
  <c r="AK446" i="1"/>
  <c r="AL446" i="1"/>
  <c r="AM446" i="1"/>
  <c r="AN446" i="1"/>
  <c r="AO446" i="1" s="1"/>
  <c r="AP446" i="1"/>
  <c r="AW446" i="1"/>
  <c r="AX446" i="1"/>
  <c r="AY446" i="1"/>
  <c r="AZ446" i="1"/>
  <c r="BA446" i="1"/>
  <c r="BB446" i="1"/>
  <c r="AK447" i="1"/>
  <c r="AL447" i="1"/>
  <c r="AM447" i="1"/>
  <c r="AN447" i="1"/>
  <c r="AP447" i="1" s="1"/>
  <c r="AO447" i="1"/>
  <c r="AW447" i="1"/>
  <c r="AX447" i="1"/>
  <c r="AY447" i="1"/>
  <c r="AZ447" i="1"/>
  <c r="BA447" i="1"/>
  <c r="BB447" i="1"/>
  <c r="AI448" i="1"/>
  <c r="AK448" i="1"/>
  <c r="AL448" i="1"/>
  <c r="AM448" i="1"/>
  <c r="AN448" i="1"/>
  <c r="AO448" i="1" s="1"/>
  <c r="AP448" i="1"/>
  <c r="AW448" i="1"/>
  <c r="AX448" i="1"/>
  <c r="AY448" i="1"/>
  <c r="AZ448" i="1"/>
  <c r="BA448" i="1"/>
  <c r="BB448" i="1"/>
  <c r="AI449" i="1"/>
  <c r="AK449" i="1"/>
  <c r="AL449" i="1"/>
  <c r="AM449" i="1"/>
  <c r="AN449" i="1"/>
  <c r="AP449" i="1" s="1"/>
  <c r="AW449" i="1"/>
  <c r="AX449" i="1"/>
  <c r="AY449" i="1"/>
  <c r="AZ449" i="1"/>
  <c r="BA449" i="1"/>
  <c r="BB449" i="1"/>
  <c r="AI450" i="1"/>
  <c r="AK450" i="1"/>
  <c r="AL450" i="1"/>
  <c r="AM450" i="1"/>
  <c r="AN450" i="1"/>
  <c r="AO450" i="1" s="1"/>
  <c r="AW450" i="1"/>
  <c r="AX450" i="1"/>
  <c r="AY450" i="1"/>
  <c r="AZ450" i="1"/>
  <c r="BA450" i="1"/>
  <c r="BB450" i="1"/>
  <c r="AI451" i="1"/>
  <c r="AK451" i="1"/>
  <c r="AL451" i="1"/>
  <c r="AM451" i="1"/>
  <c r="AN451" i="1"/>
  <c r="AP451" i="1" s="1"/>
  <c r="AW451" i="1"/>
  <c r="AX451" i="1"/>
  <c r="AY451" i="1"/>
  <c r="AZ451" i="1"/>
  <c r="BA451" i="1"/>
  <c r="BB451" i="1"/>
  <c r="AK452" i="1"/>
  <c r="AL452" i="1"/>
  <c r="AM452" i="1"/>
  <c r="AN452" i="1"/>
  <c r="AP452" i="1" s="1"/>
  <c r="AW452" i="1"/>
  <c r="AX452" i="1"/>
  <c r="AY452" i="1"/>
  <c r="AZ452" i="1"/>
  <c r="BA452" i="1"/>
  <c r="BB452" i="1"/>
  <c r="AK453" i="1"/>
  <c r="AL453" i="1"/>
  <c r="AM453" i="1"/>
  <c r="AN453" i="1"/>
  <c r="AO453" i="1"/>
  <c r="AP453" i="1"/>
  <c r="AW453" i="1"/>
  <c r="AX453" i="1"/>
  <c r="AY453" i="1"/>
  <c r="AZ453" i="1"/>
  <c r="BA453" i="1"/>
  <c r="BB453" i="1"/>
  <c r="AK454" i="1"/>
  <c r="AL454" i="1"/>
  <c r="AM454" i="1"/>
  <c r="AN454" i="1"/>
  <c r="AO454" i="1"/>
  <c r="AP454" i="1"/>
  <c r="AW454" i="1"/>
  <c r="AX454" i="1"/>
  <c r="AY454" i="1"/>
  <c r="AZ454" i="1"/>
  <c r="BA454" i="1"/>
  <c r="BB454" i="1"/>
  <c r="AK455" i="1"/>
  <c r="AL455" i="1"/>
  <c r="AM455" i="1"/>
  <c r="AN455" i="1"/>
  <c r="AO455" i="1" s="1"/>
  <c r="AW455" i="1"/>
  <c r="AX455" i="1"/>
  <c r="AY455" i="1"/>
  <c r="AZ455" i="1"/>
  <c r="BA455" i="1"/>
  <c r="BB455" i="1"/>
  <c r="AI456" i="1"/>
  <c r="AK456" i="1"/>
  <c r="AL456" i="1"/>
  <c r="AM456" i="1"/>
  <c r="AN456" i="1"/>
  <c r="AO456" i="1" s="1"/>
  <c r="AP456" i="1"/>
  <c r="AW456" i="1"/>
  <c r="AX456" i="1"/>
  <c r="AY456" i="1"/>
  <c r="AZ456" i="1"/>
  <c r="BA456" i="1"/>
  <c r="BB456" i="1"/>
  <c r="AI457" i="1"/>
  <c r="AK457" i="1"/>
  <c r="AL457" i="1"/>
  <c r="AM457" i="1"/>
  <c r="AN457" i="1"/>
  <c r="AW457" i="1"/>
  <c r="AX457" i="1"/>
  <c r="AY457" i="1"/>
  <c r="AZ457" i="1"/>
  <c r="BA457" i="1"/>
  <c r="BB457" i="1"/>
  <c r="AK458" i="1"/>
  <c r="AL458" i="1"/>
  <c r="AM458" i="1"/>
  <c r="AN458" i="1"/>
  <c r="AO458" i="1" s="1"/>
  <c r="AW458" i="1"/>
  <c r="AX458" i="1"/>
  <c r="AY458" i="1"/>
  <c r="AZ458" i="1"/>
  <c r="BA458" i="1"/>
  <c r="BB458" i="1"/>
  <c r="AK459" i="1"/>
  <c r="AL459" i="1"/>
  <c r="AM459" i="1"/>
  <c r="AN459" i="1"/>
  <c r="AP459" i="1" s="1"/>
  <c r="AO459" i="1"/>
  <c r="AW459" i="1"/>
  <c r="AX459" i="1"/>
  <c r="AY459" i="1"/>
  <c r="AZ459" i="1"/>
  <c r="BA459" i="1"/>
  <c r="BB459" i="1"/>
  <c r="AK460" i="1"/>
  <c r="AL460" i="1"/>
  <c r="AM460" i="1"/>
  <c r="AN460" i="1"/>
  <c r="AO460" i="1" s="1"/>
  <c r="AP460" i="1"/>
  <c r="AW460" i="1"/>
  <c r="AX460" i="1"/>
  <c r="AY460" i="1"/>
  <c r="AZ460" i="1"/>
  <c r="BA460" i="1"/>
  <c r="BB460" i="1"/>
  <c r="AI461" i="1"/>
  <c r="AK461" i="1"/>
  <c r="AL461" i="1"/>
  <c r="AM461" i="1"/>
  <c r="AN461" i="1"/>
  <c r="AO461" i="1" s="1"/>
  <c r="AP461" i="1"/>
  <c r="AW461" i="1"/>
  <c r="AX461" i="1"/>
  <c r="AY461" i="1"/>
  <c r="AZ461" i="1"/>
  <c r="BA461" i="1"/>
  <c r="BB461" i="1"/>
  <c r="AK462" i="1"/>
  <c r="AL462" i="1"/>
  <c r="AM462" i="1"/>
  <c r="AN462" i="1"/>
  <c r="AO462" i="1" s="1"/>
  <c r="AW462" i="1"/>
  <c r="AX462" i="1"/>
  <c r="AY462" i="1"/>
  <c r="AZ462" i="1"/>
  <c r="BA462" i="1"/>
  <c r="BB462" i="1"/>
  <c r="AI463" i="1"/>
  <c r="AK463" i="1"/>
  <c r="AL463" i="1"/>
  <c r="AM463" i="1"/>
  <c r="AN463" i="1"/>
  <c r="AP463" i="1" s="1"/>
  <c r="AO463" i="1"/>
  <c r="AW463" i="1"/>
  <c r="AX463" i="1"/>
  <c r="AY463" i="1"/>
  <c r="AZ463" i="1"/>
  <c r="BA463" i="1"/>
  <c r="BB463" i="1"/>
  <c r="AI464" i="1"/>
  <c r="AK464" i="1"/>
  <c r="AL464" i="1"/>
  <c r="AM464" i="1"/>
  <c r="AN464" i="1"/>
  <c r="AO464" i="1"/>
  <c r="AP464" i="1"/>
  <c r="AW464" i="1"/>
  <c r="AX464" i="1"/>
  <c r="AY464" i="1"/>
  <c r="AZ464" i="1"/>
  <c r="BA464" i="1"/>
  <c r="BB464" i="1"/>
  <c r="AI465" i="1"/>
  <c r="AK465" i="1"/>
  <c r="AL465" i="1"/>
  <c r="AM465" i="1"/>
  <c r="AN465" i="1"/>
  <c r="AO465" i="1"/>
  <c r="AP465" i="1"/>
  <c r="AW465" i="1"/>
  <c r="AX465" i="1"/>
  <c r="AY465" i="1"/>
  <c r="AZ465" i="1"/>
  <c r="BA465" i="1"/>
  <c r="BB465" i="1"/>
  <c r="AK466" i="1"/>
  <c r="AL466" i="1"/>
  <c r="AM466" i="1"/>
  <c r="AN466" i="1"/>
  <c r="AW466" i="1"/>
  <c r="AX466" i="1"/>
  <c r="AY466" i="1"/>
  <c r="AZ466" i="1"/>
  <c r="BA466" i="1"/>
  <c r="BB466" i="1"/>
  <c r="AK467" i="1"/>
  <c r="AL467" i="1"/>
  <c r="AM467" i="1"/>
  <c r="AN467" i="1"/>
  <c r="AP467" i="1" s="1"/>
  <c r="AO467" i="1"/>
  <c r="AW467" i="1"/>
  <c r="AX467" i="1"/>
  <c r="AY467" i="1"/>
  <c r="AZ467" i="1"/>
  <c r="BA467" i="1"/>
  <c r="BB467" i="1"/>
  <c r="AK468" i="1"/>
  <c r="AL468" i="1"/>
  <c r="AM468" i="1"/>
  <c r="AN468" i="1"/>
  <c r="AO468" i="1" s="1"/>
  <c r="AP468" i="1"/>
  <c r="AW468" i="1"/>
  <c r="AX468" i="1"/>
  <c r="AY468" i="1"/>
  <c r="AZ468" i="1"/>
  <c r="BA468" i="1"/>
  <c r="BB468" i="1"/>
  <c r="AK469" i="1"/>
  <c r="AL469" i="1"/>
  <c r="AM469" i="1"/>
  <c r="AN469" i="1"/>
  <c r="AP469" i="1" s="1"/>
  <c r="AW469" i="1"/>
  <c r="AX469" i="1"/>
  <c r="AY469" i="1"/>
  <c r="AZ469" i="1"/>
  <c r="BA469" i="1"/>
  <c r="BB469" i="1"/>
  <c r="AI470" i="1"/>
  <c r="AK470" i="1"/>
  <c r="AL470" i="1"/>
  <c r="AM470" i="1"/>
  <c r="AN470" i="1"/>
  <c r="AO470" i="1" s="1"/>
  <c r="AP470" i="1"/>
  <c r="AW470" i="1"/>
  <c r="AX470" i="1"/>
  <c r="AY470" i="1"/>
  <c r="AZ470" i="1"/>
  <c r="BA470" i="1"/>
  <c r="BB470" i="1"/>
  <c r="AI471" i="1"/>
  <c r="AK471" i="1"/>
  <c r="AL471" i="1"/>
  <c r="AM471" i="1"/>
  <c r="AN471" i="1"/>
  <c r="AP471" i="1" s="1"/>
  <c r="AW471" i="1"/>
  <c r="AX471" i="1"/>
  <c r="AY471" i="1"/>
  <c r="AZ471" i="1"/>
  <c r="BA471" i="1"/>
  <c r="BB471" i="1"/>
  <c r="AK472" i="1"/>
  <c r="AL472" i="1"/>
  <c r="AM472" i="1"/>
  <c r="AN472" i="1"/>
  <c r="AO472" i="1" s="1"/>
  <c r="AW472" i="1"/>
  <c r="AX472" i="1"/>
  <c r="AY472" i="1"/>
  <c r="AZ472" i="1"/>
  <c r="BA472" i="1"/>
  <c r="BB472" i="1"/>
  <c r="AK473" i="1"/>
  <c r="AL473" i="1"/>
  <c r="AM473" i="1"/>
  <c r="AN473" i="1"/>
  <c r="AP473" i="1" s="1"/>
  <c r="AO473" i="1"/>
  <c r="AW473" i="1"/>
  <c r="AX473" i="1"/>
  <c r="AY473" i="1"/>
  <c r="AZ473" i="1"/>
  <c r="BA473" i="1"/>
  <c r="BB473" i="1"/>
  <c r="AK474" i="1"/>
  <c r="AL474" i="1"/>
  <c r="AM474" i="1"/>
  <c r="AN474" i="1"/>
  <c r="AW474" i="1"/>
  <c r="AX474" i="1"/>
  <c r="AY474" i="1"/>
  <c r="AZ474" i="1"/>
  <c r="BA474" i="1"/>
  <c r="BB474" i="1"/>
  <c r="AK475" i="1"/>
  <c r="AL475" i="1"/>
  <c r="AM475" i="1"/>
  <c r="AN475" i="1"/>
  <c r="AP475" i="1" s="1"/>
  <c r="AO475" i="1"/>
  <c r="AW475" i="1"/>
  <c r="AX475" i="1"/>
  <c r="AY475" i="1"/>
  <c r="AZ475" i="1"/>
  <c r="BA475" i="1"/>
  <c r="BB475" i="1"/>
  <c r="AK476" i="1"/>
  <c r="AL476" i="1"/>
  <c r="AM476" i="1"/>
  <c r="AN476" i="1"/>
  <c r="AW476" i="1"/>
  <c r="AX476" i="1"/>
  <c r="AY476" i="1"/>
  <c r="AZ476" i="1"/>
  <c r="BA476" i="1"/>
  <c r="BB476" i="1"/>
  <c r="AI477" i="1"/>
  <c r="AK477" i="1"/>
  <c r="AL477" i="1"/>
  <c r="AM477" i="1"/>
  <c r="AN477" i="1"/>
  <c r="AP477" i="1" s="1"/>
  <c r="AO477" i="1"/>
  <c r="AW477" i="1"/>
  <c r="AX477" i="1"/>
  <c r="AY477" i="1"/>
  <c r="AZ477" i="1"/>
  <c r="BA477" i="1"/>
  <c r="BB477" i="1"/>
  <c r="AI478" i="1"/>
  <c r="AK478" i="1"/>
  <c r="AL478" i="1"/>
  <c r="AM478" i="1"/>
  <c r="AN478" i="1"/>
  <c r="AO478" i="1" s="1"/>
  <c r="AP478" i="1"/>
  <c r="AW478" i="1"/>
  <c r="AX478" i="1"/>
  <c r="AY478" i="1"/>
  <c r="AZ478" i="1"/>
  <c r="BA478" i="1"/>
  <c r="BB478" i="1"/>
  <c r="AK479" i="1"/>
  <c r="AL479" i="1"/>
  <c r="AM479" i="1"/>
  <c r="AN479" i="1"/>
  <c r="AW479" i="1"/>
  <c r="AX479" i="1"/>
  <c r="AY479" i="1"/>
  <c r="AZ479" i="1"/>
  <c r="BA479" i="1"/>
  <c r="BB479" i="1"/>
  <c r="AK480" i="1"/>
  <c r="AL480" i="1"/>
  <c r="AM480" i="1"/>
  <c r="AN480" i="1"/>
  <c r="AP480" i="1" s="1"/>
  <c r="AO480" i="1"/>
  <c r="AW480" i="1"/>
  <c r="AX480" i="1"/>
  <c r="AY480" i="1"/>
  <c r="AZ480" i="1"/>
  <c r="BA480" i="1"/>
  <c r="BB480" i="1"/>
  <c r="AK481" i="1"/>
  <c r="AL481" i="1"/>
  <c r="AM481" i="1"/>
  <c r="AN481" i="1"/>
  <c r="AP481" i="1" s="1"/>
  <c r="AO481" i="1"/>
  <c r="AW481" i="1"/>
  <c r="AX481" i="1"/>
  <c r="AY481" i="1"/>
  <c r="AZ481" i="1"/>
  <c r="BA481" i="1"/>
  <c r="BB481" i="1"/>
  <c r="AI482" i="1"/>
  <c r="AK482" i="1"/>
  <c r="AL482" i="1"/>
  <c r="AM482" i="1"/>
  <c r="AN482" i="1"/>
  <c r="AO482" i="1" s="1"/>
  <c r="AP482" i="1"/>
  <c r="AW482" i="1"/>
  <c r="AX482" i="1"/>
  <c r="AY482" i="1"/>
  <c r="AZ482" i="1"/>
  <c r="BA482" i="1"/>
  <c r="BB482" i="1"/>
  <c r="AK483" i="1"/>
  <c r="AL483" i="1"/>
  <c r="AM483" i="1"/>
  <c r="AN483" i="1"/>
  <c r="AO483" i="1"/>
  <c r="AP483" i="1"/>
  <c r="AW483" i="1"/>
  <c r="AX483" i="1"/>
  <c r="AY483" i="1"/>
  <c r="AZ483" i="1"/>
  <c r="BA483" i="1"/>
  <c r="BB483" i="1"/>
  <c r="AI484" i="1"/>
  <c r="AK484" i="1"/>
  <c r="AL484" i="1"/>
  <c r="AM484" i="1"/>
  <c r="AN484" i="1"/>
  <c r="AO484" i="1" s="1"/>
  <c r="AW484" i="1"/>
  <c r="AX484" i="1"/>
  <c r="AY484" i="1"/>
  <c r="AZ484" i="1"/>
  <c r="BA484" i="1"/>
  <c r="BB484" i="1"/>
  <c r="AI485" i="1"/>
  <c r="AK485" i="1"/>
  <c r="AL485" i="1"/>
  <c r="AM485" i="1"/>
  <c r="AN485" i="1"/>
  <c r="AW485" i="1"/>
  <c r="AX485" i="1"/>
  <c r="AY485" i="1"/>
  <c r="AZ485" i="1"/>
  <c r="BA485" i="1"/>
  <c r="BB485" i="1"/>
  <c r="AI486" i="1"/>
  <c r="AK486" i="1"/>
  <c r="AL486" i="1"/>
  <c r="AM486" i="1"/>
  <c r="AN486" i="1"/>
  <c r="AO486" i="1"/>
  <c r="AP486" i="1"/>
  <c r="AW486" i="1"/>
  <c r="AX486" i="1"/>
  <c r="AY486" i="1"/>
  <c r="AZ486" i="1"/>
  <c r="BA486" i="1"/>
  <c r="BB486" i="1"/>
  <c r="AK487" i="1"/>
  <c r="AL487" i="1"/>
  <c r="AM487" i="1"/>
  <c r="AN487" i="1"/>
  <c r="AO487" i="1"/>
  <c r="AP487" i="1"/>
  <c r="AW487" i="1"/>
  <c r="AX487" i="1"/>
  <c r="AY487" i="1"/>
  <c r="AZ487" i="1"/>
  <c r="BA487" i="1"/>
  <c r="BB487" i="1"/>
  <c r="AK488" i="1"/>
  <c r="AL488" i="1"/>
  <c r="AM488" i="1"/>
  <c r="AN488" i="1"/>
  <c r="AO488" i="1" s="1"/>
  <c r="AP488" i="1"/>
  <c r="AW488" i="1"/>
  <c r="AX488" i="1"/>
  <c r="AY488" i="1"/>
  <c r="AZ488" i="1"/>
  <c r="BA488" i="1"/>
  <c r="BB488" i="1"/>
  <c r="AI489" i="1"/>
  <c r="AK489" i="1"/>
  <c r="AL489" i="1"/>
  <c r="AM489" i="1"/>
  <c r="AN489" i="1"/>
  <c r="AW489" i="1"/>
  <c r="AX489" i="1"/>
  <c r="AY489" i="1"/>
  <c r="AZ489" i="1"/>
  <c r="BA489" i="1"/>
  <c r="BB489" i="1"/>
  <c r="AK490" i="1"/>
  <c r="AL490" i="1"/>
  <c r="AM490" i="1"/>
  <c r="AN490" i="1"/>
  <c r="AO490" i="1" s="1"/>
  <c r="AP490" i="1"/>
  <c r="AW490" i="1"/>
  <c r="AX490" i="1"/>
  <c r="AY490" i="1"/>
  <c r="AZ490" i="1"/>
  <c r="BA490" i="1"/>
  <c r="BB490" i="1"/>
  <c r="AI491" i="1"/>
  <c r="AK491" i="1"/>
  <c r="AL491" i="1"/>
  <c r="AM491" i="1"/>
  <c r="AN491" i="1"/>
  <c r="AP491" i="1" s="1"/>
  <c r="AO491" i="1"/>
  <c r="AW491" i="1"/>
  <c r="AX491" i="1"/>
  <c r="AY491" i="1"/>
  <c r="AZ491" i="1"/>
  <c r="BA491" i="1"/>
  <c r="BB491" i="1"/>
  <c r="AI492" i="1"/>
  <c r="AK492" i="1"/>
  <c r="AL492" i="1"/>
  <c r="AM492" i="1"/>
  <c r="AN492" i="1"/>
  <c r="AO492" i="1" s="1"/>
  <c r="AP492" i="1"/>
  <c r="AW492" i="1"/>
  <c r="AX492" i="1"/>
  <c r="AY492" i="1"/>
  <c r="AZ492" i="1"/>
  <c r="BA492" i="1"/>
  <c r="BB492" i="1"/>
  <c r="AI493" i="1"/>
  <c r="AK493" i="1"/>
  <c r="AL493" i="1"/>
  <c r="AM493" i="1"/>
  <c r="AN493" i="1"/>
  <c r="AW493" i="1"/>
  <c r="AX493" i="1"/>
  <c r="AY493" i="1"/>
  <c r="AZ493" i="1"/>
  <c r="BA493" i="1"/>
  <c r="BB493" i="1"/>
  <c r="AK494" i="1"/>
  <c r="AL494" i="1"/>
  <c r="AM494" i="1"/>
  <c r="AN494" i="1"/>
  <c r="AO494" i="1" s="1"/>
  <c r="AW494" i="1"/>
  <c r="AX494" i="1"/>
  <c r="AY494" i="1"/>
  <c r="AZ494" i="1"/>
  <c r="BA494" i="1"/>
  <c r="BB494" i="1"/>
  <c r="AH5" i="1"/>
  <c r="AI5" i="1" s="1"/>
  <c r="AH6" i="1"/>
  <c r="AI6" i="1" s="1"/>
  <c r="AH7" i="1"/>
  <c r="AI7" i="1" s="1"/>
  <c r="AH8" i="1"/>
  <c r="AI8" i="1" s="1"/>
  <c r="AH9" i="1"/>
  <c r="AI9" i="1" s="1"/>
  <c r="AH10" i="1"/>
  <c r="AI10" i="1" s="1"/>
  <c r="AH11" i="1"/>
  <c r="AI11" i="1" s="1"/>
  <c r="AH12" i="1"/>
  <c r="AI12" i="1" s="1"/>
  <c r="AH13" i="1"/>
  <c r="AI13" i="1" s="1"/>
  <c r="AH14" i="1"/>
  <c r="AI14" i="1" s="1"/>
  <c r="AH15" i="1"/>
  <c r="AH16" i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H23" i="1"/>
  <c r="AH24" i="1"/>
  <c r="AI24" i="1" s="1"/>
  <c r="AH25" i="1"/>
  <c r="AI25" i="1" s="1"/>
  <c r="AH26" i="1"/>
  <c r="AI26" i="1" s="1"/>
  <c r="AH27" i="1"/>
  <c r="AH28" i="1"/>
  <c r="AI28" i="1" s="1"/>
  <c r="AH29" i="1"/>
  <c r="AI29" i="1" s="1"/>
  <c r="AH30" i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H37" i="1"/>
  <c r="AH38" i="1"/>
  <c r="AI38" i="1" s="1"/>
  <c r="AH39" i="1"/>
  <c r="AI39" i="1" s="1"/>
  <c r="AH40" i="1"/>
  <c r="AI40" i="1" s="1"/>
  <c r="AH41" i="1"/>
  <c r="AI41" i="1" s="1"/>
  <c r="AH42" i="1"/>
  <c r="AH43" i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50" i="1"/>
  <c r="AI50" i="1" s="1"/>
  <c r="AH51" i="1"/>
  <c r="AH52" i="1"/>
  <c r="AI52" i="1" s="1"/>
  <c r="AH53" i="1"/>
  <c r="AI53" i="1" s="1"/>
  <c r="AH54" i="1"/>
  <c r="AI54" i="1" s="1"/>
  <c r="AH55" i="1"/>
  <c r="AH56" i="1"/>
  <c r="AI56" i="1" s="1"/>
  <c r="AH57" i="1"/>
  <c r="AI57" i="1" s="1"/>
  <c r="AH58" i="1"/>
  <c r="AH59" i="1"/>
  <c r="AI59" i="1" s="1"/>
  <c r="AH60" i="1"/>
  <c r="AI60" i="1" s="1"/>
  <c r="AH61" i="1"/>
  <c r="AI61" i="1" s="1"/>
  <c r="AH62" i="1"/>
  <c r="AI62" i="1" s="1"/>
  <c r="AH63" i="1"/>
  <c r="AI63" i="1" s="1"/>
  <c r="AH64" i="1"/>
  <c r="AI64" i="1" s="1"/>
  <c r="AH65" i="1"/>
  <c r="AI65" i="1" s="1"/>
  <c r="AH66" i="1"/>
  <c r="AI66" i="1" s="1"/>
  <c r="AH67" i="1"/>
  <c r="AI67" i="1" s="1"/>
  <c r="AH68" i="1"/>
  <c r="AI68" i="1" s="1"/>
  <c r="AH69" i="1"/>
  <c r="AH70" i="1"/>
  <c r="AI70" i="1" s="1"/>
  <c r="AH71" i="1"/>
  <c r="AH72" i="1"/>
  <c r="AI72" i="1" s="1"/>
  <c r="AH73" i="1"/>
  <c r="AH74" i="1"/>
  <c r="AH75" i="1"/>
  <c r="AI75" i="1" s="1"/>
  <c r="AH76" i="1"/>
  <c r="AI76" i="1" s="1"/>
  <c r="AH77" i="1"/>
  <c r="AI77" i="1" s="1"/>
  <c r="AH78" i="1"/>
  <c r="AH79" i="1"/>
  <c r="AH80" i="1"/>
  <c r="AI80" i="1" s="1"/>
  <c r="AH81" i="1"/>
  <c r="AI81" i="1" s="1"/>
  <c r="AH82" i="1"/>
  <c r="AI82" i="1" s="1"/>
  <c r="AH83" i="1"/>
  <c r="AI83" i="1" s="1"/>
  <c r="AH84" i="1"/>
  <c r="AI84" i="1" s="1"/>
  <c r="AH85" i="1"/>
  <c r="AH86" i="1"/>
  <c r="AI86" i="1" s="1"/>
  <c r="AH87" i="1"/>
  <c r="AI87" i="1" s="1"/>
  <c r="AH88" i="1"/>
  <c r="AI88" i="1" s="1"/>
  <c r="AH89" i="1"/>
  <c r="AI89" i="1" s="1"/>
  <c r="AH90" i="1"/>
  <c r="AI90" i="1" s="1"/>
  <c r="AH91" i="1"/>
  <c r="AI91" i="1" s="1"/>
  <c r="AH92" i="1"/>
  <c r="AI92" i="1" s="1"/>
  <c r="AH93" i="1"/>
  <c r="AH94" i="1"/>
  <c r="AI94" i="1" s="1"/>
  <c r="AH95" i="1"/>
  <c r="AI95" i="1" s="1"/>
  <c r="AH96" i="1"/>
  <c r="AH97" i="1"/>
  <c r="AI97" i="1" s="1"/>
  <c r="AH98" i="1"/>
  <c r="AI98" i="1" s="1"/>
  <c r="AH99" i="1"/>
  <c r="AH100" i="1"/>
  <c r="AI100" i="1" s="1"/>
  <c r="AH101" i="1"/>
  <c r="AI101" i="1" s="1"/>
  <c r="AH102" i="1"/>
  <c r="AI102" i="1" s="1"/>
  <c r="AH103" i="1"/>
  <c r="AH104" i="1"/>
  <c r="AI104" i="1" s="1"/>
  <c r="AH105" i="1"/>
  <c r="AI105" i="1" s="1"/>
  <c r="AH106" i="1"/>
  <c r="AH107" i="1"/>
  <c r="AI107" i="1" s="1"/>
  <c r="AH108" i="1"/>
  <c r="AI108" i="1" s="1"/>
  <c r="AH109" i="1"/>
  <c r="AI109" i="1" s="1"/>
  <c r="AH110" i="1"/>
  <c r="AI110" i="1" s="1"/>
  <c r="AH111" i="1"/>
  <c r="AI111" i="1" s="1"/>
  <c r="AH112" i="1"/>
  <c r="AI112" i="1" s="1"/>
  <c r="AH113" i="1"/>
  <c r="AH114" i="1"/>
  <c r="AI114" i="1" s="1"/>
  <c r="AH115" i="1"/>
  <c r="AI115" i="1" s="1"/>
  <c r="AH116" i="1"/>
  <c r="AH117" i="1"/>
  <c r="AI117" i="1" s="1"/>
  <c r="AH118" i="1"/>
  <c r="AI118" i="1" s="1"/>
  <c r="AH119" i="1"/>
  <c r="AI119" i="1" s="1"/>
  <c r="AH120" i="1"/>
  <c r="AH121" i="1"/>
  <c r="AH122" i="1"/>
  <c r="AI122" i="1" s="1"/>
  <c r="AH123" i="1"/>
  <c r="AI123" i="1" s="1"/>
  <c r="AH124" i="1"/>
  <c r="AI124" i="1" s="1"/>
  <c r="AH125" i="1"/>
  <c r="AH126" i="1"/>
  <c r="AH127" i="1"/>
  <c r="AH128" i="1"/>
  <c r="AH129" i="1"/>
  <c r="AH130" i="1"/>
  <c r="AI130" i="1" s="1"/>
  <c r="AH131" i="1"/>
  <c r="AI131" i="1" s="1"/>
  <c r="AH132" i="1"/>
  <c r="AI132" i="1" s="1"/>
  <c r="AH133" i="1"/>
  <c r="AI133" i="1" s="1"/>
  <c r="AH134" i="1"/>
  <c r="AH135" i="1"/>
  <c r="AH136" i="1"/>
  <c r="AI136" i="1" s="1"/>
  <c r="AH137" i="1"/>
  <c r="AI137" i="1" s="1"/>
  <c r="AH138" i="1"/>
  <c r="AI138" i="1" s="1"/>
  <c r="AH139" i="1"/>
  <c r="AI139" i="1" s="1"/>
  <c r="AH140" i="1"/>
  <c r="AH141" i="1"/>
  <c r="AH142" i="1"/>
  <c r="AH143" i="1"/>
  <c r="AI143" i="1" s="1"/>
  <c r="AH144" i="1"/>
  <c r="AH145" i="1"/>
  <c r="AH146" i="1"/>
  <c r="AI146" i="1" s="1"/>
  <c r="AH147" i="1"/>
  <c r="AI147" i="1" s="1"/>
  <c r="AH148" i="1"/>
  <c r="AH149" i="1"/>
  <c r="AH150" i="1"/>
  <c r="AI150" i="1" s="1"/>
  <c r="AH151" i="1"/>
  <c r="AI151" i="1" s="1"/>
  <c r="AH152" i="1"/>
  <c r="AI152" i="1" s="1"/>
  <c r="AH153" i="1"/>
  <c r="AI153" i="1" s="1"/>
  <c r="AH154" i="1"/>
  <c r="AH155" i="1"/>
  <c r="AH156" i="1"/>
  <c r="AI156" i="1" s="1"/>
  <c r="AH157" i="1"/>
  <c r="AI157" i="1" s="1"/>
  <c r="AH158" i="1"/>
  <c r="AI158" i="1" s="1"/>
  <c r="AH159" i="1"/>
  <c r="AI159" i="1" s="1"/>
  <c r="AH160" i="1"/>
  <c r="AI160" i="1" s="1"/>
  <c r="AH161" i="1"/>
  <c r="AI161" i="1" s="1"/>
  <c r="AH162" i="1"/>
  <c r="AH163" i="1"/>
  <c r="AH164" i="1"/>
  <c r="AI164" i="1" s="1"/>
  <c r="AH165" i="1"/>
  <c r="AH166" i="1"/>
  <c r="AI166" i="1" s="1"/>
  <c r="AH167" i="1"/>
  <c r="AI167" i="1" s="1"/>
  <c r="AH168" i="1"/>
  <c r="AH169" i="1"/>
  <c r="AH170" i="1"/>
  <c r="AI170" i="1" s="1"/>
  <c r="AH171" i="1"/>
  <c r="AI171" i="1" s="1"/>
  <c r="AH172" i="1"/>
  <c r="AI172" i="1" s="1"/>
  <c r="AH173" i="1"/>
  <c r="AH174" i="1"/>
  <c r="AI174" i="1" s="1"/>
  <c r="AH175" i="1"/>
  <c r="AI175" i="1" s="1"/>
  <c r="AH176" i="1"/>
  <c r="AH177" i="1"/>
  <c r="AH178" i="1"/>
  <c r="AI178" i="1" s="1"/>
  <c r="AH179" i="1"/>
  <c r="AI179" i="1" s="1"/>
  <c r="AH180" i="1"/>
  <c r="AI180" i="1" s="1"/>
  <c r="AH181" i="1"/>
  <c r="AH182" i="1"/>
  <c r="AI182" i="1" s="1"/>
  <c r="AH183" i="1"/>
  <c r="AI183" i="1" s="1"/>
  <c r="AH184" i="1"/>
  <c r="AH185" i="1"/>
  <c r="AH186" i="1"/>
  <c r="AI186" i="1" s="1"/>
  <c r="AH187" i="1"/>
  <c r="AI187" i="1" s="1"/>
  <c r="AH188" i="1"/>
  <c r="AI188" i="1" s="1"/>
  <c r="AH189" i="1"/>
  <c r="AI189" i="1" s="1"/>
  <c r="AH190" i="1"/>
  <c r="AI190" i="1" s="1"/>
  <c r="AH191" i="1"/>
  <c r="AI191" i="1" s="1"/>
  <c r="AH192" i="1"/>
  <c r="AI192" i="1" s="1"/>
  <c r="AH193" i="1"/>
  <c r="AI193" i="1" s="1"/>
  <c r="AH194" i="1"/>
  <c r="AH195" i="1"/>
  <c r="AI195" i="1" s="1"/>
  <c r="AH196" i="1"/>
  <c r="AH197" i="1"/>
  <c r="AI197" i="1" s="1"/>
  <c r="AH198" i="1"/>
  <c r="AH199" i="1"/>
  <c r="AI199" i="1" s="1"/>
  <c r="AH200" i="1"/>
  <c r="AI200" i="1" s="1"/>
  <c r="AH201" i="1"/>
  <c r="AI201" i="1" s="1"/>
  <c r="AH202" i="1"/>
  <c r="AI202" i="1" s="1"/>
  <c r="AH203" i="1"/>
  <c r="AI203" i="1" s="1"/>
  <c r="AH204" i="1"/>
  <c r="AH205" i="1"/>
  <c r="AH206" i="1"/>
  <c r="AH207" i="1"/>
  <c r="AI207" i="1" s="1"/>
  <c r="AH208" i="1"/>
  <c r="AI208" i="1" s="1"/>
  <c r="AH209" i="1"/>
  <c r="AH210" i="1"/>
  <c r="AI210" i="1" s="1"/>
  <c r="AH211" i="1"/>
  <c r="AH212" i="1"/>
  <c r="AI212" i="1" s="1"/>
  <c r="AH213" i="1"/>
  <c r="AH214" i="1"/>
  <c r="AH215" i="1"/>
  <c r="AH216" i="1"/>
  <c r="AI216" i="1" s="1"/>
  <c r="AH217" i="1"/>
  <c r="AH218" i="1"/>
  <c r="AH219" i="1"/>
  <c r="AH220" i="1"/>
  <c r="AI220" i="1" s="1"/>
  <c r="AH221" i="1"/>
  <c r="AI221" i="1" s="1"/>
  <c r="AH222" i="1"/>
  <c r="AI222" i="1" s="1"/>
  <c r="AH223" i="1"/>
  <c r="AI223" i="1" s="1"/>
  <c r="AH224" i="1"/>
  <c r="AH225" i="1"/>
  <c r="AH226" i="1"/>
  <c r="AI226" i="1" s="1"/>
  <c r="AH227" i="1"/>
  <c r="AI227" i="1" s="1"/>
  <c r="AH228" i="1"/>
  <c r="AI228" i="1" s="1"/>
  <c r="AH229" i="1"/>
  <c r="AH230" i="1"/>
  <c r="AH231" i="1"/>
  <c r="AI231" i="1" s="1"/>
  <c r="AH232" i="1"/>
  <c r="AH233" i="1"/>
  <c r="AH234" i="1"/>
  <c r="AI234" i="1" s="1"/>
  <c r="AH235" i="1"/>
  <c r="AI235" i="1" s="1"/>
  <c r="AH236" i="1"/>
  <c r="AI236" i="1" s="1"/>
  <c r="AH237" i="1"/>
  <c r="AH238" i="1"/>
  <c r="AI238" i="1" s="1"/>
  <c r="AH239" i="1"/>
  <c r="AH240" i="1"/>
  <c r="AH241" i="1"/>
  <c r="AI241" i="1" s="1"/>
  <c r="AH242" i="1"/>
  <c r="AI242" i="1" s="1"/>
  <c r="AH243" i="1"/>
  <c r="AH244" i="1"/>
  <c r="AH245" i="1"/>
  <c r="AI245" i="1" s="1"/>
  <c r="AH246" i="1"/>
  <c r="AI246" i="1" s="1"/>
  <c r="AH247" i="1"/>
  <c r="AH248" i="1"/>
  <c r="AI248" i="1" s="1"/>
  <c r="AH249" i="1"/>
  <c r="AI249" i="1" s="1"/>
  <c r="AH250" i="1"/>
  <c r="AI250" i="1" s="1"/>
  <c r="AH251" i="1"/>
  <c r="AH252" i="1"/>
  <c r="AH253" i="1"/>
  <c r="AI253" i="1" s="1"/>
  <c r="AH254" i="1"/>
  <c r="AI254" i="1" s="1"/>
  <c r="AH255" i="1"/>
  <c r="AH256" i="1"/>
  <c r="AI256" i="1" s="1"/>
  <c r="AH257" i="1"/>
  <c r="AI257" i="1" s="1"/>
  <c r="AH258" i="1"/>
  <c r="AH259" i="1"/>
  <c r="AH260" i="1"/>
  <c r="AI260" i="1" s="1"/>
  <c r="AH261" i="1"/>
  <c r="AH262" i="1"/>
  <c r="AI262" i="1" s="1"/>
  <c r="AH263" i="1"/>
  <c r="AI263" i="1" s="1"/>
  <c r="AH264" i="1"/>
  <c r="AI264" i="1" s="1"/>
  <c r="AH265" i="1"/>
  <c r="AH266" i="1"/>
  <c r="AI266" i="1" s="1"/>
  <c r="AH267" i="1"/>
  <c r="AH268" i="1"/>
  <c r="AI268" i="1" s="1"/>
  <c r="AH269" i="1"/>
  <c r="AI269" i="1" s="1"/>
  <c r="AH270" i="1"/>
  <c r="AH271" i="1"/>
  <c r="AH272" i="1"/>
  <c r="AI272" i="1" s="1"/>
  <c r="AH273" i="1"/>
  <c r="AI273" i="1" s="1"/>
  <c r="AH274" i="1"/>
  <c r="AH275" i="1"/>
  <c r="AH276" i="1"/>
  <c r="AI276" i="1" s="1"/>
  <c r="AH277" i="1"/>
  <c r="AI277" i="1" s="1"/>
  <c r="AH278" i="1"/>
  <c r="AI278" i="1" s="1"/>
  <c r="AH279" i="1"/>
  <c r="AI279" i="1" s="1"/>
  <c r="AH280" i="1"/>
  <c r="AH281" i="1"/>
  <c r="AH282" i="1"/>
  <c r="AI282" i="1" s="1"/>
  <c r="AH283" i="1"/>
  <c r="AI283" i="1" s="1"/>
  <c r="AH284" i="1"/>
  <c r="AH285" i="1"/>
  <c r="AH286" i="1"/>
  <c r="AI286" i="1" s="1"/>
  <c r="AH287" i="1"/>
  <c r="AI287" i="1" s="1"/>
  <c r="AH288" i="1"/>
  <c r="AH289" i="1"/>
  <c r="AH290" i="1"/>
  <c r="AI290" i="1" s="1"/>
  <c r="AH291" i="1"/>
  <c r="AI291" i="1" s="1"/>
  <c r="AH292" i="1"/>
  <c r="AI292" i="1" s="1"/>
  <c r="AH293" i="1"/>
  <c r="AI293" i="1" s="1"/>
  <c r="AH294" i="1"/>
  <c r="AH295" i="1"/>
  <c r="AH296" i="1"/>
  <c r="AI296" i="1" s="1"/>
  <c r="AH297" i="1"/>
  <c r="AI297" i="1" s="1"/>
  <c r="AH298" i="1"/>
  <c r="AI298" i="1" s="1"/>
  <c r="AH299" i="1"/>
  <c r="AH300" i="1"/>
  <c r="AH301" i="1"/>
  <c r="AI301" i="1" s="1"/>
  <c r="AH302" i="1"/>
  <c r="AI302" i="1" s="1"/>
  <c r="AH303" i="1"/>
  <c r="AH304" i="1"/>
  <c r="AI304" i="1" s="1"/>
  <c r="AH305" i="1"/>
  <c r="AI305" i="1" s="1"/>
  <c r="AH306" i="1"/>
  <c r="AI306" i="1" s="1"/>
  <c r="AH307" i="1"/>
  <c r="AH308" i="1"/>
  <c r="AH309" i="1"/>
  <c r="AH310" i="1"/>
  <c r="AH311" i="1"/>
  <c r="AH312" i="1"/>
  <c r="AI312" i="1" s="1"/>
  <c r="AH313" i="1"/>
  <c r="AI313" i="1" s="1"/>
  <c r="AH314" i="1"/>
  <c r="AI314" i="1" s="1"/>
  <c r="AH315" i="1"/>
  <c r="AI315" i="1" s="1"/>
  <c r="AH316" i="1"/>
  <c r="AI316" i="1" s="1"/>
  <c r="AH317" i="1"/>
  <c r="AH318" i="1"/>
  <c r="AI318" i="1" s="1"/>
  <c r="AH319" i="1"/>
  <c r="AI319" i="1" s="1"/>
  <c r="AH320" i="1"/>
  <c r="AI320" i="1" s="1"/>
  <c r="AH321" i="1"/>
  <c r="AH322" i="1"/>
  <c r="AH323" i="1"/>
  <c r="AH324" i="1"/>
  <c r="AH325" i="1"/>
  <c r="AI325" i="1" s="1"/>
  <c r="AH326" i="1"/>
  <c r="AH327" i="1"/>
  <c r="AI327" i="1" s="1"/>
  <c r="AH328" i="1"/>
  <c r="AI328" i="1" s="1"/>
  <c r="AH329" i="1"/>
  <c r="AI329" i="1" s="1"/>
  <c r="AH330" i="1"/>
  <c r="AH331" i="1"/>
  <c r="AI331" i="1" s="1"/>
  <c r="AH332" i="1"/>
  <c r="AH333" i="1"/>
  <c r="AI333" i="1" s="1"/>
  <c r="AH334" i="1"/>
  <c r="AI334" i="1" s="1"/>
  <c r="AH335" i="1"/>
  <c r="AI335" i="1" s="1"/>
  <c r="AH336" i="1"/>
  <c r="AI336" i="1" s="1"/>
  <c r="AH337" i="1"/>
  <c r="AH338" i="1"/>
  <c r="AI338" i="1" s="1"/>
  <c r="AH339" i="1"/>
  <c r="AI339" i="1" s="1"/>
  <c r="AH340" i="1"/>
  <c r="AI340" i="1" s="1"/>
  <c r="AH341" i="1"/>
  <c r="AI341" i="1" s="1"/>
  <c r="AH342" i="1"/>
  <c r="AI342" i="1" s="1"/>
  <c r="AH343" i="1"/>
  <c r="AI343" i="1" s="1"/>
  <c r="AH344" i="1"/>
  <c r="AH345" i="1"/>
  <c r="AH346" i="1"/>
  <c r="AI346" i="1" s="1"/>
  <c r="AH347" i="1"/>
  <c r="AI347" i="1" s="1"/>
  <c r="AH348" i="1"/>
  <c r="AI348" i="1" s="1"/>
  <c r="AH349" i="1"/>
  <c r="AH350" i="1"/>
  <c r="AI350" i="1" s="1"/>
  <c r="AH351" i="1"/>
  <c r="AH352" i="1"/>
  <c r="AH353" i="1"/>
  <c r="AI353" i="1" s="1"/>
  <c r="AH354" i="1"/>
  <c r="AH355" i="1"/>
  <c r="AI355" i="1" s="1"/>
  <c r="AH356" i="1"/>
  <c r="AI356" i="1" s="1"/>
  <c r="AH357" i="1"/>
  <c r="AI357" i="1" s="1"/>
  <c r="AH358" i="1"/>
  <c r="AI358" i="1" s="1"/>
  <c r="AH359" i="1"/>
  <c r="AH360" i="1"/>
  <c r="AI360" i="1" s="1"/>
  <c r="AH361" i="1"/>
  <c r="AI361" i="1" s="1"/>
  <c r="AH362" i="1"/>
  <c r="AI362" i="1" s="1"/>
  <c r="AH363" i="1"/>
  <c r="AH364" i="1"/>
  <c r="AI364" i="1" s="1"/>
  <c r="AH365" i="1"/>
  <c r="AH366" i="1"/>
  <c r="AI366" i="1" s="1"/>
  <c r="AH367" i="1"/>
  <c r="AH368" i="1"/>
  <c r="AI368" i="1" s="1"/>
  <c r="AH369" i="1"/>
  <c r="AH370" i="1"/>
  <c r="AI370" i="1" s="1"/>
  <c r="AH371" i="1"/>
  <c r="AI371" i="1" s="1"/>
  <c r="AH372" i="1"/>
  <c r="AI372" i="1" s="1"/>
  <c r="AH373" i="1"/>
  <c r="AH374" i="1"/>
  <c r="AH375" i="1"/>
  <c r="AI375" i="1" s="1"/>
  <c r="AH376" i="1"/>
  <c r="AI376" i="1" s="1"/>
  <c r="AH377" i="1"/>
  <c r="AH378" i="1"/>
  <c r="AH379" i="1"/>
  <c r="AI379" i="1" s="1"/>
  <c r="AH380" i="1"/>
  <c r="AH381" i="1"/>
  <c r="AI381" i="1" s="1"/>
  <c r="AH382" i="1"/>
  <c r="AI382" i="1" s="1"/>
  <c r="AH383" i="1"/>
  <c r="AI383" i="1" s="1"/>
  <c r="AH384" i="1"/>
  <c r="AI384" i="1" s="1"/>
  <c r="AH385" i="1"/>
  <c r="AH386" i="1"/>
  <c r="AI386" i="1" s="1"/>
  <c r="AH387" i="1"/>
  <c r="AH388" i="1"/>
  <c r="AI388" i="1" s="1"/>
  <c r="AH389" i="1"/>
  <c r="AI389" i="1" s="1"/>
  <c r="AH390" i="1"/>
  <c r="AH391" i="1"/>
  <c r="AH392" i="1"/>
  <c r="AH393" i="1"/>
  <c r="AH394" i="1"/>
  <c r="AH395" i="1"/>
  <c r="AH396" i="1"/>
  <c r="AI396" i="1" s="1"/>
  <c r="AH397" i="1"/>
  <c r="AH398" i="1"/>
  <c r="AH399" i="1"/>
  <c r="AI399" i="1" s="1"/>
  <c r="AH400" i="1"/>
  <c r="AH401" i="1"/>
  <c r="AI401" i="1" s="1"/>
  <c r="AH402" i="1"/>
  <c r="AI402" i="1" s="1"/>
  <c r="AH403" i="1"/>
  <c r="AI403" i="1" s="1"/>
  <c r="AH404" i="1"/>
  <c r="AH405" i="1"/>
  <c r="AH406" i="1"/>
  <c r="AI406" i="1" s="1"/>
  <c r="AH407" i="1"/>
  <c r="AH408" i="1"/>
  <c r="AH409" i="1"/>
  <c r="AI409" i="1" s="1"/>
  <c r="AH410" i="1"/>
  <c r="AI410" i="1" s="1"/>
  <c r="AH411" i="1"/>
  <c r="AI411" i="1" s="1"/>
  <c r="AH412" i="1"/>
  <c r="AI412" i="1" s="1"/>
  <c r="AH413" i="1"/>
  <c r="AI413" i="1" s="1"/>
  <c r="AH414" i="1"/>
  <c r="AH415" i="1"/>
  <c r="AI415" i="1" s="1"/>
  <c r="AH416" i="1"/>
  <c r="AH417" i="1"/>
  <c r="AI417" i="1" s="1"/>
  <c r="AH418" i="1"/>
  <c r="AI418" i="1" s="1"/>
  <c r="AH419" i="1"/>
  <c r="AH420" i="1"/>
  <c r="AI420" i="1" s="1"/>
  <c r="AH421" i="1"/>
  <c r="AH422" i="1"/>
  <c r="AI422" i="1" s="1"/>
  <c r="AH423" i="1"/>
  <c r="AH424" i="1"/>
  <c r="AI424" i="1" s="1"/>
  <c r="AH425" i="1"/>
  <c r="AH426" i="1"/>
  <c r="AI426" i="1" s="1"/>
  <c r="AH427" i="1"/>
  <c r="AI427" i="1" s="1"/>
  <c r="AH428" i="1"/>
  <c r="AI428" i="1" s="1"/>
  <c r="AH429" i="1"/>
  <c r="AH430" i="1"/>
  <c r="AI430" i="1" s="1"/>
  <c r="AH431" i="1"/>
  <c r="AI431" i="1" s="1"/>
  <c r="AH432" i="1"/>
  <c r="AI432" i="1" s="1"/>
  <c r="AH433" i="1"/>
  <c r="AH434" i="1"/>
  <c r="AH435" i="1"/>
  <c r="AH436" i="1"/>
  <c r="AI436" i="1" s="1"/>
  <c r="AH437" i="1"/>
  <c r="AI437" i="1" s="1"/>
  <c r="AH438" i="1"/>
  <c r="AI438" i="1" s="1"/>
  <c r="AH439" i="1"/>
  <c r="AH440" i="1"/>
  <c r="AH441" i="1"/>
  <c r="AI441" i="1" s="1"/>
  <c r="AH442" i="1"/>
  <c r="AH443" i="1"/>
  <c r="AH444" i="1"/>
  <c r="AI444" i="1" s="1"/>
  <c r="AH445" i="1"/>
  <c r="AI445" i="1" s="1"/>
  <c r="AH446" i="1"/>
  <c r="AI446" i="1" s="1"/>
  <c r="AH447" i="1"/>
  <c r="AI447" i="1" s="1"/>
  <c r="AH448" i="1"/>
  <c r="AH449" i="1"/>
  <c r="AH450" i="1"/>
  <c r="AH451" i="1"/>
  <c r="AH452" i="1"/>
  <c r="AI452" i="1" s="1"/>
  <c r="AH453" i="1"/>
  <c r="AI453" i="1" s="1"/>
  <c r="AH454" i="1"/>
  <c r="AI454" i="1" s="1"/>
  <c r="AH455" i="1"/>
  <c r="AI455" i="1" s="1"/>
  <c r="AH456" i="1"/>
  <c r="AH457" i="1"/>
  <c r="AH458" i="1"/>
  <c r="AI458" i="1" s="1"/>
  <c r="AH459" i="1"/>
  <c r="AI459" i="1" s="1"/>
  <c r="AH460" i="1"/>
  <c r="AI460" i="1" s="1"/>
  <c r="AH461" i="1"/>
  <c r="AH462" i="1"/>
  <c r="AI462" i="1" s="1"/>
  <c r="AH463" i="1"/>
  <c r="AH464" i="1"/>
  <c r="AH465" i="1"/>
  <c r="AH466" i="1"/>
  <c r="AI466" i="1" s="1"/>
  <c r="AH467" i="1"/>
  <c r="AI467" i="1" s="1"/>
  <c r="AH468" i="1"/>
  <c r="AI468" i="1" s="1"/>
  <c r="AH469" i="1"/>
  <c r="AI469" i="1" s="1"/>
  <c r="AH470" i="1"/>
  <c r="AH471" i="1"/>
  <c r="AH472" i="1"/>
  <c r="AI472" i="1" s="1"/>
  <c r="AH473" i="1"/>
  <c r="AI473" i="1" s="1"/>
  <c r="AH474" i="1"/>
  <c r="AI474" i="1" s="1"/>
  <c r="AH475" i="1"/>
  <c r="AI475" i="1" s="1"/>
  <c r="AH476" i="1"/>
  <c r="AI476" i="1" s="1"/>
  <c r="AH477" i="1"/>
  <c r="AH478" i="1"/>
  <c r="AH479" i="1"/>
  <c r="AI479" i="1" s="1"/>
  <c r="AH480" i="1"/>
  <c r="AI480" i="1" s="1"/>
  <c r="AH481" i="1"/>
  <c r="AI481" i="1" s="1"/>
  <c r="AH482" i="1"/>
  <c r="AH483" i="1"/>
  <c r="AI483" i="1" s="1"/>
  <c r="AH484" i="1"/>
  <c r="AH485" i="1"/>
  <c r="AH486" i="1"/>
  <c r="AH487" i="1"/>
  <c r="AI487" i="1" s="1"/>
  <c r="AH488" i="1"/>
  <c r="AI488" i="1" s="1"/>
  <c r="AH489" i="1"/>
  <c r="AH490" i="1"/>
  <c r="AI490" i="1" s="1"/>
  <c r="AH491" i="1"/>
  <c r="AH492" i="1"/>
  <c r="AH493" i="1"/>
  <c r="AH494" i="1"/>
  <c r="AI494" i="1" s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T330" i="1"/>
  <c r="S330" i="1"/>
  <c r="R330" i="1"/>
  <c r="T329" i="1"/>
  <c r="S329" i="1"/>
  <c r="R329" i="1"/>
  <c r="T328" i="1"/>
  <c r="S328" i="1"/>
  <c r="R328" i="1"/>
  <c r="T327" i="1"/>
  <c r="S327" i="1"/>
  <c r="R327" i="1"/>
  <c r="T326" i="1"/>
  <c r="S326" i="1"/>
  <c r="R326" i="1"/>
  <c r="T325" i="1"/>
  <c r="S325" i="1"/>
  <c r="R325" i="1"/>
  <c r="T324" i="1"/>
  <c r="S324" i="1"/>
  <c r="R324" i="1"/>
  <c r="T323" i="1"/>
  <c r="S323" i="1"/>
  <c r="R323" i="1"/>
  <c r="T322" i="1"/>
  <c r="S322" i="1"/>
  <c r="R322" i="1"/>
  <c r="T321" i="1"/>
  <c r="S321" i="1"/>
  <c r="R321" i="1"/>
  <c r="T320" i="1"/>
  <c r="S320" i="1"/>
  <c r="R320" i="1"/>
  <c r="T319" i="1"/>
  <c r="S319" i="1"/>
  <c r="R319" i="1"/>
  <c r="T318" i="1"/>
  <c r="S318" i="1"/>
  <c r="R318" i="1"/>
  <c r="T317" i="1"/>
  <c r="S317" i="1"/>
  <c r="R317" i="1"/>
  <c r="T316" i="1"/>
  <c r="S316" i="1"/>
  <c r="R316" i="1"/>
  <c r="T315" i="1"/>
  <c r="S315" i="1"/>
  <c r="R315" i="1"/>
  <c r="T314" i="1"/>
  <c r="S314" i="1"/>
  <c r="R314" i="1"/>
  <c r="T313" i="1"/>
  <c r="S313" i="1"/>
  <c r="R313" i="1"/>
  <c r="T312" i="1"/>
  <c r="S312" i="1"/>
  <c r="R312" i="1"/>
  <c r="T311" i="1"/>
  <c r="S311" i="1"/>
  <c r="R311" i="1"/>
  <c r="T310" i="1"/>
  <c r="S310" i="1"/>
  <c r="R310" i="1"/>
  <c r="T309" i="1"/>
  <c r="S309" i="1"/>
  <c r="R309" i="1"/>
  <c r="T308" i="1"/>
  <c r="S308" i="1"/>
  <c r="R308" i="1"/>
  <c r="T307" i="1"/>
  <c r="S307" i="1"/>
  <c r="R307" i="1"/>
  <c r="T306" i="1"/>
  <c r="S306" i="1"/>
  <c r="R306" i="1"/>
  <c r="T305" i="1"/>
  <c r="S305" i="1"/>
  <c r="R305" i="1"/>
  <c r="T304" i="1"/>
  <c r="S304" i="1"/>
  <c r="R304" i="1"/>
  <c r="T303" i="1"/>
  <c r="S303" i="1"/>
  <c r="R303" i="1"/>
  <c r="T302" i="1"/>
  <c r="S302" i="1"/>
  <c r="R302" i="1"/>
  <c r="T301" i="1"/>
  <c r="S301" i="1"/>
  <c r="R301" i="1"/>
  <c r="T300" i="1"/>
  <c r="S300" i="1"/>
  <c r="R300" i="1"/>
  <c r="T299" i="1"/>
  <c r="S299" i="1"/>
  <c r="R299" i="1"/>
  <c r="T298" i="1"/>
  <c r="S298" i="1"/>
  <c r="R298" i="1"/>
  <c r="T297" i="1"/>
  <c r="S297" i="1"/>
  <c r="R297" i="1"/>
  <c r="T296" i="1"/>
  <c r="S296" i="1"/>
  <c r="R296" i="1"/>
  <c r="T295" i="1"/>
  <c r="S295" i="1"/>
  <c r="R295" i="1"/>
  <c r="T294" i="1"/>
  <c r="S294" i="1"/>
  <c r="R294" i="1"/>
  <c r="T293" i="1"/>
  <c r="S293" i="1"/>
  <c r="R293" i="1"/>
  <c r="T292" i="1"/>
  <c r="S292" i="1"/>
  <c r="R292" i="1"/>
  <c r="T291" i="1"/>
  <c r="S291" i="1"/>
  <c r="R291" i="1"/>
  <c r="T290" i="1"/>
  <c r="S290" i="1"/>
  <c r="R290" i="1"/>
  <c r="T289" i="1"/>
  <c r="S289" i="1"/>
  <c r="R289" i="1"/>
  <c r="T288" i="1"/>
  <c r="S288" i="1"/>
  <c r="R288" i="1"/>
  <c r="T287" i="1"/>
  <c r="S287" i="1"/>
  <c r="R287" i="1"/>
  <c r="T286" i="1"/>
  <c r="S286" i="1"/>
  <c r="R286" i="1"/>
  <c r="T285" i="1"/>
  <c r="S285" i="1"/>
  <c r="R285" i="1"/>
  <c r="T284" i="1"/>
  <c r="S284" i="1"/>
  <c r="R284" i="1"/>
  <c r="T283" i="1"/>
  <c r="S283" i="1"/>
  <c r="R283" i="1"/>
  <c r="T282" i="1"/>
  <c r="S282" i="1"/>
  <c r="R282" i="1"/>
  <c r="T281" i="1"/>
  <c r="S281" i="1"/>
  <c r="R281" i="1"/>
  <c r="T280" i="1"/>
  <c r="S280" i="1"/>
  <c r="R280" i="1"/>
  <c r="T279" i="1"/>
  <c r="S279" i="1"/>
  <c r="R279" i="1"/>
  <c r="T278" i="1"/>
  <c r="S278" i="1"/>
  <c r="R278" i="1"/>
  <c r="T277" i="1"/>
  <c r="S277" i="1"/>
  <c r="R277" i="1"/>
  <c r="T276" i="1"/>
  <c r="S276" i="1"/>
  <c r="R276" i="1"/>
  <c r="T275" i="1"/>
  <c r="S275" i="1"/>
  <c r="R275" i="1"/>
  <c r="T274" i="1"/>
  <c r="S274" i="1"/>
  <c r="R274" i="1"/>
  <c r="T273" i="1"/>
  <c r="S273" i="1"/>
  <c r="R273" i="1"/>
  <c r="T272" i="1"/>
  <c r="S272" i="1"/>
  <c r="R272" i="1"/>
  <c r="T271" i="1"/>
  <c r="S271" i="1"/>
  <c r="R271" i="1"/>
  <c r="T270" i="1"/>
  <c r="S270" i="1"/>
  <c r="R270" i="1"/>
  <c r="T269" i="1"/>
  <c r="S269" i="1"/>
  <c r="R269" i="1"/>
  <c r="T268" i="1"/>
  <c r="S268" i="1"/>
  <c r="R268" i="1"/>
  <c r="T267" i="1"/>
  <c r="S267" i="1"/>
  <c r="R267" i="1"/>
  <c r="T266" i="1"/>
  <c r="S266" i="1"/>
  <c r="R266" i="1"/>
  <c r="T265" i="1"/>
  <c r="S265" i="1"/>
  <c r="R265" i="1"/>
  <c r="T264" i="1"/>
  <c r="S264" i="1"/>
  <c r="R264" i="1"/>
  <c r="T263" i="1"/>
  <c r="S263" i="1"/>
  <c r="R263" i="1"/>
  <c r="T262" i="1"/>
  <c r="S262" i="1"/>
  <c r="R262" i="1"/>
  <c r="T261" i="1"/>
  <c r="S261" i="1"/>
  <c r="R261" i="1"/>
  <c r="T260" i="1"/>
  <c r="S260" i="1"/>
  <c r="R260" i="1"/>
  <c r="T259" i="1"/>
  <c r="S259" i="1"/>
  <c r="R259" i="1"/>
  <c r="T258" i="1"/>
  <c r="S258" i="1"/>
  <c r="R258" i="1"/>
  <c r="T257" i="1"/>
  <c r="S257" i="1"/>
  <c r="R257" i="1"/>
  <c r="T256" i="1"/>
  <c r="S256" i="1"/>
  <c r="R256" i="1"/>
  <c r="T255" i="1"/>
  <c r="S255" i="1"/>
  <c r="R255" i="1"/>
  <c r="T254" i="1"/>
  <c r="S254" i="1"/>
  <c r="R254" i="1"/>
  <c r="T253" i="1"/>
  <c r="S253" i="1"/>
  <c r="R253" i="1"/>
  <c r="T252" i="1"/>
  <c r="S252" i="1"/>
  <c r="R252" i="1"/>
  <c r="T251" i="1"/>
  <c r="S251" i="1"/>
  <c r="R251" i="1"/>
  <c r="T250" i="1"/>
  <c r="S250" i="1"/>
  <c r="R250" i="1"/>
  <c r="T249" i="1"/>
  <c r="S249" i="1"/>
  <c r="R249" i="1"/>
  <c r="T248" i="1"/>
  <c r="S248" i="1"/>
  <c r="R248" i="1"/>
  <c r="T247" i="1"/>
  <c r="S247" i="1"/>
  <c r="R247" i="1"/>
  <c r="T246" i="1"/>
  <c r="S246" i="1"/>
  <c r="R246" i="1"/>
  <c r="T245" i="1"/>
  <c r="S245" i="1"/>
  <c r="R245" i="1"/>
  <c r="T244" i="1"/>
  <c r="S244" i="1"/>
  <c r="R244" i="1"/>
  <c r="T243" i="1"/>
  <c r="S243" i="1"/>
  <c r="R243" i="1"/>
  <c r="T242" i="1"/>
  <c r="S242" i="1"/>
  <c r="R242" i="1"/>
  <c r="T241" i="1"/>
  <c r="S241" i="1"/>
  <c r="R241" i="1"/>
  <c r="T240" i="1"/>
  <c r="S240" i="1"/>
  <c r="R240" i="1"/>
  <c r="T239" i="1"/>
  <c r="S239" i="1"/>
  <c r="R239" i="1"/>
  <c r="T238" i="1"/>
  <c r="S238" i="1"/>
  <c r="R238" i="1"/>
  <c r="T237" i="1"/>
  <c r="S237" i="1"/>
  <c r="R237" i="1"/>
  <c r="T236" i="1"/>
  <c r="S236" i="1"/>
  <c r="R236" i="1"/>
  <c r="T235" i="1"/>
  <c r="S235" i="1"/>
  <c r="R235" i="1"/>
  <c r="T234" i="1"/>
  <c r="S234" i="1"/>
  <c r="R234" i="1"/>
  <c r="T233" i="1"/>
  <c r="S233" i="1"/>
  <c r="R233" i="1"/>
  <c r="T232" i="1"/>
  <c r="S232" i="1"/>
  <c r="R232" i="1"/>
  <c r="T231" i="1"/>
  <c r="S231" i="1"/>
  <c r="R231" i="1"/>
  <c r="T230" i="1"/>
  <c r="S230" i="1"/>
  <c r="R230" i="1"/>
  <c r="T229" i="1"/>
  <c r="S229" i="1"/>
  <c r="R229" i="1"/>
  <c r="T228" i="1"/>
  <c r="S228" i="1"/>
  <c r="R228" i="1"/>
  <c r="T227" i="1"/>
  <c r="S227" i="1"/>
  <c r="R227" i="1"/>
  <c r="T226" i="1"/>
  <c r="S226" i="1"/>
  <c r="R226" i="1"/>
  <c r="T225" i="1"/>
  <c r="S225" i="1"/>
  <c r="R225" i="1"/>
  <c r="T224" i="1"/>
  <c r="S224" i="1"/>
  <c r="R224" i="1"/>
  <c r="T223" i="1"/>
  <c r="S223" i="1"/>
  <c r="R223" i="1"/>
  <c r="T222" i="1"/>
  <c r="S222" i="1"/>
  <c r="R222" i="1"/>
  <c r="T221" i="1"/>
  <c r="S221" i="1"/>
  <c r="R221" i="1"/>
  <c r="T220" i="1"/>
  <c r="S220" i="1"/>
  <c r="R220" i="1"/>
  <c r="T219" i="1"/>
  <c r="S219" i="1"/>
  <c r="R219" i="1"/>
  <c r="T218" i="1"/>
  <c r="S218" i="1"/>
  <c r="R218" i="1"/>
  <c r="T217" i="1"/>
  <c r="S217" i="1"/>
  <c r="R217" i="1"/>
  <c r="T216" i="1"/>
  <c r="S216" i="1"/>
  <c r="R216" i="1"/>
  <c r="T215" i="1"/>
  <c r="S215" i="1"/>
  <c r="R215" i="1"/>
  <c r="T214" i="1"/>
  <c r="S214" i="1"/>
  <c r="R214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AF490" i="1"/>
  <c r="AE490" i="1"/>
  <c r="AD490" i="1"/>
  <c r="AC490" i="1"/>
  <c r="AB490" i="1"/>
  <c r="AA490" i="1"/>
  <c r="Z490" i="1"/>
  <c r="Y490" i="1"/>
  <c r="X490" i="1"/>
  <c r="W490" i="1"/>
  <c r="V490" i="1"/>
  <c r="U490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AF481" i="1"/>
  <c r="AE481" i="1"/>
  <c r="AD481" i="1"/>
  <c r="AC481" i="1"/>
  <c r="AB481" i="1"/>
  <c r="AA481" i="1"/>
  <c r="Z481" i="1"/>
  <c r="Y481" i="1"/>
  <c r="X481" i="1"/>
  <c r="W481" i="1"/>
  <c r="V481" i="1"/>
  <c r="U481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AF475" i="1"/>
  <c r="AE475" i="1"/>
  <c r="AD475" i="1"/>
  <c r="AC475" i="1"/>
  <c r="AB475" i="1"/>
  <c r="AA475" i="1"/>
  <c r="Z475" i="1"/>
  <c r="Y475" i="1"/>
  <c r="X475" i="1"/>
  <c r="W475" i="1"/>
  <c r="V475" i="1"/>
  <c r="U475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AF472" i="1"/>
  <c r="AE472" i="1"/>
  <c r="AD472" i="1"/>
  <c r="AC472" i="1"/>
  <c r="AB472" i="1"/>
  <c r="AA472" i="1"/>
  <c r="Z472" i="1"/>
  <c r="Y472" i="1"/>
  <c r="X472" i="1"/>
  <c r="W472" i="1"/>
  <c r="V472" i="1"/>
  <c r="U472" i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AF469" i="1"/>
  <c r="AE469" i="1"/>
  <c r="AD469" i="1"/>
  <c r="AC469" i="1"/>
  <c r="AB469" i="1"/>
  <c r="AA469" i="1"/>
  <c r="Z469" i="1"/>
  <c r="Y469" i="1"/>
  <c r="X469" i="1"/>
  <c r="W469" i="1"/>
  <c r="V469" i="1"/>
  <c r="U469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AF466" i="1"/>
  <c r="AE466" i="1"/>
  <c r="AD466" i="1"/>
  <c r="AC466" i="1"/>
  <c r="AB466" i="1"/>
  <c r="AA466" i="1"/>
  <c r="Z466" i="1"/>
  <c r="Y466" i="1"/>
  <c r="X466" i="1"/>
  <c r="W466" i="1"/>
  <c r="V466" i="1"/>
  <c r="U466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AF463" i="1"/>
  <c r="AE463" i="1"/>
  <c r="AD463" i="1"/>
  <c r="AC463" i="1"/>
  <c r="AB463" i="1"/>
  <c r="AA463" i="1"/>
  <c r="Z463" i="1"/>
  <c r="Y463" i="1"/>
  <c r="X463" i="1"/>
  <c r="W463" i="1"/>
  <c r="V463" i="1"/>
  <c r="U463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AF460" i="1"/>
  <c r="AE460" i="1"/>
  <c r="AD460" i="1"/>
  <c r="AC460" i="1"/>
  <c r="AB460" i="1"/>
  <c r="AA460" i="1"/>
  <c r="Z460" i="1"/>
  <c r="Y460" i="1"/>
  <c r="X460" i="1"/>
  <c r="W460" i="1"/>
  <c r="V460" i="1"/>
  <c r="U460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AF457" i="1"/>
  <c r="AE457" i="1"/>
  <c r="AD457" i="1"/>
  <c r="AC457" i="1"/>
  <c r="AB457" i="1"/>
  <c r="AA457" i="1"/>
  <c r="Z457" i="1"/>
  <c r="Y457" i="1"/>
  <c r="X457" i="1"/>
  <c r="W457" i="1"/>
  <c r="V457" i="1"/>
  <c r="U457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AF454" i="1"/>
  <c r="AE454" i="1"/>
  <c r="AD454" i="1"/>
  <c r="AC454" i="1"/>
  <c r="AB454" i="1"/>
  <c r="AA454" i="1"/>
  <c r="Z454" i="1"/>
  <c r="Y454" i="1"/>
  <c r="X454" i="1"/>
  <c r="W454" i="1"/>
  <c r="V454" i="1"/>
  <c r="U454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AF451" i="1"/>
  <c r="AE451" i="1"/>
  <c r="AD451" i="1"/>
  <c r="AC451" i="1"/>
  <c r="AB451" i="1"/>
  <c r="AA451" i="1"/>
  <c r="Z451" i="1"/>
  <c r="Y451" i="1"/>
  <c r="X451" i="1"/>
  <c r="W451" i="1"/>
  <c r="V451" i="1"/>
  <c r="U451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AF445" i="1"/>
  <c r="AE445" i="1"/>
  <c r="AD445" i="1"/>
  <c r="AC445" i="1"/>
  <c r="AB445" i="1"/>
  <c r="AA445" i="1"/>
  <c r="Z445" i="1"/>
  <c r="Y445" i="1"/>
  <c r="X445" i="1"/>
  <c r="W445" i="1"/>
  <c r="V445" i="1"/>
  <c r="U445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AF439" i="1"/>
  <c r="AE439" i="1"/>
  <c r="AD439" i="1"/>
  <c r="AC439" i="1"/>
  <c r="AB439" i="1"/>
  <c r="AA439" i="1"/>
  <c r="Z439" i="1"/>
  <c r="Y439" i="1"/>
  <c r="X439" i="1"/>
  <c r="W439" i="1"/>
  <c r="V439" i="1"/>
  <c r="U439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AF436" i="1"/>
  <c r="AE436" i="1"/>
  <c r="AD436" i="1"/>
  <c r="AC436" i="1"/>
  <c r="AB436" i="1"/>
  <c r="AA436" i="1"/>
  <c r="Z436" i="1"/>
  <c r="Y436" i="1"/>
  <c r="X436" i="1"/>
  <c r="W436" i="1"/>
  <c r="V436" i="1"/>
  <c r="U436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AF433" i="1"/>
  <c r="AE433" i="1"/>
  <c r="AD433" i="1"/>
  <c r="AC433" i="1"/>
  <c r="AB433" i="1"/>
  <c r="AA433" i="1"/>
  <c r="Z433" i="1"/>
  <c r="Y433" i="1"/>
  <c r="X433" i="1"/>
  <c r="W433" i="1"/>
  <c r="V433" i="1"/>
  <c r="U433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AF430" i="1"/>
  <c r="AE430" i="1"/>
  <c r="AD430" i="1"/>
  <c r="AC430" i="1"/>
  <c r="AB430" i="1"/>
  <c r="AA430" i="1"/>
  <c r="Z430" i="1"/>
  <c r="Y430" i="1"/>
  <c r="X430" i="1"/>
  <c r="W430" i="1"/>
  <c r="V430" i="1"/>
  <c r="U430" i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AF427" i="1"/>
  <c r="AE427" i="1"/>
  <c r="AD427" i="1"/>
  <c r="AC427" i="1"/>
  <c r="AB427" i="1"/>
  <c r="AA427" i="1"/>
  <c r="Z427" i="1"/>
  <c r="Y427" i="1"/>
  <c r="X427" i="1"/>
  <c r="W427" i="1"/>
  <c r="V427" i="1"/>
  <c r="U427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AF424" i="1"/>
  <c r="AE424" i="1"/>
  <c r="AD424" i="1"/>
  <c r="AC424" i="1"/>
  <c r="AB424" i="1"/>
  <c r="AA424" i="1"/>
  <c r="Z424" i="1"/>
  <c r="Y424" i="1"/>
  <c r="X424" i="1"/>
  <c r="W424" i="1"/>
  <c r="V424" i="1"/>
  <c r="U424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AF421" i="1"/>
  <c r="AE421" i="1"/>
  <c r="AD421" i="1"/>
  <c r="AC421" i="1"/>
  <c r="AB421" i="1"/>
  <c r="AA421" i="1"/>
  <c r="Z421" i="1"/>
  <c r="Y421" i="1"/>
  <c r="X421" i="1"/>
  <c r="W421" i="1"/>
  <c r="V421" i="1"/>
  <c r="U421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AF418" i="1"/>
  <c r="AE418" i="1"/>
  <c r="AD418" i="1"/>
  <c r="AC418" i="1"/>
  <c r="AB418" i="1"/>
  <c r="AA418" i="1"/>
  <c r="Z418" i="1"/>
  <c r="Y418" i="1"/>
  <c r="X418" i="1"/>
  <c r="W418" i="1"/>
  <c r="V418" i="1"/>
  <c r="U418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AF415" i="1"/>
  <c r="AE415" i="1"/>
  <c r="AD415" i="1"/>
  <c r="AC415" i="1"/>
  <c r="AB415" i="1"/>
  <c r="AA415" i="1"/>
  <c r="Z415" i="1"/>
  <c r="Y415" i="1"/>
  <c r="X415" i="1"/>
  <c r="W415" i="1"/>
  <c r="V415" i="1"/>
  <c r="U415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AF412" i="1"/>
  <c r="AE412" i="1"/>
  <c r="AD412" i="1"/>
  <c r="AC412" i="1"/>
  <c r="AB412" i="1"/>
  <c r="AA412" i="1"/>
  <c r="Z412" i="1"/>
  <c r="Y412" i="1"/>
  <c r="X412" i="1"/>
  <c r="W412" i="1"/>
  <c r="V412" i="1"/>
  <c r="U412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AF409" i="1"/>
  <c r="AE409" i="1"/>
  <c r="AD409" i="1"/>
  <c r="AC409" i="1"/>
  <c r="AB409" i="1"/>
  <c r="AA409" i="1"/>
  <c r="Z409" i="1"/>
  <c r="Y409" i="1"/>
  <c r="X409" i="1"/>
  <c r="W409" i="1"/>
  <c r="V409" i="1"/>
  <c r="U409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AF403" i="1"/>
  <c r="AE403" i="1"/>
  <c r="AD403" i="1"/>
  <c r="AC403" i="1"/>
  <c r="AB403" i="1"/>
  <c r="AA403" i="1"/>
  <c r="Z403" i="1"/>
  <c r="Y403" i="1"/>
  <c r="X403" i="1"/>
  <c r="W403" i="1"/>
  <c r="V403" i="1"/>
  <c r="U403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AF400" i="1"/>
  <c r="AE400" i="1"/>
  <c r="AD400" i="1"/>
  <c r="AC400" i="1"/>
  <c r="AB400" i="1"/>
  <c r="AA400" i="1"/>
  <c r="Z400" i="1"/>
  <c r="Y400" i="1"/>
  <c r="X400" i="1"/>
  <c r="W400" i="1"/>
  <c r="V400" i="1"/>
  <c r="U400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AF397" i="1"/>
  <c r="AE397" i="1"/>
  <c r="AD397" i="1"/>
  <c r="AC397" i="1"/>
  <c r="AB397" i="1"/>
  <c r="AA397" i="1"/>
  <c r="Z397" i="1"/>
  <c r="Y397" i="1"/>
  <c r="X397" i="1"/>
  <c r="W397" i="1"/>
  <c r="V397" i="1"/>
  <c r="U397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AF394" i="1"/>
  <c r="AE394" i="1"/>
  <c r="AD394" i="1"/>
  <c r="AC394" i="1"/>
  <c r="AB394" i="1"/>
  <c r="AA394" i="1"/>
  <c r="Z394" i="1"/>
  <c r="Y394" i="1"/>
  <c r="X394" i="1"/>
  <c r="W394" i="1"/>
  <c r="V394" i="1"/>
  <c r="U394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AF391" i="1"/>
  <c r="AE391" i="1"/>
  <c r="AD391" i="1"/>
  <c r="AC391" i="1"/>
  <c r="AB391" i="1"/>
  <c r="AA391" i="1"/>
  <c r="Z391" i="1"/>
  <c r="Y391" i="1"/>
  <c r="X391" i="1"/>
  <c r="W391" i="1"/>
  <c r="V391" i="1"/>
  <c r="U391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AF388" i="1"/>
  <c r="AE388" i="1"/>
  <c r="AD388" i="1"/>
  <c r="AC388" i="1"/>
  <c r="AB388" i="1"/>
  <c r="AA388" i="1"/>
  <c r="Z388" i="1"/>
  <c r="Y388" i="1"/>
  <c r="X388" i="1"/>
  <c r="W388" i="1"/>
  <c r="V388" i="1"/>
  <c r="U388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AF385" i="1"/>
  <c r="AE385" i="1"/>
  <c r="AD385" i="1"/>
  <c r="AC385" i="1"/>
  <c r="AB385" i="1"/>
  <c r="AA385" i="1"/>
  <c r="Z385" i="1"/>
  <c r="Y385" i="1"/>
  <c r="X385" i="1"/>
  <c r="W385" i="1"/>
  <c r="V385" i="1"/>
  <c r="U385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AF382" i="1"/>
  <c r="AE382" i="1"/>
  <c r="AD382" i="1"/>
  <c r="AC382" i="1"/>
  <c r="AB382" i="1"/>
  <c r="AA382" i="1"/>
  <c r="Z382" i="1"/>
  <c r="Y382" i="1"/>
  <c r="X382" i="1"/>
  <c r="W382" i="1"/>
  <c r="V382" i="1"/>
  <c r="U382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AF379" i="1"/>
  <c r="AE379" i="1"/>
  <c r="AD379" i="1"/>
  <c r="AC379" i="1"/>
  <c r="AB379" i="1"/>
  <c r="AA379" i="1"/>
  <c r="Z379" i="1"/>
  <c r="Y379" i="1"/>
  <c r="X379" i="1"/>
  <c r="W379" i="1"/>
  <c r="V379" i="1"/>
  <c r="U379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AF376" i="1"/>
  <c r="AE376" i="1"/>
  <c r="AD376" i="1"/>
  <c r="AC376" i="1"/>
  <c r="AB376" i="1"/>
  <c r="AA376" i="1"/>
  <c r="Z376" i="1"/>
  <c r="Y376" i="1"/>
  <c r="X376" i="1"/>
  <c r="W376" i="1"/>
  <c r="V376" i="1"/>
  <c r="U376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AF373" i="1"/>
  <c r="AE373" i="1"/>
  <c r="AD373" i="1"/>
  <c r="AC373" i="1"/>
  <c r="AB373" i="1"/>
  <c r="AA373" i="1"/>
  <c r="Z373" i="1"/>
  <c r="Y373" i="1"/>
  <c r="X373" i="1"/>
  <c r="W373" i="1"/>
  <c r="V373" i="1"/>
  <c r="U373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AF370" i="1"/>
  <c r="AE370" i="1"/>
  <c r="AD370" i="1"/>
  <c r="AC370" i="1"/>
  <c r="AB370" i="1"/>
  <c r="AA370" i="1"/>
  <c r="Z370" i="1"/>
  <c r="Y370" i="1"/>
  <c r="X370" i="1"/>
  <c r="W370" i="1"/>
  <c r="V370" i="1"/>
  <c r="U370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AF367" i="1"/>
  <c r="AE367" i="1"/>
  <c r="AD367" i="1"/>
  <c r="AC367" i="1"/>
  <c r="AB367" i="1"/>
  <c r="AA367" i="1"/>
  <c r="Z367" i="1"/>
  <c r="Y367" i="1"/>
  <c r="X367" i="1"/>
  <c r="W367" i="1"/>
  <c r="V367" i="1"/>
  <c r="U367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AF364" i="1"/>
  <c r="AE364" i="1"/>
  <c r="AD364" i="1"/>
  <c r="AC364" i="1"/>
  <c r="AB364" i="1"/>
  <c r="AA364" i="1"/>
  <c r="Z364" i="1"/>
  <c r="Y364" i="1"/>
  <c r="X364" i="1"/>
  <c r="W364" i="1"/>
  <c r="V364" i="1"/>
  <c r="U364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AF361" i="1"/>
  <c r="AE361" i="1"/>
  <c r="AD361" i="1"/>
  <c r="AC361" i="1"/>
  <c r="AB361" i="1"/>
  <c r="AA361" i="1"/>
  <c r="Z361" i="1"/>
  <c r="Y361" i="1"/>
  <c r="X361" i="1"/>
  <c r="W361" i="1"/>
  <c r="V361" i="1"/>
  <c r="U361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AF358" i="1"/>
  <c r="AE358" i="1"/>
  <c r="AD358" i="1"/>
  <c r="AC358" i="1"/>
  <c r="AB358" i="1"/>
  <c r="AA358" i="1"/>
  <c r="Z358" i="1"/>
  <c r="Y358" i="1"/>
  <c r="X358" i="1"/>
  <c r="W358" i="1"/>
  <c r="V358" i="1"/>
  <c r="U358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AF316" i="1"/>
  <c r="AE316" i="1"/>
  <c r="AD316" i="1"/>
  <c r="AC316" i="1"/>
  <c r="AB316" i="1"/>
  <c r="AA316" i="1"/>
  <c r="Z316" i="1"/>
  <c r="Y316" i="1"/>
  <c r="X316" i="1"/>
  <c r="W316" i="1"/>
  <c r="V316" i="1"/>
  <c r="U316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AF99" i="1"/>
  <c r="AE99" i="1"/>
  <c r="AD99" i="1"/>
  <c r="AC99" i="1"/>
  <c r="AB99" i="1"/>
  <c r="AA99" i="1"/>
  <c r="Z99" i="1"/>
  <c r="Y99" i="1"/>
  <c r="X99" i="1"/>
  <c r="W99" i="1"/>
  <c r="V99" i="1"/>
  <c r="U99" i="1"/>
  <c r="AF98" i="1"/>
  <c r="AE98" i="1"/>
  <c r="AD98" i="1"/>
  <c r="AC98" i="1"/>
  <c r="AB98" i="1"/>
  <c r="AA98" i="1"/>
  <c r="Z98" i="1"/>
  <c r="Y98" i="1"/>
  <c r="X98" i="1"/>
  <c r="W98" i="1"/>
  <c r="V98" i="1"/>
  <c r="U98" i="1"/>
  <c r="AF97" i="1"/>
  <c r="AE97" i="1"/>
  <c r="AD97" i="1"/>
  <c r="AC97" i="1"/>
  <c r="AB97" i="1"/>
  <c r="AA97" i="1"/>
  <c r="Z97" i="1"/>
  <c r="Y97" i="1"/>
  <c r="X97" i="1"/>
  <c r="W97" i="1"/>
  <c r="V97" i="1"/>
  <c r="U97" i="1"/>
  <c r="AF96" i="1"/>
  <c r="AE96" i="1"/>
  <c r="AD96" i="1"/>
  <c r="AC96" i="1"/>
  <c r="AB96" i="1"/>
  <c r="AA96" i="1"/>
  <c r="Z96" i="1"/>
  <c r="Y96" i="1"/>
  <c r="X96" i="1"/>
  <c r="W96" i="1"/>
  <c r="V96" i="1"/>
  <c r="U96" i="1"/>
  <c r="AF95" i="1"/>
  <c r="AE95" i="1"/>
  <c r="AD95" i="1"/>
  <c r="AC95" i="1"/>
  <c r="AB95" i="1"/>
  <c r="AA95" i="1"/>
  <c r="Z95" i="1"/>
  <c r="Y95" i="1"/>
  <c r="X95" i="1"/>
  <c r="W95" i="1"/>
  <c r="V95" i="1"/>
  <c r="U95" i="1"/>
  <c r="AF94" i="1"/>
  <c r="AE94" i="1"/>
  <c r="AD94" i="1"/>
  <c r="AC94" i="1"/>
  <c r="AB94" i="1"/>
  <c r="AA94" i="1"/>
  <c r="Z94" i="1"/>
  <c r="Y94" i="1"/>
  <c r="X94" i="1"/>
  <c r="W94" i="1"/>
  <c r="V94" i="1"/>
  <c r="U94" i="1"/>
  <c r="AF93" i="1"/>
  <c r="AE93" i="1"/>
  <c r="AD93" i="1"/>
  <c r="AC93" i="1"/>
  <c r="AB93" i="1"/>
  <c r="AA93" i="1"/>
  <c r="Z93" i="1"/>
  <c r="Y93" i="1"/>
  <c r="X93" i="1"/>
  <c r="W93" i="1"/>
  <c r="V93" i="1"/>
  <c r="U93" i="1"/>
  <c r="AF92" i="1"/>
  <c r="AE92" i="1"/>
  <c r="AD92" i="1"/>
  <c r="AC92" i="1"/>
  <c r="AB92" i="1"/>
  <c r="AA92" i="1"/>
  <c r="Z92" i="1"/>
  <c r="Y92" i="1"/>
  <c r="X92" i="1"/>
  <c r="W92" i="1"/>
  <c r="V92" i="1"/>
  <c r="U92" i="1"/>
  <c r="AF91" i="1"/>
  <c r="AE91" i="1"/>
  <c r="AD91" i="1"/>
  <c r="AC91" i="1"/>
  <c r="AB91" i="1"/>
  <c r="AA91" i="1"/>
  <c r="Z91" i="1"/>
  <c r="Y91" i="1"/>
  <c r="X91" i="1"/>
  <c r="W91" i="1"/>
  <c r="V91" i="1"/>
  <c r="U91" i="1"/>
  <c r="AF90" i="1"/>
  <c r="AE90" i="1"/>
  <c r="AD90" i="1"/>
  <c r="AC90" i="1"/>
  <c r="AB90" i="1"/>
  <c r="AA90" i="1"/>
  <c r="Z90" i="1"/>
  <c r="Y90" i="1"/>
  <c r="X90" i="1"/>
  <c r="W90" i="1"/>
  <c r="V90" i="1"/>
  <c r="U90" i="1"/>
  <c r="AF89" i="1"/>
  <c r="AE89" i="1"/>
  <c r="AD89" i="1"/>
  <c r="AC89" i="1"/>
  <c r="AB89" i="1"/>
  <c r="AA89" i="1"/>
  <c r="Z89" i="1"/>
  <c r="Y89" i="1"/>
  <c r="X89" i="1"/>
  <c r="W89" i="1"/>
  <c r="V89" i="1"/>
  <c r="U89" i="1"/>
  <c r="AF88" i="1"/>
  <c r="AE88" i="1"/>
  <c r="AD88" i="1"/>
  <c r="AC88" i="1"/>
  <c r="AB88" i="1"/>
  <c r="AA88" i="1"/>
  <c r="Z88" i="1"/>
  <c r="Y88" i="1"/>
  <c r="X88" i="1"/>
  <c r="W88" i="1"/>
  <c r="V88" i="1"/>
  <c r="U88" i="1"/>
  <c r="AF87" i="1"/>
  <c r="AE87" i="1"/>
  <c r="AD87" i="1"/>
  <c r="AC87" i="1"/>
  <c r="AB87" i="1"/>
  <c r="AA87" i="1"/>
  <c r="Z87" i="1"/>
  <c r="Y87" i="1"/>
  <c r="X87" i="1"/>
  <c r="W87" i="1"/>
  <c r="V87" i="1"/>
  <c r="U87" i="1"/>
  <c r="AF86" i="1"/>
  <c r="AE86" i="1"/>
  <c r="AD86" i="1"/>
  <c r="AC86" i="1"/>
  <c r="AB86" i="1"/>
  <c r="AA86" i="1"/>
  <c r="Z86" i="1"/>
  <c r="Y86" i="1"/>
  <c r="X86" i="1"/>
  <c r="W86" i="1"/>
  <c r="V86" i="1"/>
  <c r="U86" i="1"/>
  <c r="AF85" i="1"/>
  <c r="AE85" i="1"/>
  <c r="AD85" i="1"/>
  <c r="AC85" i="1"/>
  <c r="AB85" i="1"/>
  <c r="AA85" i="1"/>
  <c r="Z85" i="1"/>
  <c r="Y85" i="1"/>
  <c r="X85" i="1"/>
  <c r="W85" i="1"/>
  <c r="V85" i="1"/>
  <c r="U85" i="1"/>
  <c r="AF84" i="1"/>
  <c r="AE84" i="1"/>
  <c r="AD84" i="1"/>
  <c r="AC84" i="1"/>
  <c r="AB84" i="1"/>
  <c r="AA84" i="1"/>
  <c r="Z84" i="1"/>
  <c r="Y84" i="1"/>
  <c r="X84" i="1"/>
  <c r="W84" i="1"/>
  <c r="V84" i="1"/>
  <c r="U84" i="1"/>
  <c r="AF83" i="1"/>
  <c r="AE83" i="1"/>
  <c r="AD83" i="1"/>
  <c r="AC83" i="1"/>
  <c r="AB83" i="1"/>
  <c r="AA83" i="1"/>
  <c r="Z83" i="1"/>
  <c r="Y83" i="1"/>
  <c r="X83" i="1"/>
  <c r="W83" i="1"/>
  <c r="V83" i="1"/>
  <c r="U83" i="1"/>
  <c r="AF82" i="1"/>
  <c r="AE82" i="1"/>
  <c r="AD82" i="1"/>
  <c r="AC82" i="1"/>
  <c r="AB82" i="1"/>
  <c r="AA82" i="1"/>
  <c r="Z82" i="1"/>
  <c r="Y82" i="1"/>
  <c r="X82" i="1"/>
  <c r="W82" i="1"/>
  <c r="V82" i="1"/>
  <c r="U82" i="1"/>
  <c r="AF81" i="1"/>
  <c r="AE81" i="1"/>
  <c r="AD81" i="1"/>
  <c r="AC81" i="1"/>
  <c r="AB81" i="1"/>
  <c r="AA81" i="1"/>
  <c r="Z81" i="1"/>
  <c r="Y81" i="1"/>
  <c r="X81" i="1"/>
  <c r="W81" i="1"/>
  <c r="V81" i="1"/>
  <c r="U81" i="1"/>
  <c r="AF80" i="1"/>
  <c r="AE80" i="1"/>
  <c r="AD80" i="1"/>
  <c r="AC80" i="1"/>
  <c r="AB80" i="1"/>
  <c r="AA80" i="1"/>
  <c r="Z80" i="1"/>
  <c r="Y80" i="1"/>
  <c r="X80" i="1"/>
  <c r="W80" i="1"/>
  <c r="V80" i="1"/>
  <c r="U80" i="1"/>
  <c r="AF79" i="1"/>
  <c r="AE79" i="1"/>
  <c r="AD79" i="1"/>
  <c r="AC79" i="1"/>
  <c r="AB79" i="1"/>
  <c r="AA79" i="1"/>
  <c r="Z79" i="1"/>
  <c r="Y79" i="1"/>
  <c r="X79" i="1"/>
  <c r="W79" i="1"/>
  <c r="V79" i="1"/>
  <c r="U79" i="1"/>
  <c r="AF78" i="1"/>
  <c r="AE78" i="1"/>
  <c r="AD78" i="1"/>
  <c r="AC78" i="1"/>
  <c r="AB78" i="1"/>
  <c r="AA78" i="1"/>
  <c r="Z78" i="1"/>
  <c r="Y78" i="1"/>
  <c r="X78" i="1"/>
  <c r="W78" i="1"/>
  <c r="V78" i="1"/>
  <c r="U78" i="1"/>
  <c r="AF77" i="1"/>
  <c r="AE77" i="1"/>
  <c r="AD77" i="1"/>
  <c r="AC77" i="1"/>
  <c r="AB77" i="1"/>
  <c r="AA77" i="1"/>
  <c r="Z77" i="1"/>
  <c r="Y77" i="1"/>
  <c r="X77" i="1"/>
  <c r="W77" i="1"/>
  <c r="V77" i="1"/>
  <c r="U77" i="1"/>
  <c r="AF76" i="1"/>
  <c r="AE76" i="1"/>
  <c r="AD76" i="1"/>
  <c r="AC76" i="1"/>
  <c r="AB76" i="1"/>
  <c r="AA76" i="1"/>
  <c r="Z76" i="1"/>
  <c r="Y76" i="1"/>
  <c r="X76" i="1"/>
  <c r="W76" i="1"/>
  <c r="V76" i="1"/>
  <c r="U76" i="1"/>
  <c r="AF75" i="1"/>
  <c r="AE75" i="1"/>
  <c r="AD75" i="1"/>
  <c r="AC75" i="1"/>
  <c r="AB75" i="1"/>
  <c r="AA75" i="1"/>
  <c r="Z75" i="1"/>
  <c r="Y75" i="1"/>
  <c r="X75" i="1"/>
  <c r="W75" i="1"/>
  <c r="V75" i="1"/>
  <c r="U75" i="1"/>
  <c r="AF74" i="1"/>
  <c r="AE74" i="1"/>
  <c r="AD74" i="1"/>
  <c r="AC74" i="1"/>
  <c r="AB74" i="1"/>
  <c r="AA74" i="1"/>
  <c r="Z74" i="1"/>
  <c r="Y74" i="1"/>
  <c r="X74" i="1"/>
  <c r="W74" i="1"/>
  <c r="V74" i="1"/>
  <c r="U74" i="1"/>
  <c r="AF73" i="1"/>
  <c r="AE73" i="1"/>
  <c r="AD73" i="1"/>
  <c r="AC73" i="1"/>
  <c r="AB73" i="1"/>
  <c r="AA73" i="1"/>
  <c r="Z73" i="1"/>
  <c r="Y73" i="1"/>
  <c r="X73" i="1"/>
  <c r="W73" i="1"/>
  <c r="V73" i="1"/>
  <c r="U73" i="1"/>
  <c r="AF72" i="1"/>
  <c r="AE72" i="1"/>
  <c r="AD72" i="1"/>
  <c r="AC72" i="1"/>
  <c r="AB72" i="1"/>
  <c r="AA72" i="1"/>
  <c r="Z72" i="1"/>
  <c r="Y72" i="1"/>
  <c r="X72" i="1"/>
  <c r="W72" i="1"/>
  <c r="V72" i="1"/>
  <c r="U72" i="1"/>
  <c r="AF71" i="1"/>
  <c r="AE71" i="1"/>
  <c r="AD71" i="1"/>
  <c r="AC71" i="1"/>
  <c r="AB71" i="1"/>
  <c r="AA71" i="1"/>
  <c r="Z71" i="1"/>
  <c r="Y71" i="1"/>
  <c r="X71" i="1"/>
  <c r="W71" i="1"/>
  <c r="V71" i="1"/>
  <c r="U71" i="1"/>
  <c r="AF70" i="1"/>
  <c r="AE70" i="1"/>
  <c r="AD70" i="1"/>
  <c r="AC70" i="1"/>
  <c r="AB70" i="1"/>
  <c r="AA70" i="1"/>
  <c r="Z70" i="1"/>
  <c r="Y70" i="1"/>
  <c r="X70" i="1"/>
  <c r="W70" i="1"/>
  <c r="V70" i="1"/>
  <c r="U70" i="1"/>
  <c r="AF69" i="1"/>
  <c r="AE69" i="1"/>
  <c r="AD69" i="1"/>
  <c r="AC69" i="1"/>
  <c r="AB69" i="1"/>
  <c r="AA69" i="1"/>
  <c r="Z69" i="1"/>
  <c r="Y69" i="1"/>
  <c r="X69" i="1"/>
  <c r="W69" i="1"/>
  <c r="V69" i="1"/>
  <c r="U69" i="1"/>
  <c r="AF68" i="1"/>
  <c r="AE68" i="1"/>
  <c r="AD68" i="1"/>
  <c r="AC68" i="1"/>
  <c r="AB68" i="1"/>
  <c r="AA68" i="1"/>
  <c r="Z68" i="1"/>
  <c r="Y68" i="1"/>
  <c r="X68" i="1"/>
  <c r="W68" i="1"/>
  <c r="V68" i="1"/>
  <c r="U68" i="1"/>
  <c r="AF67" i="1"/>
  <c r="AE67" i="1"/>
  <c r="AD67" i="1"/>
  <c r="AC67" i="1"/>
  <c r="AB67" i="1"/>
  <c r="AA67" i="1"/>
  <c r="Z67" i="1"/>
  <c r="Y67" i="1"/>
  <c r="X67" i="1"/>
  <c r="W67" i="1"/>
  <c r="V67" i="1"/>
  <c r="U67" i="1"/>
  <c r="AF66" i="1"/>
  <c r="AE66" i="1"/>
  <c r="AD66" i="1"/>
  <c r="AC66" i="1"/>
  <c r="AB66" i="1"/>
  <c r="AA66" i="1"/>
  <c r="Z66" i="1"/>
  <c r="Y66" i="1"/>
  <c r="X66" i="1"/>
  <c r="W66" i="1"/>
  <c r="V66" i="1"/>
  <c r="U66" i="1"/>
  <c r="AF65" i="1"/>
  <c r="AE65" i="1"/>
  <c r="AD65" i="1"/>
  <c r="AC65" i="1"/>
  <c r="AB65" i="1"/>
  <c r="AA65" i="1"/>
  <c r="Z65" i="1"/>
  <c r="Y65" i="1"/>
  <c r="X65" i="1"/>
  <c r="W65" i="1"/>
  <c r="V65" i="1"/>
  <c r="U65" i="1"/>
  <c r="AF64" i="1"/>
  <c r="AE64" i="1"/>
  <c r="AD64" i="1"/>
  <c r="AC64" i="1"/>
  <c r="AB64" i="1"/>
  <c r="AA64" i="1"/>
  <c r="Z64" i="1"/>
  <c r="Y64" i="1"/>
  <c r="X64" i="1"/>
  <c r="W64" i="1"/>
  <c r="V64" i="1"/>
  <c r="U64" i="1"/>
  <c r="AF63" i="1"/>
  <c r="AE63" i="1"/>
  <c r="AD63" i="1"/>
  <c r="AC63" i="1"/>
  <c r="AB63" i="1"/>
  <c r="AA63" i="1"/>
  <c r="Z63" i="1"/>
  <c r="Y63" i="1"/>
  <c r="X63" i="1"/>
  <c r="W63" i="1"/>
  <c r="V63" i="1"/>
  <c r="U63" i="1"/>
  <c r="AF62" i="1"/>
  <c r="AE62" i="1"/>
  <c r="AD62" i="1"/>
  <c r="AC62" i="1"/>
  <c r="AB62" i="1"/>
  <c r="AA62" i="1"/>
  <c r="Z62" i="1"/>
  <c r="Y62" i="1"/>
  <c r="X62" i="1"/>
  <c r="W62" i="1"/>
  <c r="V62" i="1"/>
  <c r="U62" i="1"/>
  <c r="AF61" i="1"/>
  <c r="AE61" i="1"/>
  <c r="AD61" i="1"/>
  <c r="AC61" i="1"/>
  <c r="AB61" i="1"/>
  <c r="AA61" i="1"/>
  <c r="Z61" i="1"/>
  <c r="Y61" i="1"/>
  <c r="X61" i="1"/>
  <c r="W61" i="1"/>
  <c r="V61" i="1"/>
  <c r="U61" i="1"/>
  <c r="AF60" i="1"/>
  <c r="AE60" i="1"/>
  <c r="AD60" i="1"/>
  <c r="AC60" i="1"/>
  <c r="AB60" i="1"/>
  <c r="AA60" i="1"/>
  <c r="Z60" i="1"/>
  <c r="Y60" i="1"/>
  <c r="X60" i="1"/>
  <c r="W60" i="1"/>
  <c r="V60" i="1"/>
  <c r="U60" i="1"/>
  <c r="AF59" i="1"/>
  <c r="AE59" i="1"/>
  <c r="AD59" i="1"/>
  <c r="AC59" i="1"/>
  <c r="AB59" i="1"/>
  <c r="AA59" i="1"/>
  <c r="Z59" i="1"/>
  <c r="Y59" i="1"/>
  <c r="X59" i="1"/>
  <c r="W59" i="1"/>
  <c r="V59" i="1"/>
  <c r="U59" i="1"/>
  <c r="AF58" i="1"/>
  <c r="AE58" i="1"/>
  <c r="AD58" i="1"/>
  <c r="AC58" i="1"/>
  <c r="AB58" i="1"/>
  <c r="AA58" i="1"/>
  <c r="Z58" i="1"/>
  <c r="Y58" i="1"/>
  <c r="X58" i="1"/>
  <c r="W58" i="1"/>
  <c r="V58" i="1"/>
  <c r="U58" i="1"/>
  <c r="AF57" i="1"/>
  <c r="AE57" i="1"/>
  <c r="AD57" i="1"/>
  <c r="AC57" i="1"/>
  <c r="AB57" i="1"/>
  <c r="AA57" i="1"/>
  <c r="Z57" i="1"/>
  <c r="Y57" i="1"/>
  <c r="X57" i="1"/>
  <c r="W57" i="1"/>
  <c r="V57" i="1"/>
  <c r="U57" i="1"/>
  <c r="AF56" i="1"/>
  <c r="AE56" i="1"/>
  <c r="AD56" i="1"/>
  <c r="AC56" i="1"/>
  <c r="AB56" i="1"/>
  <c r="AA56" i="1"/>
  <c r="Z56" i="1"/>
  <c r="Y56" i="1"/>
  <c r="X56" i="1"/>
  <c r="W56" i="1"/>
  <c r="V56" i="1"/>
  <c r="U56" i="1"/>
  <c r="AF55" i="1"/>
  <c r="AE55" i="1"/>
  <c r="AD55" i="1"/>
  <c r="AC55" i="1"/>
  <c r="AB55" i="1"/>
  <c r="AA55" i="1"/>
  <c r="Z55" i="1"/>
  <c r="Y55" i="1"/>
  <c r="X55" i="1"/>
  <c r="W55" i="1"/>
  <c r="V55" i="1"/>
  <c r="U55" i="1"/>
  <c r="AF54" i="1"/>
  <c r="AE54" i="1"/>
  <c r="AD54" i="1"/>
  <c r="AC54" i="1"/>
  <c r="AB54" i="1"/>
  <c r="AA54" i="1"/>
  <c r="Z54" i="1"/>
  <c r="Y54" i="1"/>
  <c r="X54" i="1"/>
  <c r="W54" i="1"/>
  <c r="V54" i="1"/>
  <c r="U54" i="1"/>
  <c r="AF53" i="1"/>
  <c r="AE53" i="1"/>
  <c r="AD53" i="1"/>
  <c r="AC53" i="1"/>
  <c r="AB53" i="1"/>
  <c r="AA53" i="1"/>
  <c r="Z53" i="1"/>
  <c r="Y53" i="1"/>
  <c r="X53" i="1"/>
  <c r="W53" i="1"/>
  <c r="V53" i="1"/>
  <c r="U53" i="1"/>
  <c r="AF52" i="1"/>
  <c r="AE52" i="1"/>
  <c r="AD52" i="1"/>
  <c r="AC52" i="1"/>
  <c r="AB52" i="1"/>
  <c r="AA52" i="1"/>
  <c r="Z52" i="1"/>
  <c r="Y52" i="1"/>
  <c r="X52" i="1"/>
  <c r="W52" i="1"/>
  <c r="V52" i="1"/>
  <c r="U52" i="1"/>
  <c r="AF51" i="1"/>
  <c r="AE51" i="1"/>
  <c r="AD51" i="1"/>
  <c r="AC51" i="1"/>
  <c r="AB51" i="1"/>
  <c r="AA51" i="1"/>
  <c r="Z51" i="1"/>
  <c r="Y51" i="1"/>
  <c r="X51" i="1"/>
  <c r="W51" i="1"/>
  <c r="V51" i="1"/>
  <c r="U51" i="1"/>
  <c r="AF50" i="1"/>
  <c r="AE50" i="1"/>
  <c r="AD50" i="1"/>
  <c r="AC50" i="1"/>
  <c r="AB50" i="1"/>
  <c r="AA50" i="1"/>
  <c r="Z50" i="1"/>
  <c r="Y50" i="1"/>
  <c r="X50" i="1"/>
  <c r="W50" i="1"/>
  <c r="V50" i="1"/>
  <c r="U50" i="1"/>
  <c r="AF49" i="1"/>
  <c r="AE49" i="1"/>
  <c r="AD49" i="1"/>
  <c r="AC49" i="1"/>
  <c r="AB49" i="1"/>
  <c r="AA49" i="1"/>
  <c r="Z49" i="1"/>
  <c r="Y49" i="1"/>
  <c r="X49" i="1"/>
  <c r="W49" i="1"/>
  <c r="V49" i="1"/>
  <c r="U49" i="1"/>
  <c r="AF48" i="1"/>
  <c r="AE48" i="1"/>
  <c r="AD48" i="1"/>
  <c r="AC48" i="1"/>
  <c r="AB48" i="1"/>
  <c r="AA48" i="1"/>
  <c r="Z48" i="1"/>
  <c r="Y48" i="1"/>
  <c r="X48" i="1"/>
  <c r="W48" i="1"/>
  <c r="V48" i="1"/>
  <c r="U48" i="1"/>
  <c r="AF47" i="1"/>
  <c r="AE47" i="1"/>
  <c r="AD47" i="1"/>
  <c r="AC47" i="1"/>
  <c r="AB47" i="1"/>
  <c r="AA47" i="1"/>
  <c r="Z47" i="1"/>
  <c r="Y47" i="1"/>
  <c r="X47" i="1"/>
  <c r="W47" i="1"/>
  <c r="V47" i="1"/>
  <c r="U47" i="1"/>
  <c r="AF46" i="1"/>
  <c r="AE46" i="1"/>
  <c r="AD46" i="1"/>
  <c r="AC46" i="1"/>
  <c r="AB46" i="1"/>
  <c r="AA46" i="1"/>
  <c r="Z46" i="1"/>
  <c r="Y46" i="1"/>
  <c r="X46" i="1"/>
  <c r="W46" i="1"/>
  <c r="V46" i="1"/>
  <c r="U46" i="1"/>
  <c r="AF45" i="1"/>
  <c r="AE45" i="1"/>
  <c r="AD45" i="1"/>
  <c r="AC45" i="1"/>
  <c r="AB45" i="1"/>
  <c r="AA45" i="1"/>
  <c r="Z45" i="1"/>
  <c r="Y45" i="1"/>
  <c r="X45" i="1"/>
  <c r="W45" i="1"/>
  <c r="V45" i="1"/>
  <c r="U45" i="1"/>
  <c r="AF44" i="1"/>
  <c r="AE44" i="1"/>
  <c r="AD44" i="1"/>
  <c r="AC44" i="1"/>
  <c r="AB44" i="1"/>
  <c r="AA44" i="1"/>
  <c r="Z44" i="1"/>
  <c r="Y44" i="1"/>
  <c r="X44" i="1"/>
  <c r="W44" i="1"/>
  <c r="V44" i="1"/>
  <c r="U44" i="1"/>
  <c r="AF43" i="1"/>
  <c r="AE43" i="1"/>
  <c r="AD43" i="1"/>
  <c r="AC43" i="1"/>
  <c r="AB43" i="1"/>
  <c r="AA43" i="1"/>
  <c r="Z43" i="1"/>
  <c r="Y43" i="1"/>
  <c r="X43" i="1"/>
  <c r="W43" i="1"/>
  <c r="V43" i="1"/>
  <c r="U43" i="1"/>
  <c r="AF42" i="1"/>
  <c r="AE42" i="1"/>
  <c r="AD42" i="1"/>
  <c r="AC42" i="1"/>
  <c r="AB42" i="1"/>
  <c r="AA42" i="1"/>
  <c r="Z42" i="1"/>
  <c r="Y42" i="1"/>
  <c r="X42" i="1"/>
  <c r="W42" i="1"/>
  <c r="V42" i="1"/>
  <c r="U42" i="1"/>
  <c r="AF41" i="1"/>
  <c r="AE41" i="1"/>
  <c r="AD41" i="1"/>
  <c r="AC41" i="1"/>
  <c r="AB41" i="1"/>
  <c r="AA41" i="1"/>
  <c r="Z41" i="1"/>
  <c r="Y41" i="1"/>
  <c r="X41" i="1"/>
  <c r="W41" i="1"/>
  <c r="V41" i="1"/>
  <c r="U41" i="1"/>
  <c r="AF40" i="1"/>
  <c r="AE40" i="1"/>
  <c r="AD40" i="1"/>
  <c r="AC40" i="1"/>
  <c r="AB40" i="1"/>
  <c r="AA40" i="1"/>
  <c r="Z40" i="1"/>
  <c r="Y40" i="1"/>
  <c r="X40" i="1"/>
  <c r="W40" i="1"/>
  <c r="V40" i="1"/>
  <c r="U40" i="1"/>
  <c r="AF39" i="1"/>
  <c r="AE39" i="1"/>
  <c r="AD39" i="1"/>
  <c r="AC39" i="1"/>
  <c r="AB39" i="1"/>
  <c r="AA39" i="1"/>
  <c r="Z39" i="1"/>
  <c r="Y39" i="1"/>
  <c r="X39" i="1"/>
  <c r="W39" i="1"/>
  <c r="V39" i="1"/>
  <c r="U39" i="1"/>
  <c r="AF38" i="1"/>
  <c r="AE38" i="1"/>
  <c r="AD38" i="1"/>
  <c r="AC38" i="1"/>
  <c r="AB38" i="1"/>
  <c r="AA38" i="1"/>
  <c r="Z38" i="1"/>
  <c r="Y38" i="1"/>
  <c r="X38" i="1"/>
  <c r="W38" i="1"/>
  <c r="V38" i="1"/>
  <c r="U38" i="1"/>
  <c r="AF37" i="1"/>
  <c r="AE37" i="1"/>
  <c r="AD37" i="1"/>
  <c r="AC37" i="1"/>
  <c r="AB37" i="1"/>
  <c r="AA37" i="1"/>
  <c r="Z37" i="1"/>
  <c r="Y37" i="1"/>
  <c r="X37" i="1"/>
  <c r="W37" i="1"/>
  <c r="V37" i="1"/>
  <c r="U37" i="1"/>
  <c r="AF36" i="1"/>
  <c r="AE36" i="1"/>
  <c r="AD36" i="1"/>
  <c r="AC36" i="1"/>
  <c r="AB36" i="1"/>
  <c r="AA36" i="1"/>
  <c r="Z36" i="1"/>
  <c r="Y36" i="1"/>
  <c r="X36" i="1"/>
  <c r="W36" i="1"/>
  <c r="V36" i="1"/>
  <c r="U36" i="1"/>
  <c r="AF35" i="1"/>
  <c r="AE35" i="1"/>
  <c r="AD35" i="1"/>
  <c r="AC35" i="1"/>
  <c r="AB35" i="1"/>
  <c r="AA35" i="1"/>
  <c r="Z35" i="1"/>
  <c r="Y35" i="1"/>
  <c r="X35" i="1"/>
  <c r="W35" i="1"/>
  <c r="V35" i="1"/>
  <c r="U35" i="1"/>
  <c r="AF34" i="1"/>
  <c r="AE34" i="1"/>
  <c r="AD34" i="1"/>
  <c r="AC34" i="1"/>
  <c r="AB34" i="1"/>
  <c r="AA34" i="1"/>
  <c r="Z34" i="1"/>
  <c r="Y34" i="1"/>
  <c r="X34" i="1"/>
  <c r="W34" i="1"/>
  <c r="V34" i="1"/>
  <c r="U34" i="1"/>
  <c r="AF33" i="1"/>
  <c r="AE33" i="1"/>
  <c r="AD33" i="1"/>
  <c r="AC33" i="1"/>
  <c r="AB33" i="1"/>
  <c r="AA33" i="1"/>
  <c r="Z33" i="1"/>
  <c r="Y33" i="1"/>
  <c r="X33" i="1"/>
  <c r="W33" i="1"/>
  <c r="V33" i="1"/>
  <c r="U33" i="1"/>
  <c r="AF32" i="1"/>
  <c r="AE32" i="1"/>
  <c r="AD32" i="1"/>
  <c r="AC32" i="1"/>
  <c r="AB32" i="1"/>
  <c r="AA32" i="1"/>
  <c r="Z32" i="1"/>
  <c r="Y32" i="1"/>
  <c r="X32" i="1"/>
  <c r="W32" i="1"/>
  <c r="V32" i="1"/>
  <c r="U32" i="1"/>
  <c r="AF31" i="1"/>
  <c r="AE31" i="1"/>
  <c r="AD31" i="1"/>
  <c r="AC31" i="1"/>
  <c r="AB31" i="1"/>
  <c r="AA31" i="1"/>
  <c r="Z31" i="1"/>
  <c r="Y31" i="1"/>
  <c r="X31" i="1"/>
  <c r="W31" i="1"/>
  <c r="V31" i="1"/>
  <c r="U31" i="1"/>
  <c r="AF30" i="1"/>
  <c r="AE30" i="1"/>
  <c r="AD30" i="1"/>
  <c r="AC30" i="1"/>
  <c r="AB30" i="1"/>
  <c r="AA30" i="1"/>
  <c r="Z30" i="1"/>
  <c r="Y30" i="1"/>
  <c r="X30" i="1"/>
  <c r="W30" i="1"/>
  <c r="V30" i="1"/>
  <c r="U30" i="1"/>
  <c r="AF29" i="1"/>
  <c r="AE29" i="1"/>
  <c r="AD29" i="1"/>
  <c r="AC29" i="1"/>
  <c r="AB29" i="1"/>
  <c r="AA29" i="1"/>
  <c r="Z29" i="1"/>
  <c r="Y29" i="1"/>
  <c r="X29" i="1"/>
  <c r="W29" i="1"/>
  <c r="V29" i="1"/>
  <c r="U29" i="1"/>
  <c r="AF28" i="1"/>
  <c r="AE28" i="1"/>
  <c r="AD28" i="1"/>
  <c r="AC28" i="1"/>
  <c r="AB28" i="1"/>
  <c r="AA28" i="1"/>
  <c r="Z28" i="1"/>
  <c r="Y28" i="1"/>
  <c r="X28" i="1"/>
  <c r="W28" i="1"/>
  <c r="V28" i="1"/>
  <c r="U28" i="1"/>
  <c r="AF27" i="1"/>
  <c r="AE27" i="1"/>
  <c r="AD27" i="1"/>
  <c r="AC27" i="1"/>
  <c r="AB27" i="1"/>
  <c r="AA27" i="1"/>
  <c r="Z27" i="1"/>
  <c r="Y27" i="1"/>
  <c r="X27" i="1"/>
  <c r="W27" i="1"/>
  <c r="V27" i="1"/>
  <c r="U27" i="1"/>
  <c r="AF26" i="1"/>
  <c r="AE26" i="1"/>
  <c r="AD26" i="1"/>
  <c r="AC26" i="1"/>
  <c r="AB26" i="1"/>
  <c r="AA26" i="1"/>
  <c r="Z26" i="1"/>
  <c r="Y26" i="1"/>
  <c r="X26" i="1"/>
  <c r="W26" i="1"/>
  <c r="V26" i="1"/>
  <c r="U26" i="1"/>
  <c r="AF25" i="1"/>
  <c r="AE25" i="1"/>
  <c r="AD25" i="1"/>
  <c r="AC25" i="1"/>
  <c r="AB25" i="1"/>
  <c r="AA25" i="1"/>
  <c r="Z25" i="1"/>
  <c r="Y25" i="1"/>
  <c r="X25" i="1"/>
  <c r="W25" i="1"/>
  <c r="V25" i="1"/>
  <c r="U25" i="1"/>
  <c r="AF24" i="1"/>
  <c r="AE24" i="1"/>
  <c r="AD24" i="1"/>
  <c r="AC24" i="1"/>
  <c r="AB24" i="1"/>
  <c r="AA24" i="1"/>
  <c r="Z24" i="1"/>
  <c r="Y24" i="1"/>
  <c r="X24" i="1"/>
  <c r="W24" i="1"/>
  <c r="V24" i="1"/>
  <c r="U24" i="1"/>
  <c r="AF23" i="1"/>
  <c r="AE23" i="1"/>
  <c r="AD23" i="1"/>
  <c r="AC23" i="1"/>
  <c r="AB23" i="1"/>
  <c r="AA23" i="1"/>
  <c r="Z23" i="1"/>
  <c r="Y23" i="1"/>
  <c r="X23" i="1"/>
  <c r="W23" i="1"/>
  <c r="V23" i="1"/>
  <c r="U23" i="1"/>
  <c r="AF22" i="1"/>
  <c r="AE22" i="1"/>
  <c r="AD22" i="1"/>
  <c r="AC22" i="1"/>
  <c r="AB22" i="1"/>
  <c r="AA22" i="1"/>
  <c r="Z22" i="1"/>
  <c r="Y22" i="1"/>
  <c r="X22" i="1"/>
  <c r="W22" i="1"/>
  <c r="V22" i="1"/>
  <c r="U22" i="1"/>
  <c r="AF21" i="1"/>
  <c r="AE21" i="1"/>
  <c r="AD21" i="1"/>
  <c r="AC21" i="1"/>
  <c r="AB21" i="1"/>
  <c r="AA21" i="1"/>
  <c r="Z21" i="1"/>
  <c r="Y21" i="1"/>
  <c r="X21" i="1"/>
  <c r="W21" i="1"/>
  <c r="V21" i="1"/>
  <c r="U21" i="1"/>
  <c r="AF20" i="1"/>
  <c r="AE20" i="1"/>
  <c r="AD20" i="1"/>
  <c r="AC20" i="1"/>
  <c r="AB20" i="1"/>
  <c r="AA20" i="1"/>
  <c r="Z20" i="1"/>
  <c r="Y20" i="1"/>
  <c r="X20" i="1"/>
  <c r="W20" i="1"/>
  <c r="V20" i="1"/>
  <c r="U20" i="1"/>
  <c r="AF19" i="1"/>
  <c r="AE19" i="1"/>
  <c r="AD19" i="1"/>
  <c r="AC19" i="1"/>
  <c r="AB19" i="1"/>
  <c r="AA19" i="1"/>
  <c r="Z19" i="1"/>
  <c r="Y19" i="1"/>
  <c r="X19" i="1"/>
  <c r="W19" i="1"/>
  <c r="V19" i="1"/>
  <c r="U19" i="1"/>
  <c r="AF18" i="1"/>
  <c r="AE18" i="1"/>
  <c r="AD18" i="1"/>
  <c r="AC18" i="1"/>
  <c r="AB18" i="1"/>
  <c r="AA18" i="1"/>
  <c r="Z18" i="1"/>
  <c r="Y18" i="1"/>
  <c r="X18" i="1"/>
  <c r="W18" i="1"/>
  <c r="V18" i="1"/>
  <c r="U18" i="1"/>
  <c r="AF17" i="1"/>
  <c r="AE17" i="1"/>
  <c r="AD17" i="1"/>
  <c r="AC17" i="1"/>
  <c r="AB17" i="1"/>
  <c r="AA17" i="1"/>
  <c r="Z17" i="1"/>
  <c r="Y17" i="1"/>
  <c r="X17" i="1"/>
  <c r="W17" i="1"/>
  <c r="V17" i="1"/>
  <c r="U17" i="1"/>
  <c r="AF16" i="1"/>
  <c r="AE16" i="1"/>
  <c r="AD16" i="1"/>
  <c r="AC16" i="1"/>
  <c r="AB16" i="1"/>
  <c r="AA16" i="1"/>
  <c r="Z16" i="1"/>
  <c r="Y16" i="1"/>
  <c r="X16" i="1"/>
  <c r="W16" i="1"/>
  <c r="V16" i="1"/>
  <c r="U16" i="1"/>
  <c r="AF15" i="1"/>
  <c r="AE15" i="1"/>
  <c r="AD15" i="1"/>
  <c r="AC15" i="1"/>
  <c r="AB15" i="1"/>
  <c r="AA15" i="1"/>
  <c r="Z15" i="1"/>
  <c r="Y15" i="1"/>
  <c r="X15" i="1"/>
  <c r="W15" i="1"/>
  <c r="V15" i="1"/>
  <c r="U15" i="1"/>
  <c r="AF14" i="1"/>
  <c r="AE14" i="1"/>
  <c r="AD14" i="1"/>
  <c r="AC14" i="1"/>
  <c r="AB14" i="1"/>
  <c r="AA14" i="1"/>
  <c r="Z14" i="1"/>
  <c r="Y14" i="1"/>
  <c r="X14" i="1"/>
  <c r="W14" i="1"/>
  <c r="V14" i="1"/>
  <c r="U14" i="1"/>
  <c r="AF13" i="1"/>
  <c r="AE13" i="1"/>
  <c r="AD13" i="1"/>
  <c r="AC13" i="1"/>
  <c r="AB13" i="1"/>
  <c r="AA13" i="1"/>
  <c r="Z13" i="1"/>
  <c r="Y13" i="1"/>
  <c r="X13" i="1"/>
  <c r="W13" i="1"/>
  <c r="V13" i="1"/>
  <c r="U13" i="1"/>
  <c r="AF12" i="1"/>
  <c r="AE12" i="1"/>
  <c r="AD12" i="1"/>
  <c r="AC12" i="1"/>
  <c r="AB12" i="1"/>
  <c r="AA12" i="1"/>
  <c r="Z12" i="1"/>
  <c r="Y12" i="1"/>
  <c r="X12" i="1"/>
  <c r="W12" i="1"/>
  <c r="V12" i="1"/>
  <c r="U12" i="1"/>
  <c r="AF11" i="1"/>
  <c r="AE11" i="1"/>
  <c r="AD11" i="1"/>
  <c r="AC11" i="1"/>
  <c r="AB11" i="1"/>
  <c r="AA11" i="1"/>
  <c r="Z11" i="1"/>
  <c r="Y11" i="1"/>
  <c r="X11" i="1"/>
  <c r="W11" i="1"/>
  <c r="V11" i="1"/>
  <c r="U11" i="1"/>
  <c r="AF10" i="1"/>
  <c r="AE10" i="1"/>
  <c r="AD10" i="1"/>
  <c r="AC10" i="1"/>
  <c r="AB10" i="1"/>
  <c r="AA10" i="1"/>
  <c r="Z10" i="1"/>
  <c r="Y10" i="1"/>
  <c r="X10" i="1"/>
  <c r="W10" i="1"/>
  <c r="V10" i="1"/>
  <c r="U10" i="1"/>
  <c r="AF9" i="1"/>
  <c r="AE9" i="1"/>
  <c r="AD9" i="1"/>
  <c r="AC9" i="1"/>
  <c r="AB9" i="1"/>
  <c r="AA9" i="1"/>
  <c r="Z9" i="1"/>
  <c r="Y9" i="1"/>
  <c r="X9" i="1"/>
  <c r="W9" i="1"/>
  <c r="V9" i="1"/>
  <c r="U9" i="1"/>
  <c r="AF8" i="1"/>
  <c r="AE8" i="1"/>
  <c r="AD8" i="1"/>
  <c r="AC8" i="1"/>
  <c r="AB8" i="1"/>
  <c r="AA8" i="1"/>
  <c r="Z8" i="1"/>
  <c r="Y8" i="1"/>
  <c r="X8" i="1"/>
  <c r="W8" i="1"/>
  <c r="V8" i="1"/>
  <c r="U8" i="1"/>
  <c r="AF7" i="1"/>
  <c r="AE7" i="1"/>
  <c r="AD7" i="1"/>
  <c r="AC7" i="1"/>
  <c r="AB7" i="1"/>
  <c r="AA7" i="1"/>
  <c r="Z7" i="1"/>
  <c r="Y7" i="1"/>
  <c r="X7" i="1"/>
  <c r="W7" i="1"/>
  <c r="V7" i="1"/>
  <c r="U7" i="1"/>
  <c r="AF6" i="1"/>
  <c r="AE6" i="1"/>
  <c r="AD6" i="1"/>
  <c r="AC6" i="1"/>
  <c r="AB6" i="1"/>
  <c r="AA6" i="1"/>
  <c r="Z6" i="1"/>
  <c r="Y6" i="1"/>
  <c r="X6" i="1"/>
  <c r="W6" i="1"/>
  <c r="V6" i="1"/>
  <c r="U6" i="1"/>
  <c r="AF5" i="1"/>
  <c r="AE5" i="1"/>
  <c r="AD5" i="1"/>
  <c r="AC5" i="1"/>
  <c r="AB5" i="1"/>
  <c r="AA5" i="1"/>
  <c r="Z5" i="1"/>
  <c r="Y5" i="1"/>
  <c r="X5" i="1"/>
  <c r="W5" i="1"/>
  <c r="V5" i="1"/>
  <c r="U5" i="1"/>
  <c r="U4" i="1"/>
  <c r="T213" i="1"/>
  <c r="S213" i="1"/>
  <c r="R213" i="1"/>
  <c r="T212" i="1"/>
  <c r="S212" i="1"/>
  <c r="R212" i="1"/>
  <c r="T211" i="1"/>
  <c r="S211" i="1"/>
  <c r="R211" i="1"/>
  <c r="T210" i="1"/>
  <c r="S210" i="1"/>
  <c r="R210" i="1"/>
  <c r="T209" i="1"/>
  <c r="S209" i="1"/>
  <c r="R209" i="1"/>
  <c r="T208" i="1"/>
  <c r="S208" i="1"/>
  <c r="R208" i="1"/>
  <c r="T207" i="1"/>
  <c r="S207" i="1"/>
  <c r="R207" i="1"/>
  <c r="T206" i="1"/>
  <c r="S206" i="1"/>
  <c r="R206" i="1"/>
  <c r="T205" i="1"/>
  <c r="S205" i="1"/>
  <c r="R205" i="1"/>
  <c r="T204" i="1"/>
  <c r="S204" i="1"/>
  <c r="R204" i="1"/>
  <c r="T203" i="1"/>
  <c r="S203" i="1"/>
  <c r="R203" i="1"/>
  <c r="T202" i="1"/>
  <c r="S202" i="1"/>
  <c r="R202" i="1"/>
  <c r="T201" i="1"/>
  <c r="S201" i="1"/>
  <c r="R201" i="1"/>
  <c r="T200" i="1"/>
  <c r="S200" i="1"/>
  <c r="R200" i="1"/>
  <c r="T199" i="1"/>
  <c r="S199" i="1"/>
  <c r="R199" i="1"/>
  <c r="T198" i="1"/>
  <c r="S198" i="1"/>
  <c r="R198" i="1"/>
  <c r="T197" i="1"/>
  <c r="S197" i="1"/>
  <c r="R197" i="1"/>
  <c r="T196" i="1"/>
  <c r="S196" i="1"/>
  <c r="R196" i="1"/>
  <c r="T195" i="1"/>
  <c r="S195" i="1"/>
  <c r="R195" i="1"/>
  <c r="T194" i="1"/>
  <c r="S194" i="1"/>
  <c r="R194" i="1"/>
  <c r="T193" i="1"/>
  <c r="S193" i="1"/>
  <c r="R193" i="1"/>
  <c r="T192" i="1"/>
  <c r="S192" i="1"/>
  <c r="R192" i="1"/>
  <c r="T191" i="1"/>
  <c r="S191" i="1"/>
  <c r="R191" i="1"/>
  <c r="T190" i="1"/>
  <c r="S190" i="1"/>
  <c r="R190" i="1"/>
  <c r="T189" i="1"/>
  <c r="S189" i="1"/>
  <c r="R189" i="1"/>
  <c r="T188" i="1"/>
  <c r="S188" i="1"/>
  <c r="R188" i="1"/>
  <c r="T187" i="1"/>
  <c r="S187" i="1"/>
  <c r="R187" i="1"/>
  <c r="T186" i="1"/>
  <c r="S186" i="1"/>
  <c r="R186" i="1"/>
  <c r="T185" i="1"/>
  <c r="S185" i="1"/>
  <c r="R185" i="1"/>
  <c r="T184" i="1"/>
  <c r="S184" i="1"/>
  <c r="R184" i="1"/>
  <c r="T183" i="1"/>
  <c r="S183" i="1"/>
  <c r="R183" i="1"/>
  <c r="T182" i="1"/>
  <c r="S182" i="1"/>
  <c r="R182" i="1"/>
  <c r="T181" i="1"/>
  <c r="S181" i="1"/>
  <c r="R181" i="1"/>
  <c r="T180" i="1"/>
  <c r="S180" i="1"/>
  <c r="R180" i="1"/>
  <c r="T179" i="1"/>
  <c r="S179" i="1"/>
  <c r="R179" i="1"/>
  <c r="T178" i="1"/>
  <c r="S178" i="1"/>
  <c r="R178" i="1"/>
  <c r="T177" i="1"/>
  <c r="S177" i="1"/>
  <c r="R177" i="1"/>
  <c r="T176" i="1"/>
  <c r="S176" i="1"/>
  <c r="R176" i="1"/>
  <c r="T175" i="1"/>
  <c r="S175" i="1"/>
  <c r="R175" i="1"/>
  <c r="T174" i="1"/>
  <c r="S174" i="1"/>
  <c r="R174" i="1"/>
  <c r="T173" i="1"/>
  <c r="S173" i="1"/>
  <c r="R173" i="1"/>
  <c r="T172" i="1"/>
  <c r="S172" i="1"/>
  <c r="R172" i="1"/>
  <c r="T171" i="1"/>
  <c r="S171" i="1"/>
  <c r="R171" i="1"/>
  <c r="T170" i="1"/>
  <c r="S170" i="1"/>
  <c r="R170" i="1"/>
  <c r="T169" i="1"/>
  <c r="S169" i="1"/>
  <c r="R169" i="1"/>
  <c r="T168" i="1"/>
  <c r="S168" i="1"/>
  <c r="R168" i="1"/>
  <c r="T167" i="1"/>
  <c r="S167" i="1"/>
  <c r="R167" i="1"/>
  <c r="T166" i="1"/>
  <c r="S166" i="1"/>
  <c r="R166" i="1"/>
  <c r="T165" i="1"/>
  <c r="S165" i="1"/>
  <c r="R165" i="1"/>
  <c r="T164" i="1"/>
  <c r="S164" i="1"/>
  <c r="R164" i="1"/>
  <c r="T163" i="1"/>
  <c r="S163" i="1"/>
  <c r="R163" i="1"/>
  <c r="T162" i="1"/>
  <c r="S162" i="1"/>
  <c r="R162" i="1"/>
  <c r="T161" i="1"/>
  <c r="S161" i="1"/>
  <c r="R161" i="1"/>
  <c r="T160" i="1"/>
  <c r="S160" i="1"/>
  <c r="R160" i="1"/>
  <c r="T159" i="1"/>
  <c r="S159" i="1"/>
  <c r="R159" i="1"/>
  <c r="T158" i="1"/>
  <c r="S158" i="1"/>
  <c r="R158" i="1"/>
  <c r="T157" i="1"/>
  <c r="S157" i="1"/>
  <c r="R157" i="1"/>
  <c r="T156" i="1"/>
  <c r="S156" i="1"/>
  <c r="R156" i="1"/>
  <c r="T155" i="1"/>
  <c r="S155" i="1"/>
  <c r="R155" i="1"/>
  <c r="T154" i="1"/>
  <c r="S154" i="1"/>
  <c r="R154" i="1"/>
  <c r="T153" i="1"/>
  <c r="S153" i="1"/>
  <c r="R153" i="1"/>
  <c r="T152" i="1"/>
  <c r="S152" i="1"/>
  <c r="R152" i="1"/>
  <c r="T151" i="1"/>
  <c r="S151" i="1"/>
  <c r="R151" i="1"/>
  <c r="T150" i="1"/>
  <c r="S150" i="1"/>
  <c r="R150" i="1"/>
  <c r="T149" i="1"/>
  <c r="S149" i="1"/>
  <c r="R149" i="1"/>
  <c r="T148" i="1"/>
  <c r="S148" i="1"/>
  <c r="R148" i="1"/>
  <c r="T147" i="1"/>
  <c r="S147" i="1"/>
  <c r="R147" i="1"/>
  <c r="T146" i="1"/>
  <c r="S146" i="1"/>
  <c r="R146" i="1"/>
  <c r="T145" i="1"/>
  <c r="S145" i="1"/>
  <c r="R145" i="1"/>
  <c r="T144" i="1"/>
  <c r="S144" i="1"/>
  <c r="R144" i="1"/>
  <c r="T143" i="1"/>
  <c r="S143" i="1"/>
  <c r="R143" i="1"/>
  <c r="T142" i="1"/>
  <c r="S142" i="1"/>
  <c r="R142" i="1"/>
  <c r="T141" i="1"/>
  <c r="S141" i="1"/>
  <c r="R141" i="1"/>
  <c r="T140" i="1"/>
  <c r="S140" i="1"/>
  <c r="R140" i="1"/>
  <c r="T139" i="1"/>
  <c r="S139" i="1"/>
  <c r="R139" i="1"/>
  <c r="T138" i="1"/>
  <c r="S138" i="1"/>
  <c r="R138" i="1"/>
  <c r="T137" i="1"/>
  <c r="S137" i="1"/>
  <c r="R137" i="1"/>
  <c r="T136" i="1"/>
  <c r="S136" i="1"/>
  <c r="R136" i="1"/>
  <c r="T135" i="1"/>
  <c r="S135" i="1"/>
  <c r="R135" i="1"/>
  <c r="T134" i="1"/>
  <c r="S134" i="1"/>
  <c r="R134" i="1"/>
  <c r="T133" i="1"/>
  <c r="S133" i="1"/>
  <c r="R133" i="1"/>
  <c r="T132" i="1"/>
  <c r="S132" i="1"/>
  <c r="R132" i="1"/>
  <c r="T131" i="1"/>
  <c r="S131" i="1"/>
  <c r="R131" i="1"/>
  <c r="T130" i="1"/>
  <c r="S130" i="1"/>
  <c r="R130" i="1"/>
  <c r="T129" i="1"/>
  <c r="S129" i="1"/>
  <c r="R129" i="1"/>
  <c r="T128" i="1"/>
  <c r="S128" i="1"/>
  <c r="R128" i="1"/>
  <c r="T127" i="1"/>
  <c r="S127" i="1"/>
  <c r="R127" i="1"/>
  <c r="T126" i="1"/>
  <c r="S126" i="1"/>
  <c r="R126" i="1"/>
  <c r="T125" i="1"/>
  <c r="S125" i="1"/>
  <c r="R125" i="1"/>
  <c r="T124" i="1"/>
  <c r="S124" i="1"/>
  <c r="R124" i="1"/>
  <c r="T123" i="1"/>
  <c r="S123" i="1"/>
  <c r="R123" i="1"/>
  <c r="T122" i="1"/>
  <c r="S122" i="1"/>
  <c r="R122" i="1"/>
  <c r="T121" i="1"/>
  <c r="S121" i="1"/>
  <c r="R121" i="1"/>
  <c r="T120" i="1"/>
  <c r="S120" i="1"/>
  <c r="R120" i="1"/>
  <c r="T119" i="1"/>
  <c r="S119" i="1"/>
  <c r="R119" i="1"/>
  <c r="T118" i="1"/>
  <c r="S118" i="1"/>
  <c r="R118" i="1"/>
  <c r="T117" i="1"/>
  <c r="S117" i="1"/>
  <c r="R117" i="1"/>
  <c r="T116" i="1"/>
  <c r="S116" i="1"/>
  <c r="R116" i="1"/>
  <c r="T115" i="1"/>
  <c r="S115" i="1"/>
  <c r="R115" i="1"/>
  <c r="T114" i="1"/>
  <c r="S114" i="1"/>
  <c r="R114" i="1"/>
  <c r="T113" i="1"/>
  <c r="S113" i="1"/>
  <c r="R113" i="1"/>
  <c r="T112" i="1"/>
  <c r="S112" i="1"/>
  <c r="R112" i="1"/>
  <c r="T111" i="1"/>
  <c r="S111" i="1"/>
  <c r="R111" i="1"/>
  <c r="T110" i="1"/>
  <c r="S110" i="1"/>
  <c r="R110" i="1"/>
  <c r="T109" i="1"/>
  <c r="S109" i="1"/>
  <c r="R109" i="1"/>
  <c r="T108" i="1"/>
  <c r="S108" i="1"/>
  <c r="R108" i="1"/>
  <c r="T107" i="1"/>
  <c r="S107" i="1"/>
  <c r="R107" i="1"/>
  <c r="T106" i="1"/>
  <c r="S106" i="1"/>
  <c r="R106" i="1"/>
  <c r="T105" i="1"/>
  <c r="S105" i="1"/>
  <c r="R105" i="1"/>
  <c r="T104" i="1"/>
  <c r="S104" i="1"/>
  <c r="R104" i="1"/>
  <c r="T103" i="1"/>
  <c r="S103" i="1"/>
  <c r="R103" i="1"/>
  <c r="T102" i="1"/>
  <c r="S102" i="1"/>
  <c r="R102" i="1"/>
  <c r="T101" i="1"/>
  <c r="S101" i="1"/>
  <c r="R101" i="1"/>
  <c r="T100" i="1"/>
  <c r="S100" i="1"/>
  <c r="R100" i="1"/>
  <c r="T99" i="1"/>
  <c r="S99" i="1"/>
  <c r="R99" i="1"/>
  <c r="T98" i="1"/>
  <c r="S98" i="1"/>
  <c r="R98" i="1"/>
  <c r="T97" i="1"/>
  <c r="S97" i="1"/>
  <c r="R97" i="1"/>
  <c r="T96" i="1"/>
  <c r="S96" i="1"/>
  <c r="R96" i="1"/>
  <c r="T95" i="1"/>
  <c r="S95" i="1"/>
  <c r="R95" i="1"/>
  <c r="T94" i="1"/>
  <c r="S94" i="1"/>
  <c r="R94" i="1"/>
  <c r="T93" i="1"/>
  <c r="S93" i="1"/>
  <c r="R93" i="1"/>
  <c r="T92" i="1"/>
  <c r="S92" i="1"/>
  <c r="R92" i="1"/>
  <c r="T91" i="1"/>
  <c r="S91" i="1"/>
  <c r="R91" i="1"/>
  <c r="T90" i="1"/>
  <c r="S90" i="1"/>
  <c r="R90" i="1"/>
  <c r="T89" i="1"/>
  <c r="S89" i="1"/>
  <c r="R89" i="1"/>
  <c r="T88" i="1"/>
  <c r="S88" i="1"/>
  <c r="R88" i="1"/>
  <c r="T87" i="1"/>
  <c r="S87" i="1"/>
  <c r="R87" i="1"/>
  <c r="T86" i="1"/>
  <c r="S86" i="1"/>
  <c r="R86" i="1"/>
  <c r="T85" i="1"/>
  <c r="S85" i="1"/>
  <c r="R85" i="1"/>
  <c r="T84" i="1"/>
  <c r="S84" i="1"/>
  <c r="R84" i="1"/>
  <c r="T83" i="1"/>
  <c r="S83" i="1"/>
  <c r="R83" i="1"/>
  <c r="T82" i="1"/>
  <c r="S82" i="1"/>
  <c r="R82" i="1"/>
  <c r="T81" i="1"/>
  <c r="S81" i="1"/>
  <c r="R81" i="1"/>
  <c r="T80" i="1"/>
  <c r="S80" i="1"/>
  <c r="R80" i="1"/>
  <c r="T79" i="1"/>
  <c r="S79" i="1"/>
  <c r="R79" i="1"/>
  <c r="T78" i="1"/>
  <c r="S78" i="1"/>
  <c r="R78" i="1"/>
  <c r="T77" i="1"/>
  <c r="S77" i="1"/>
  <c r="R77" i="1"/>
  <c r="T76" i="1"/>
  <c r="S76" i="1"/>
  <c r="R76" i="1"/>
  <c r="T75" i="1"/>
  <c r="S75" i="1"/>
  <c r="R75" i="1"/>
  <c r="T74" i="1"/>
  <c r="S74" i="1"/>
  <c r="R74" i="1"/>
  <c r="T73" i="1"/>
  <c r="S73" i="1"/>
  <c r="R73" i="1"/>
  <c r="T72" i="1"/>
  <c r="S72" i="1"/>
  <c r="R72" i="1"/>
  <c r="T71" i="1"/>
  <c r="S71" i="1"/>
  <c r="R71" i="1"/>
  <c r="T70" i="1"/>
  <c r="S70" i="1"/>
  <c r="R70" i="1"/>
  <c r="T69" i="1"/>
  <c r="S69" i="1"/>
  <c r="R69" i="1"/>
  <c r="T68" i="1"/>
  <c r="S68" i="1"/>
  <c r="R68" i="1"/>
  <c r="T67" i="1"/>
  <c r="S67" i="1"/>
  <c r="R67" i="1"/>
  <c r="T66" i="1"/>
  <c r="S66" i="1"/>
  <c r="R66" i="1"/>
  <c r="T65" i="1"/>
  <c r="S65" i="1"/>
  <c r="R65" i="1"/>
  <c r="T64" i="1"/>
  <c r="S64" i="1"/>
  <c r="R64" i="1"/>
  <c r="T63" i="1"/>
  <c r="S63" i="1"/>
  <c r="R63" i="1"/>
  <c r="T62" i="1"/>
  <c r="S62" i="1"/>
  <c r="R62" i="1"/>
  <c r="T61" i="1"/>
  <c r="S61" i="1"/>
  <c r="R61" i="1"/>
  <c r="T60" i="1"/>
  <c r="S60" i="1"/>
  <c r="R60" i="1"/>
  <c r="T59" i="1"/>
  <c r="S59" i="1"/>
  <c r="R59" i="1"/>
  <c r="T58" i="1"/>
  <c r="S58" i="1"/>
  <c r="R58" i="1"/>
  <c r="T57" i="1"/>
  <c r="S57" i="1"/>
  <c r="R57" i="1"/>
  <c r="T56" i="1"/>
  <c r="S56" i="1"/>
  <c r="R56" i="1"/>
  <c r="T55" i="1"/>
  <c r="S55" i="1"/>
  <c r="R55" i="1"/>
  <c r="T54" i="1"/>
  <c r="S54" i="1"/>
  <c r="R54" i="1"/>
  <c r="T53" i="1"/>
  <c r="S53" i="1"/>
  <c r="R53" i="1"/>
  <c r="T52" i="1"/>
  <c r="S52" i="1"/>
  <c r="R52" i="1"/>
  <c r="T51" i="1"/>
  <c r="S51" i="1"/>
  <c r="R51" i="1"/>
  <c r="T50" i="1"/>
  <c r="S50" i="1"/>
  <c r="R50" i="1"/>
  <c r="T49" i="1"/>
  <c r="S49" i="1"/>
  <c r="R49" i="1"/>
  <c r="T48" i="1"/>
  <c r="S48" i="1"/>
  <c r="R48" i="1"/>
  <c r="T47" i="1"/>
  <c r="S47" i="1"/>
  <c r="R47" i="1"/>
  <c r="T46" i="1"/>
  <c r="S46" i="1"/>
  <c r="R46" i="1"/>
  <c r="T45" i="1"/>
  <c r="S45" i="1"/>
  <c r="R45" i="1"/>
  <c r="T44" i="1"/>
  <c r="S44" i="1"/>
  <c r="R44" i="1"/>
  <c r="T43" i="1"/>
  <c r="S43" i="1"/>
  <c r="R43" i="1"/>
  <c r="T42" i="1"/>
  <c r="S42" i="1"/>
  <c r="R42" i="1"/>
  <c r="T41" i="1"/>
  <c r="S41" i="1"/>
  <c r="R41" i="1"/>
  <c r="T40" i="1"/>
  <c r="S40" i="1"/>
  <c r="R40" i="1"/>
  <c r="T39" i="1"/>
  <c r="S39" i="1"/>
  <c r="R39" i="1"/>
  <c r="T38" i="1"/>
  <c r="S38" i="1"/>
  <c r="R38" i="1"/>
  <c r="T37" i="1"/>
  <c r="S37" i="1"/>
  <c r="R37" i="1"/>
  <c r="T36" i="1"/>
  <c r="S36" i="1"/>
  <c r="R36" i="1"/>
  <c r="T35" i="1"/>
  <c r="S35" i="1"/>
  <c r="R35" i="1"/>
  <c r="T34" i="1"/>
  <c r="S34" i="1"/>
  <c r="R34" i="1"/>
  <c r="T33" i="1"/>
  <c r="S33" i="1"/>
  <c r="R33" i="1"/>
  <c r="T32" i="1"/>
  <c r="S32" i="1"/>
  <c r="R32" i="1"/>
  <c r="T31" i="1"/>
  <c r="S31" i="1"/>
  <c r="R31" i="1"/>
  <c r="T30" i="1"/>
  <c r="S30" i="1"/>
  <c r="R30" i="1"/>
  <c r="T29" i="1"/>
  <c r="S29" i="1"/>
  <c r="R29" i="1"/>
  <c r="T28" i="1"/>
  <c r="S28" i="1"/>
  <c r="R28" i="1"/>
  <c r="T27" i="1"/>
  <c r="S27" i="1"/>
  <c r="R27" i="1"/>
  <c r="T26" i="1"/>
  <c r="S26" i="1"/>
  <c r="R26" i="1"/>
  <c r="T25" i="1"/>
  <c r="S25" i="1"/>
  <c r="R25" i="1"/>
  <c r="T24" i="1"/>
  <c r="S24" i="1"/>
  <c r="R24" i="1"/>
  <c r="T23" i="1"/>
  <c r="S23" i="1"/>
  <c r="R23" i="1"/>
  <c r="T22" i="1"/>
  <c r="S22" i="1"/>
  <c r="R22" i="1"/>
  <c r="T21" i="1"/>
  <c r="S21" i="1"/>
  <c r="R21" i="1"/>
  <c r="T20" i="1"/>
  <c r="S20" i="1"/>
  <c r="R20" i="1"/>
  <c r="T19" i="1"/>
  <c r="S19" i="1"/>
  <c r="R19" i="1"/>
  <c r="T18" i="1"/>
  <c r="S18" i="1"/>
  <c r="R18" i="1"/>
  <c r="T17" i="1"/>
  <c r="S17" i="1"/>
  <c r="R17" i="1"/>
  <c r="T16" i="1"/>
  <c r="S16" i="1"/>
  <c r="R16" i="1"/>
  <c r="T15" i="1"/>
  <c r="S15" i="1"/>
  <c r="R15" i="1"/>
  <c r="T14" i="1"/>
  <c r="S14" i="1"/>
  <c r="R14" i="1"/>
  <c r="T13" i="1"/>
  <c r="S13" i="1"/>
  <c r="R13" i="1"/>
  <c r="T12" i="1"/>
  <c r="S12" i="1"/>
  <c r="R12" i="1"/>
  <c r="T11" i="1"/>
  <c r="S11" i="1"/>
  <c r="R11" i="1"/>
  <c r="T10" i="1"/>
  <c r="S10" i="1"/>
  <c r="R10" i="1"/>
  <c r="T9" i="1"/>
  <c r="S9" i="1"/>
  <c r="R9" i="1"/>
  <c r="T8" i="1"/>
  <c r="S8" i="1"/>
  <c r="R8" i="1"/>
  <c r="T7" i="1"/>
  <c r="S7" i="1"/>
  <c r="R7" i="1"/>
  <c r="T6" i="1"/>
  <c r="S6" i="1"/>
  <c r="R6" i="1"/>
  <c r="T5" i="1"/>
  <c r="S5" i="1"/>
  <c r="R5" i="1"/>
  <c r="T4" i="1"/>
  <c r="S4" i="1"/>
  <c r="R4" i="1"/>
  <c r="F4" i="1"/>
  <c r="AA4" i="1"/>
  <c r="Z4" i="1"/>
  <c r="AH4" i="1"/>
  <c r="AI4" i="1" s="1"/>
  <c r="BB4" i="1"/>
  <c r="BA4" i="1"/>
  <c r="AZ4" i="1"/>
  <c r="AY4" i="1"/>
  <c r="AX4" i="1"/>
  <c r="AW4" i="1"/>
  <c r="AN4" i="1"/>
  <c r="AP4" i="1" s="1"/>
  <c r="AM4" i="1"/>
  <c r="AL4" i="1"/>
  <c r="AK4" i="1"/>
  <c r="AG4" i="1"/>
  <c r="AF4" i="1"/>
  <c r="AE4" i="1"/>
  <c r="AD4" i="1"/>
  <c r="AC4" i="1"/>
  <c r="AB4" i="1"/>
  <c r="Y4" i="1"/>
  <c r="X4" i="1"/>
  <c r="W4" i="1"/>
  <c r="V4" i="1"/>
  <c r="AO466" i="1" l="1"/>
  <c r="AP466" i="1"/>
  <c r="AO201" i="1"/>
  <c r="AP201" i="1"/>
  <c r="AO271" i="1"/>
  <c r="AP271" i="1"/>
  <c r="AO103" i="1"/>
  <c r="AP103" i="1"/>
  <c r="AP455" i="1"/>
  <c r="AP208" i="1"/>
  <c r="AO427" i="1"/>
  <c r="AP427" i="1"/>
  <c r="AP388" i="1"/>
  <c r="AO375" i="1"/>
  <c r="AO363" i="1"/>
  <c r="AP345" i="1"/>
  <c r="AO345" i="1"/>
  <c r="AO323" i="1"/>
  <c r="AO308" i="1"/>
  <c r="AP308" i="1"/>
  <c r="AP287" i="1"/>
  <c r="AP231" i="1"/>
  <c r="AO198" i="1"/>
  <c r="AP118" i="1"/>
  <c r="AO118" i="1"/>
  <c r="AP76" i="1"/>
  <c r="AO76" i="1"/>
  <c r="AO71" i="1"/>
  <c r="AO26" i="1"/>
  <c r="AP272" i="1"/>
  <c r="AO272" i="1"/>
  <c r="AO237" i="1"/>
  <c r="AP237" i="1"/>
  <c r="AP174" i="1"/>
  <c r="AO174" i="1"/>
  <c r="AO153" i="1"/>
  <c r="AP153" i="1"/>
  <c r="AP104" i="1"/>
  <c r="AO104" i="1"/>
  <c r="AO91" i="1"/>
  <c r="AP91" i="1"/>
  <c r="AP86" i="1"/>
  <c r="AO86" i="1"/>
  <c r="AO35" i="1"/>
  <c r="AP35" i="1"/>
  <c r="AP485" i="1"/>
  <c r="AO485" i="1"/>
  <c r="AO479" i="1"/>
  <c r="AP479" i="1"/>
  <c r="AO474" i="1"/>
  <c r="AP474" i="1"/>
  <c r="AO469" i="1"/>
  <c r="AO444" i="1"/>
  <c r="AP309" i="1"/>
  <c r="AO309" i="1"/>
  <c r="AP263" i="1"/>
  <c r="AO263" i="1"/>
  <c r="AO189" i="1"/>
  <c r="AP189" i="1"/>
  <c r="AP164" i="1"/>
  <c r="AO131" i="1"/>
  <c r="AP131" i="1"/>
  <c r="AP119" i="1"/>
  <c r="AO110" i="1"/>
  <c r="AP110" i="1"/>
  <c r="AP53" i="1"/>
  <c r="AO53" i="1"/>
  <c r="AO400" i="1"/>
  <c r="AP400" i="1"/>
  <c r="AO349" i="1"/>
  <c r="AP349" i="1"/>
  <c r="AO46" i="1"/>
  <c r="AP46" i="1"/>
  <c r="AO61" i="1"/>
  <c r="AP61" i="1"/>
  <c r="AO25" i="1"/>
  <c r="AP25" i="1"/>
  <c r="AO316" i="1"/>
  <c r="AP316" i="1"/>
  <c r="AP230" i="1"/>
  <c r="AO230" i="1"/>
  <c r="AP493" i="1"/>
  <c r="AO493" i="1"/>
  <c r="AO405" i="1"/>
  <c r="AP405" i="1"/>
  <c r="AP365" i="1"/>
  <c r="AO365" i="1"/>
  <c r="AO326" i="1"/>
  <c r="AP326" i="1"/>
  <c r="AO300" i="1"/>
  <c r="AP300" i="1"/>
  <c r="AP211" i="1"/>
  <c r="AO211" i="1"/>
  <c r="AO185" i="1"/>
  <c r="AP185" i="1"/>
  <c r="AO489" i="1"/>
  <c r="AP489" i="1"/>
  <c r="AO476" i="1"/>
  <c r="AP476" i="1"/>
  <c r="AO430" i="1"/>
  <c r="AP430" i="1"/>
  <c r="AP387" i="1"/>
  <c r="AO387" i="1"/>
  <c r="AP267" i="1"/>
  <c r="AO267" i="1"/>
  <c r="AO408" i="1"/>
  <c r="AP408" i="1"/>
  <c r="AO371" i="1"/>
  <c r="AP371" i="1"/>
  <c r="AO357" i="1"/>
  <c r="AP357" i="1"/>
  <c r="AO268" i="1"/>
  <c r="AP268" i="1"/>
  <c r="AO115" i="1"/>
  <c r="AP115" i="1"/>
  <c r="AO96" i="1"/>
  <c r="AP96" i="1"/>
  <c r="AP458" i="1"/>
  <c r="AO423" i="1"/>
  <c r="AP410" i="1"/>
  <c r="AO359" i="1"/>
  <c r="AO305" i="1"/>
  <c r="AO259" i="1"/>
  <c r="AP259" i="1"/>
  <c r="AO127" i="1"/>
  <c r="AO116" i="1"/>
  <c r="AO101" i="1"/>
  <c r="AP79" i="1"/>
  <c r="AO79" i="1"/>
  <c r="AO74" i="1"/>
  <c r="AP74" i="1"/>
  <c r="AO14" i="1"/>
  <c r="AP14" i="1"/>
  <c r="AP353" i="1"/>
  <c r="AO353" i="1"/>
  <c r="AP311" i="1"/>
  <c r="AO311" i="1"/>
  <c r="AO245" i="1"/>
  <c r="AP245" i="1"/>
  <c r="AP219" i="1"/>
  <c r="AO219" i="1"/>
  <c r="AP146" i="1"/>
  <c r="AO146" i="1"/>
  <c r="AP457" i="1"/>
  <c r="AO457" i="1"/>
  <c r="AO314" i="1"/>
  <c r="AP314" i="1"/>
  <c r="AO304" i="1"/>
  <c r="AP304" i="1"/>
  <c r="AP253" i="1"/>
  <c r="AO253" i="1"/>
  <c r="AO227" i="1"/>
  <c r="AP227" i="1"/>
  <c r="AO452" i="1"/>
  <c r="AO285" i="1"/>
  <c r="AP285" i="1"/>
  <c r="AP280" i="1"/>
  <c r="AO269" i="1"/>
  <c r="AO265" i="1"/>
  <c r="AP249" i="1"/>
  <c r="AO249" i="1"/>
  <c r="AO239" i="1"/>
  <c r="AO181" i="1"/>
  <c r="AP181" i="1"/>
  <c r="AP160" i="1"/>
  <c r="AO160" i="1"/>
  <c r="AP83" i="1"/>
  <c r="AO67" i="1"/>
  <c r="AO17" i="1"/>
  <c r="AP63" i="1"/>
  <c r="AP40" i="1"/>
  <c r="AP12" i="1"/>
  <c r="AP145" i="1"/>
  <c r="AO93" i="1"/>
  <c r="AO85" i="1"/>
  <c r="AO34" i="1"/>
  <c r="AO5" i="1"/>
  <c r="AP8" i="1"/>
  <c r="AO451" i="1"/>
  <c r="AO443" i="1"/>
  <c r="AO435" i="1"/>
  <c r="AP392" i="1"/>
  <c r="AO341" i="1"/>
  <c r="AO333" i="1"/>
  <c r="AP318" i="1"/>
  <c r="AO295" i="1"/>
  <c r="AO289" i="1"/>
  <c r="AO221" i="1"/>
  <c r="AP192" i="1"/>
  <c r="AO177" i="1"/>
  <c r="AO169" i="1"/>
  <c r="AO155" i="1"/>
  <c r="AP89" i="1"/>
  <c r="AO81" i="1"/>
  <c r="AO58" i="1"/>
  <c r="AO43" i="1"/>
  <c r="AO37" i="1"/>
  <c r="AO30" i="1"/>
  <c r="AO23" i="1"/>
  <c r="AP336" i="1"/>
  <c r="AP288" i="1"/>
  <c r="AO277" i="1"/>
  <c r="AO235" i="1"/>
  <c r="AP187" i="1"/>
  <c r="AP178" i="1"/>
  <c r="AO162" i="1"/>
  <c r="AP162" i="1"/>
  <c r="AO137" i="1"/>
  <c r="AP66" i="1"/>
  <c r="AO42" i="1"/>
  <c r="AP42" i="1"/>
  <c r="AO196" i="1"/>
  <c r="AP196" i="1"/>
  <c r="AP52" i="1"/>
  <c r="AO28" i="1"/>
  <c r="AP28" i="1"/>
  <c r="AP346" i="1"/>
  <c r="AO210" i="1"/>
  <c r="AP210" i="1"/>
  <c r="AO112" i="1"/>
  <c r="AP112" i="1"/>
  <c r="AO50" i="1"/>
  <c r="AP50" i="1"/>
  <c r="AP384" i="1"/>
  <c r="AP362" i="1"/>
  <c r="AP340" i="1"/>
  <c r="AP320" i="1"/>
  <c r="AP310" i="1"/>
  <c r="AP255" i="1"/>
  <c r="AO238" i="1"/>
  <c r="AP238" i="1"/>
  <c r="AP157" i="1"/>
  <c r="AO140" i="1"/>
  <c r="AP140" i="1"/>
  <c r="AP100" i="1"/>
  <c r="AO84" i="1"/>
  <c r="AP84" i="1"/>
  <c r="AO22" i="1"/>
  <c r="AP22" i="1"/>
  <c r="AO471" i="1"/>
  <c r="AO449" i="1"/>
  <c r="AP428" i="1"/>
  <c r="AP406" i="1"/>
  <c r="AO373" i="1"/>
  <c r="AO351" i="1"/>
  <c r="AP302" i="1"/>
  <c r="AO291" i="1"/>
  <c r="AO281" i="1"/>
  <c r="AP215" i="1"/>
  <c r="AP206" i="1"/>
  <c r="AO190" i="1"/>
  <c r="AP190" i="1"/>
  <c r="AO165" i="1"/>
  <c r="AP117" i="1"/>
  <c r="AP38" i="1"/>
  <c r="AO246" i="1"/>
  <c r="AP246" i="1"/>
  <c r="AP472" i="1"/>
  <c r="AP418" i="1"/>
  <c r="AP396" i="1"/>
  <c r="AP374" i="1"/>
  <c r="AP352" i="1"/>
  <c r="AP342" i="1"/>
  <c r="AP312" i="1"/>
  <c r="AP292" i="1"/>
  <c r="AP282" i="1"/>
  <c r="AP199" i="1"/>
  <c r="AO182" i="1"/>
  <c r="AP182" i="1"/>
  <c r="AO78" i="1"/>
  <c r="AP78" i="1"/>
  <c r="AP31" i="1"/>
  <c r="AO224" i="1"/>
  <c r="AP224" i="1"/>
  <c r="AO126" i="1"/>
  <c r="AP126" i="1"/>
  <c r="AP294" i="1"/>
  <c r="AO266" i="1"/>
  <c r="AP266" i="1"/>
  <c r="AO176" i="1"/>
  <c r="AP176" i="1"/>
  <c r="AO64" i="1"/>
  <c r="AP64" i="1"/>
  <c r="AO168" i="1"/>
  <c r="AP168" i="1"/>
  <c r="AO56" i="1"/>
  <c r="AP56" i="1"/>
  <c r="AO421" i="1"/>
  <c r="AO218" i="1"/>
  <c r="AP218" i="1"/>
  <c r="AO120" i="1"/>
  <c r="AP120" i="1"/>
  <c r="AO10" i="1"/>
  <c r="AP10" i="1"/>
  <c r="AO252" i="1"/>
  <c r="AP252" i="1"/>
  <c r="AO154" i="1"/>
  <c r="AP154" i="1"/>
  <c r="AO106" i="1"/>
  <c r="AP106" i="1"/>
  <c r="AO204" i="1"/>
  <c r="AP204" i="1"/>
  <c r="AO98" i="1"/>
  <c r="AP98" i="1"/>
  <c r="AO36" i="1"/>
  <c r="AP36" i="1"/>
  <c r="AO148" i="1"/>
  <c r="AP148" i="1"/>
  <c r="AO92" i="1"/>
  <c r="AP92" i="1"/>
  <c r="AP494" i="1"/>
  <c r="AP450" i="1"/>
  <c r="AP440" i="1"/>
  <c r="AP484" i="1"/>
  <c r="AP462" i="1"/>
  <c r="AO429" i="1"/>
  <c r="AO407" i="1"/>
  <c r="AP386" i="1"/>
  <c r="AP364" i="1"/>
  <c r="AP332" i="1"/>
  <c r="AP322" i="1"/>
  <c r="AP274" i="1"/>
  <c r="AP257" i="1"/>
  <c r="AP248" i="1"/>
  <c r="AO232" i="1"/>
  <c r="AP232" i="1"/>
  <c r="AO207" i="1"/>
  <c r="AP159" i="1"/>
  <c r="AP150" i="1"/>
  <c r="AO134" i="1"/>
  <c r="AP134" i="1"/>
  <c r="AP94" i="1"/>
  <c r="AO70" i="1"/>
  <c r="AP70" i="1"/>
  <c r="AO39" i="1"/>
  <c r="AO16" i="1"/>
  <c r="AP16" i="1"/>
  <c r="AP27" i="1"/>
  <c r="AP15" i="1"/>
  <c r="AP21" i="1"/>
  <c r="AP9" i="1"/>
  <c r="AO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R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S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T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U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V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W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X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Y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Z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H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I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J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K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L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M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N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O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P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T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AU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AV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AW2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AX2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AY2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AZ2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  <comment ref="BE2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In welches SAP System soll der Artikel gesendet werden</t>
        </r>
      </text>
    </comment>
  </commentList>
</comments>
</file>

<file path=xl/sharedStrings.xml><?xml version="1.0" encoding="utf-8"?>
<sst xmlns="http://schemas.openxmlformats.org/spreadsheetml/2006/main" count="12191" uniqueCount="1924">
  <si>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</si>
  <si>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</si>
  <si>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</si>
  <si>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</si>
  <si>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</si>
  <si>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</si>
  <si>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</si>
  <si>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</si>
  <si>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</si>
  <si>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</si>
  <si>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</si>
  <si>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</si>
  <si>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</si>
  <si>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</si>
  <si>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</si>
  <si>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</si>
  <si>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</si>
  <si>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</si>
  <si>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</si>
  <si>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</si>
  <si>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</si>
  <si>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</si>
  <si>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</si>
  <si>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</si>
  <si>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</si>
  <si>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</si>
  <si>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</si>
  <si>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</si>
  <si>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</si>
  <si>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</si>
  <si>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</si>
  <si>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</si>
  <si>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</si>
  <si>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</si>
  <si>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</si>
  <si>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</si>
  <si>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</si>
  <si>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</si>
  <si>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</si>
  <si>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</si>
  <si>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</si>
  <si>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</si>
  <si>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</si>
  <si>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</si>
  <si>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</si>
  <si>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</si>
  <si>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</si>
  <si>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</si>
  <si>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</si>
  <si>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</si>
  <si>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</si>
  <si>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</si>
  <si>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</si>
  <si>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</si>
  <si>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</si>
  <si>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</si>
  <si>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</si>
  <si>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</si>
  <si>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</si>
  <si>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</si>
  <si>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</si>
  <si>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</si>
  <si>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</si>
  <si>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</si>
  <si>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</si>
  <si>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</si>
  <si>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</si>
  <si>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</si>
  <si>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</si>
  <si>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</si>
  <si>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</si>
  <si>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</si>
  <si>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</si>
  <si>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</si>
  <si>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</si>
  <si>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</si>
  <si>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</si>
  <si>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</si>
  <si>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</si>
  <si>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</si>
  <si>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</si>
  <si>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</si>
  <si>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</si>
  <si>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</si>
  <si>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Ist Fremdartikel</t>
  </si>
  <si>
    <t>05 - Kasse</t>
  </si>
  <si>
    <t>GTIN-Typ Regioapp</t>
  </si>
  <si>
    <t>SAP System Integration</t>
  </si>
  <si>
    <t>axartikelslpmstruktur__it_IT</t>
  </si>
  <si>
    <t>SLPM Struktur&gt;&gt;3 Getränke&gt;&gt;30 Getränke&gt;&gt;3025 Tafelgetränke&gt;&gt;30251010 Säfte gekühlt</t>
  </si>
  <si>
    <t>atxwarengruppesap__de_DE</t>
  </si>
  <si>
    <t>Warengruppe&gt;&gt;Getränke&gt;&gt;Tafelgetränke&gt;&gt;Säfte gekühlt</t>
  </si>
  <si>
    <t>axartikelslpmstruktur__de_DE</t>
  </si>
  <si>
    <t>axmhdvorhanden__it_IT</t>
  </si>
  <si>
    <t>Ja</t>
  </si>
  <si>
    <t>atxwarengruppesap__fr_FR</t>
  </si>
  <si>
    <t>Groupe de produits&gt;&gt;Boissons&gt;&gt;Boissons de table&gt;&gt;Jus de fruits réfrigérés</t>
  </si>
  <si>
    <t>axtaxdummyfilter__it_IT</t>
  </si>
  <si>
    <t>Dummy for Attribute Filtering</t>
  </si>
  <si>
    <t>atxalkoholhaltig__it_IT</t>
  </si>
  <si>
    <t>Nein</t>
  </si>
  <si>
    <t>axartikelslpmstruktur__fr_FR</t>
  </si>
  <si>
    <t>axartikeltypsap__fr_FR</t>
  </si>
  <si>
    <t>00 - Einzelartikel</t>
  </si>
  <si>
    <t>axartikeltypsap__de_DE</t>
  </si>
  <si>
    <t>axtaxdummyfilter__de_DE</t>
  </si>
  <si>
    <t>atxalkoholhaltig__fr_FR</t>
  </si>
  <si>
    <t>atxalkoholhaltig__de_DE</t>
  </si>
  <si>
    <t>axmhdvorhanden__de_DE</t>
  </si>
  <si>
    <t>atxwarengruppesap__it_IT</t>
  </si>
  <si>
    <t>Gruppo di prodotti&gt;&gt;Bevande&gt;&gt;Bevande da tavola&gt;&gt;Succhi refrigerati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</si>
  <si>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</si>
  <si>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</si>
  <si>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</si>
  <si>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</si>
  <si>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</si>
  <si>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</si>
  <si>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</si>
  <si>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</si>
  <si>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</si>
  <si>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refxbooleanalkoholhaltig </t>
  </si>
  <si>
    <t xml:space="preserve">refxboolen </t>
  </si>
  <si>
    <t>refxartikelartsap de-DE</t>
  </si>
  <si>
    <t>ZAUS - Display In/Out Artikel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</si>
  <si>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</si>
  <si>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</si>
  <si>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</si>
  <si>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</si>
  <si>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</si>
  <si>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</si>
  <si>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</si>
  <si>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</si>
  <si>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</si>
  <si>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</si>
  <si>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</si>
  <si>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</si>
  <si>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</si>
  <si>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</si>
  <si>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</si>
  <si>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</si>
  <si>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</si>
  <si>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</si>
  <si>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</si>
  <si>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</si>
  <si>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</si>
  <si>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</si>
  <si>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</si>
  <si>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</si>
  <si>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</si>
  <si>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</si>
  <si>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</si>
  <si>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</si>
  <si>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</si>
  <si>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Stück</t>
  </si>
  <si>
    <t>Tüte</t>
  </si>
  <si>
    <t>refxmengeneinheit fr-FR</t>
  </si>
  <si>
    <t>Caisse</t>
  </si>
  <si>
    <t>Centilitre</t>
  </si>
  <si>
    <t>Chaque</t>
  </si>
  <si>
    <t>Gramme</t>
  </si>
  <si>
    <t>Kilogramme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</si>
  <si>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</si>
  <si>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</si>
  <si>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</si>
  <si>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</si>
  <si>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</si>
  <si>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</si>
  <si>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</si>
  <si>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</si>
  <si>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</si>
  <si>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</si>
  <si>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</si>
  <si>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</si>
  <si>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</si>
  <si>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</si>
  <si>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</si>
  <si>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</si>
  <si>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</si>
  <si>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</si>
  <si>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</si>
  <si>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</si>
  <si>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</si>
  <si>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</si>
  <si>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</si>
  <si>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(KGM) KG</t>
  </si>
  <si>
    <t>(PCE) Stück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</si>
  <si>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</si>
  <si>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</si>
  <si>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</si>
  <si>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</si>
  <si>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</si>
  <si>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</si>
  <si>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</si>
  <si>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</si>
  <si>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</si>
  <si>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</si>
  <si>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</si>
  <si>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</si>
  <si>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</si>
  <si>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</si>
  <si>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</si>
  <si>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</si>
  <si>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</si>
  <si>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</si>
  <si>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</si>
  <si>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</si>
  <si>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</si>
  <si>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</si>
  <si>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</si>
  <si>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</si>
  <si>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</si>
  <si>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</si>
  <si>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</si>
  <si>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</si>
  <si>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</si>
  <si>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</si>
  <si>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</si>
  <si>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</si>
  <si>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</si>
  <si>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</si>
  <si>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</si>
  <si>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</si>
  <si>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</si>
  <si>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</si>
  <si>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</si>
  <si>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</si>
  <si>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</si>
  <si>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</si>
  <si>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</si>
  <si>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 xml:space="preserve">refxgtintyperegioartikel </t>
  </si>
  <si>
    <t>GTIN</t>
  </si>
  <si>
    <t>_EMPTY</t>
  </si>
  <si>
    <t xml:space="preserve">refxsystemsap </t>
  </si>
  <si>
    <t>S4H</t>
  </si>
  <si>
    <t>S4HP</t>
  </si>
  <si>
    <t>true</t>
  </si>
  <si>
    <t>fb03a8a8-92fa-4327-9d81-07b476c5f202</t>
  </si>
  <si>
    <t>1602056 - 661812 - Importierter Artikeltext PLU</t>
  </si>
  <si>
    <t>1602056</t>
  </si>
  <si>
    <t>753</t>
  </si>
  <si>
    <t>Importierter Artikeltext PLU</t>
  </si>
  <si>
    <t>Kirschsaft</t>
  </si>
  <si>
    <t>frisch ab Presse</t>
  </si>
  <si>
    <t>ca. 250 ml</t>
  </si>
  <si>
    <t>Kirschsaft ca. 250 ml</t>
  </si>
  <si>
    <t>false</t>
  </si>
  <si>
    <t>PLU</t>
  </si>
  <si>
    <t>Lf Nr.</t>
  </si>
  <si>
    <t>PLU-Nr. 
neu</t>
  </si>
  <si>
    <t>Stk / kg</t>
  </si>
  <si>
    <t>PAZ</t>
  </si>
  <si>
    <t>EAN</t>
  </si>
  <si>
    <t>Gestellbeschriftung 1
Max. 22 Zeichen (d)</t>
  </si>
  <si>
    <t>Gestellbeschriftung 2
Max. 22 Zeichen (d)</t>
  </si>
  <si>
    <t>Gestellbeschriftung 3
Max. 4-8 Zeichen (d)</t>
  </si>
  <si>
    <t>Kassenbontext
Max. 28 Zeichen (d)</t>
  </si>
  <si>
    <t>Gestellbeschriftung 1
Max. 22 Zeichen (f)</t>
  </si>
  <si>
    <t>Gestellbeschriftung 2
Max. 22 Zeichen (f)</t>
  </si>
  <si>
    <t>Gestellbeschriftung 3
Max. 4-8 Zeichen (f)</t>
  </si>
  <si>
    <t>Kassenbontext
Max. 28 Zeichen (f)</t>
  </si>
  <si>
    <t>Gestellbeschriftung 1
Max. 22 Zeichen (i)</t>
  </si>
  <si>
    <t>Gestellbeschriftung 2
Max. 22 Zeichen (i)</t>
  </si>
  <si>
    <t>Gestellbeschriftung 3
Max. 4-8 Zeichen (i)</t>
  </si>
  <si>
    <t>Kassenbontext
Max. 28 Zeichen (i)</t>
  </si>
  <si>
    <t>Grundpreismenge
Feld 1</t>
  </si>
  <si>
    <t>Grundpreismenge
Feld 2</t>
  </si>
  <si>
    <t>Basismengeneinheit
Waage = Kg
Verkauf = Stk = Stk
Relevant für Berechnungen im MDM/SAP</t>
  </si>
  <si>
    <t>Warengruppe
1. Feld</t>
  </si>
  <si>
    <t>Warengruppe
2. Feld</t>
  </si>
  <si>
    <t>Warengruppe
3. Feld</t>
  </si>
  <si>
    <t>Rabatt
zugelassen</t>
  </si>
  <si>
    <t>Rückgabe
zugelassen</t>
  </si>
  <si>
    <t>Preisänderung
zugelassen</t>
  </si>
  <si>
    <t>Etiketten-druck</t>
  </si>
  <si>
    <t>Shop-in-Shop</t>
  </si>
  <si>
    <t>Fremdartikel</t>
  </si>
  <si>
    <t>Qualitätsanforderung
geprüft</t>
  </si>
  <si>
    <t>Verkaufskonditionen</t>
  </si>
  <si>
    <t>Lieferant</t>
  </si>
  <si>
    <t>Stk</t>
  </si>
  <si>
    <t>Baguette</t>
  </si>
  <si>
    <t>aus der Region</t>
  </si>
  <si>
    <t>250g</t>
  </si>
  <si>
    <t>Baguette 250g</t>
  </si>
  <si>
    <t xml:space="preserve">Baguette </t>
  </si>
  <si>
    <t>de la région</t>
  </si>
  <si>
    <t>della regione</t>
  </si>
  <si>
    <t>Backwaren &amp; Convenience</t>
  </si>
  <si>
    <t>Brot und Backwaren</t>
  </si>
  <si>
    <t>Backwaren andere</t>
  </si>
  <si>
    <t>ja</t>
  </si>
  <si>
    <t>-</t>
  </si>
  <si>
    <t>Baslerbrot</t>
  </si>
  <si>
    <t>Baslerbrot 250g</t>
  </si>
  <si>
    <t xml:space="preserve">Pain bâlois </t>
  </si>
  <si>
    <t>Pain bâlois 250g</t>
  </si>
  <si>
    <t xml:space="preserve">Pane di Basilea </t>
  </si>
  <si>
    <t>Pane di Basilea 250g</t>
  </si>
  <si>
    <t>500g</t>
  </si>
  <si>
    <t>Baslerbrot 500g</t>
  </si>
  <si>
    <t>Pain bâlois 500g</t>
  </si>
  <si>
    <t>Pane di Basilea 500g</t>
  </si>
  <si>
    <t>Berliner</t>
  </si>
  <si>
    <t>1Stk</t>
  </si>
  <si>
    <t xml:space="preserve">Boule de Berlin </t>
  </si>
  <si>
    <t>1pce</t>
  </si>
  <si>
    <t>1pz</t>
  </si>
  <si>
    <t>Birewegge</t>
  </si>
  <si>
    <t>Bricelets</t>
  </si>
  <si>
    <t xml:space="preserve">Bricelets </t>
  </si>
  <si>
    <t>Brioche mit Füllung</t>
  </si>
  <si>
    <t xml:space="preserve">Brioche fourée </t>
  </si>
  <si>
    <t>Brioche ripiena</t>
  </si>
  <si>
    <t>Brot vom Beck</t>
  </si>
  <si>
    <t>Pain du boulanger</t>
  </si>
  <si>
    <t>Pane del panettiere</t>
  </si>
  <si>
    <t>Brottheke</t>
  </si>
  <si>
    <t>Comptoir à pain</t>
  </si>
  <si>
    <t>Banco pane</t>
  </si>
  <si>
    <t xml:space="preserve">Bürli </t>
  </si>
  <si>
    <t xml:space="preserve">Buttergipfel </t>
  </si>
  <si>
    <t xml:space="preserve">Croissant au beurre </t>
  </si>
  <si>
    <t>Cornetto al burro</t>
  </si>
  <si>
    <t xml:space="preserve">Butterzopf </t>
  </si>
  <si>
    <t>300g</t>
  </si>
  <si>
    <t>Butterzopf 300g</t>
  </si>
  <si>
    <t xml:space="preserve">Tresse </t>
  </si>
  <si>
    <t>Tresse 300g</t>
  </si>
  <si>
    <t xml:space="preserve">Treccia </t>
  </si>
  <si>
    <t>Treccia 300g</t>
  </si>
  <si>
    <t>Butterzopf 500g</t>
  </si>
  <si>
    <t>Tresse 500g</t>
  </si>
  <si>
    <t>Treccia 500g</t>
  </si>
  <si>
    <t>700g</t>
  </si>
  <si>
    <t>Butterzopf 700g</t>
  </si>
  <si>
    <t>Tresse 700g</t>
  </si>
  <si>
    <t>Treccia 700g</t>
  </si>
  <si>
    <t>Ciabattina</t>
  </si>
  <si>
    <t>Flûtes</t>
  </si>
  <si>
    <t xml:space="preserve">Flûtes </t>
  </si>
  <si>
    <t>Focaccia</t>
  </si>
  <si>
    <t>Halbweissbrot</t>
  </si>
  <si>
    <t>Halbweissbrot 500g</t>
  </si>
  <si>
    <t>Pain mi-blanc</t>
  </si>
  <si>
    <t>Pain mi-blanc 500g</t>
  </si>
  <si>
    <t>Pane semibianco</t>
  </si>
  <si>
    <t>Pane semibianco 500g</t>
  </si>
  <si>
    <t xml:space="preserve">Halbweissbrot </t>
  </si>
  <si>
    <t>1kg</t>
  </si>
  <si>
    <t>Halbweissbrot 1kg</t>
  </si>
  <si>
    <t>Pain mi-blanc 1kg</t>
  </si>
  <si>
    <t>Pane semibianco 1kg</t>
  </si>
  <si>
    <t>Halbweissbrot 250g</t>
  </si>
  <si>
    <t>Pain mi-blanc 250g</t>
  </si>
  <si>
    <t>Pane semibianco 250g</t>
  </si>
  <si>
    <t xml:space="preserve">Laugenbrötli </t>
  </si>
  <si>
    <t xml:space="preserve">Petits pains sils </t>
  </si>
  <si>
    <t xml:space="preserve">Panino di sils </t>
  </si>
  <si>
    <t xml:space="preserve">Laugengipfel </t>
  </si>
  <si>
    <t xml:space="preserve">Croissant sils </t>
  </si>
  <si>
    <t>Cornetto di sils</t>
  </si>
  <si>
    <t xml:space="preserve">Mandelgipfel </t>
  </si>
  <si>
    <t xml:space="preserve">Croissant aux amandes </t>
  </si>
  <si>
    <t>Cornetto alle mandorle</t>
  </si>
  <si>
    <t xml:space="preserve">Mehrkorngipfel </t>
  </si>
  <si>
    <t>Croissant multicér.</t>
  </si>
  <si>
    <t>Cornetto ai cereali</t>
  </si>
  <si>
    <t xml:space="preserve">Meringues </t>
  </si>
  <si>
    <t>Meringues régional</t>
  </si>
  <si>
    <t>Meringues</t>
  </si>
  <si>
    <t xml:space="preserve">Meringhe </t>
  </si>
  <si>
    <t xml:space="preserve">Nussgipfel </t>
  </si>
  <si>
    <t>Croissant aux noix</t>
  </si>
  <si>
    <t>Cornetto alle noci</t>
  </si>
  <si>
    <t xml:space="preserve">Nuss-Stange </t>
  </si>
  <si>
    <t>Bâton aux noix</t>
  </si>
  <si>
    <t>Bastoncino alle noci</t>
  </si>
  <si>
    <t>Pizza</t>
  </si>
  <si>
    <t xml:space="preserve">Pizza </t>
  </si>
  <si>
    <t>Ruchbrot</t>
  </si>
  <si>
    <t>Ruchbrot 1kg</t>
  </si>
  <si>
    <t xml:space="preserve">Pain bis </t>
  </si>
  <si>
    <t>Pain bis 1kg</t>
  </si>
  <si>
    <t xml:space="preserve">Pane bigio </t>
  </si>
  <si>
    <t>Pane bigio 1kg</t>
  </si>
  <si>
    <t>Ruchbrot 500g</t>
  </si>
  <si>
    <t>Pain bis 500g</t>
  </si>
  <si>
    <t>Pane bigio</t>
  </si>
  <si>
    <t>Pane bigio 500g</t>
  </si>
  <si>
    <t xml:space="preserve">Ruchbrot </t>
  </si>
  <si>
    <t>Ruchbrot 250g</t>
  </si>
  <si>
    <t>Pain bis 250g</t>
  </si>
  <si>
    <t>Pane bigio 250g</t>
  </si>
  <si>
    <t>Sandwich</t>
  </si>
  <si>
    <t>Panino</t>
  </si>
  <si>
    <t>Sandwichbrötli gross</t>
  </si>
  <si>
    <t>Pain sandwich grand</t>
  </si>
  <si>
    <t>Pane per panino grande</t>
  </si>
  <si>
    <t>Sandwichbrötli klein</t>
  </si>
  <si>
    <t>Pain sandwich petit</t>
  </si>
  <si>
    <t>Pane per panino picc.</t>
  </si>
  <si>
    <t>Schinkengipfel</t>
  </si>
  <si>
    <t xml:space="preserve">Croissant au jambon </t>
  </si>
  <si>
    <t>Cornetto al prosciutto</t>
  </si>
  <si>
    <t xml:space="preserve">Schoggibrötli </t>
  </si>
  <si>
    <t xml:space="preserve">Pain au chocolat </t>
  </si>
  <si>
    <t xml:space="preserve">Panino al cioccolato </t>
  </si>
  <si>
    <t xml:space="preserve">Schoggigipfel </t>
  </si>
  <si>
    <t xml:space="preserve">Croissant au chocolat </t>
  </si>
  <si>
    <t>Cornetto al cioccolato</t>
  </si>
  <si>
    <t xml:space="preserve">Schraubenbrötli </t>
  </si>
  <si>
    <t>Petit pain torsadé</t>
  </si>
  <si>
    <t>Panino torciglione</t>
  </si>
  <si>
    <t xml:space="preserve">Semmeli </t>
  </si>
  <si>
    <t>Ballon régional</t>
  </si>
  <si>
    <t>Michetta</t>
  </si>
  <si>
    <t xml:space="preserve">St. Gallerbrot </t>
  </si>
  <si>
    <t>St. Gallerbrot 250g</t>
  </si>
  <si>
    <t>Pain St-Gall</t>
  </si>
  <si>
    <t>Pain St-Gall 250g</t>
  </si>
  <si>
    <t>Pane di San Gallo</t>
  </si>
  <si>
    <t>Pane di San Gallo 250g</t>
  </si>
  <si>
    <t>St. Gallerbrot 500g</t>
  </si>
  <si>
    <t>Pain St-Gall 500g</t>
  </si>
  <si>
    <t>Pane di San Gallo 500g</t>
  </si>
  <si>
    <t xml:space="preserve">Tessinerbrot </t>
  </si>
  <si>
    <t>400g</t>
  </si>
  <si>
    <t>Tessinerbrot 400g</t>
  </si>
  <si>
    <t xml:space="preserve">Pain tessinois </t>
  </si>
  <si>
    <t>Pain tessinois 400g</t>
  </si>
  <si>
    <t>Pane ticinese</t>
  </si>
  <si>
    <t>Pane ticinese 400g</t>
  </si>
  <si>
    <t xml:space="preserve">Vanillebrötli </t>
  </si>
  <si>
    <t xml:space="preserve">Petit pain vanille </t>
  </si>
  <si>
    <t xml:space="preserve">Panino alla vaniglia </t>
  </si>
  <si>
    <t xml:space="preserve">Vanillegipfel </t>
  </si>
  <si>
    <t xml:space="preserve">Croissant vanille </t>
  </si>
  <si>
    <t>Cornetto alla vaniglia</t>
  </si>
  <si>
    <t xml:space="preserve">Vanille-Himb. Plunder </t>
  </si>
  <si>
    <t>Friv. vanille-framb.</t>
  </si>
  <si>
    <t>Sfoglia vanigl.-lamp.</t>
  </si>
  <si>
    <t xml:space="preserve">Vanille-Stange </t>
  </si>
  <si>
    <t>Bâton à la vanille</t>
  </si>
  <si>
    <t>Bastoncino vaniglia</t>
  </si>
  <si>
    <t xml:space="preserve">Vollkorngipfel </t>
  </si>
  <si>
    <t>Croissant complet</t>
  </si>
  <si>
    <t>Cornetto integrale</t>
  </si>
  <si>
    <t xml:space="preserve">Weggli </t>
  </si>
  <si>
    <t xml:space="preserve">Pain au lait </t>
  </si>
  <si>
    <t>Michetta al latte</t>
  </si>
  <si>
    <t>Frische Pasta</t>
  </si>
  <si>
    <t>Pâtes fraîches</t>
  </si>
  <si>
    <t>Pasta fresca</t>
  </si>
  <si>
    <t>Convenience-Produkte</t>
  </si>
  <si>
    <t>Ready to cook</t>
  </si>
  <si>
    <t>Ravioli</t>
  </si>
  <si>
    <t xml:space="preserve">Ravioli </t>
  </si>
  <si>
    <t>Gastronomietheke</t>
  </si>
  <si>
    <t>Comptoir gastronomie</t>
  </si>
  <si>
    <t>Banco gastronomia</t>
  </si>
  <si>
    <t>Ready to eat</t>
  </si>
  <si>
    <t>Glace Becher</t>
  </si>
  <si>
    <t>Glace gobelet</t>
  </si>
  <si>
    <t>Gelato coppetta</t>
  </si>
  <si>
    <t>Tiefkühlprodukte</t>
  </si>
  <si>
    <t>Glace Behälter</t>
  </si>
  <si>
    <t>1l</t>
  </si>
  <si>
    <t>Glace Behälter 1l</t>
  </si>
  <si>
    <t>Glace bac</t>
  </si>
  <si>
    <t>Glace bac 1l</t>
  </si>
  <si>
    <t>Gelato vaschetta</t>
  </si>
  <si>
    <t>Gelato vaschetta 1l</t>
  </si>
  <si>
    <t xml:space="preserve">Mehl </t>
  </si>
  <si>
    <t>Mehl 500g</t>
  </si>
  <si>
    <t xml:space="preserve">Farine </t>
  </si>
  <si>
    <t>Farine 500g</t>
  </si>
  <si>
    <t xml:space="preserve">Farina </t>
  </si>
  <si>
    <t>Farina 500g</t>
  </si>
  <si>
    <t>Food</t>
  </si>
  <si>
    <t>Grundnahrungsmittel</t>
  </si>
  <si>
    <t>Mehl 1kg</t>
  </si>
  <si>
    <t>Farine 1kg</t>
  </si>
  <si>
    <t>Farina 1kg</t>
  </si>
  <si>
    <t xml:space="preserve">Salatsauce </t>
  </si>
  <si>
    <t>500ml</t>
  </si>
  <si>
    <t>Salatsauce 500ml</t>
  </si>
  <si>
    <t>Sauce à salade</t>
  </si>
  <si>
    <t>Sauce à salade 500ml</t>
  </si>
  <si>
    <t>Salsa per insalata</t>
  </si>
  <si>
    <t>Salsa per insalata 500ml</t>
  </si>
  <si>
    <t>Öl/Essig/Salatsaucen</t>
  </si>
  <si>
    <t>Salatsauce 1l</t>
  </si>
  <si>
    <t>Sauce à salade 1l</t>
  </si>
  <si>
    <t>Salsa per insalata 1l</t>
  </si>
  <si>
    <t>Mohrenkopf</t>
  </si>
  <si>
    <t>Tête de choco</t>
  </si>
  <si>
    <t>Moretti</t>
  </si>
  <si>
    <t>Schokolade</t>
  </si>
  <si>
    <t>Bénichon-Senf</t>
  </si>
  <si>
    <t>100g</t>
  </si>
  <si>
    <t>Bénichon-Senf 100g</t>
  </si>
  <si>
    <t>Moutarde de Bénichon</t>
  </si>
  <si>
    <t>Moutarde de Bénichon 100g</t>
  </si>
  <si>
    <t>Senape di Bénichon</t>
  </si>
  <si>
    <t>Senape di Bénichon 100g</t>
  </si>
  <si>
    <t>Sonstige Nahrungsmittel</t>
  </si>
  <si>
    <t>Bénichon-Senf 250g</t>
  </si>
  <si>
    <t>Moutarde de Bénichon 250</t>
  </si>
  <si>
    <t>Senape di Bénichon 250</t>
  </si>
  <si>
    <t>Geschenkkorb</t>
  </si>
  <si>
    <t>Panier cadeau</t>
  </si>
  <si>
    <t>Cesto regalo</t>
  </si>
  <si>
    <t xml:space="preserve">Honig </t>
  </si>
  <si>
    <t>Honig 250g</t>
  </si>
  <si>
    <t>Miel</t>
  </si>
  <si>
    <t>Miel 250g</t>
  </si>
  <si>
    <t xml:space="preserve">Miele </t>
  </si>
  <si>
    <t>Miele 250g</t>
  </si>
  <si>
    <t>Honig 500g</t>
  </si>
  <si>
    <t>Miel 500g</t>
  </si>
  <si>
    <t>Miele 500g</t>
  </si>
  <si>
    <t>Konfitüre</t>
  </si>
  <si>
    <t>150g</t>
  </si>
  <si>
    <t>Konfitüre 150g</t>
  </si>
  <si>
    <t xml:space="preserve">Confiture </t>
  </si>
  <si>
    <t>Confiture 150g</t>
  </si>
  <si>
    <t xml:space="preserve">Confettura </t>
  </si>
  <si>
    <t>Confettura 150g</t>
  </si>
  <si>
    <t>Konfitüre 250g</t>
  </si>
  <si>
    <t>Confiture 250g</t>
  </si>
  <si>
    <t>Confettura 250g</t>
  </si>
  <si>
    <t>350g</t>
  </si>
  <si>
    <t>Konfitüre 350g</t>
  </si>
  <si>
    <t>Confiture 350g</t>
  </si>
  <si>
    <t>Confettura 350g</t>
  </si>
  <si>
    <t>450g</t>
  </si>
  <si>
    <t>Konfitüre 450g</t>
  </si>
  <si>
    <t>Confiture 450g</t>
  </si>
  <si>
    <t>Confettura 450g</t>
  </si>
  <si>
    <t xml:space="preserve">Karamell </t>
  </si>
  <si>
    <t xml:space="preserve">Caramel </t>
  </si>
  <si>
    <t xml:space="preserve">Caramello </t>
  </si>
  <si>
    <t>Zuckerconfiserie</t>
  </si>
  <si>
    <t>Eier</t>
  </si>
  <si>
    <t>4Stk</t>
  </si>
  <si>
    <t>Eier 4Stk</t>
  </si>
  <si>
    <t>Oeufs</t>
  </si>
  <si>
    <t>4pces</t>
  </si>
  <si>
    <t>Oeufs 4pces</t>
  </si>
  <si>
    <t>Uova</t>
  </si>
  <si>
    <t>4pz</t>
  </si>
  <si>
    <t>Uova 4pz</t>
  </si>
  <si>
    <t>Frische</t>
  </si>
  <si>
    <t xml:space="preserve">Molkereiprodukte &amp; Eier </t>
  </si>
  <si>
    <t xml:space="preserve">Eier </t>
  </si>
  <si>
    <t>10Stk</t>
  </si>
  <si>
    <t>Eier 10Stk</t>
  </si>
  <si>
    <t>10pces</t>
  </si>
  <si>
    <t>Oeufs 10pces</t>
  </si>
  <si>
    <t>10pz</t>
  </si>
  <si>
    <t>Uova 10pz</t>
  </si>
  <si>
    <t>Eier 1Stk</t>
  </si>
  <si>
    <t>Oeuf</t>
  </si>
  <si>
    <t>Oeuf 1pce</t>
  </si>
  <si>
    <t>Uovo</t>
  </si>
  <si>
    <t>Uovo 1pz</t>
  </si>
  <si>
    <t>6Stk</t>
  </si>
  <si>
    <t>Eier 6Stk</t>
  </si>
  <si>
    <t>6pces</t>
  </si>
  <si>
    <t>Oeufs 6pces</t>
  </si>
  <si>
    <t>6pz</t>
  </si>
  <si>
    <t>Uova 6pz</t>
  </si>
  <si>
    <t>Picnic-Eier</t>
  </si>
  <si>
    <t>Picnic-Eier 6Stk</t>
  </si>
  <si>
    <t xml:space="preserve">Oeufs picnic </t>
  </si>
  <si>
    <t>Oeufs picnic 6pces</t>
  </si>
  <si>
    <t>Uova picnic</t>
  </si>
  <si>
    <t>Uova picnic 6pz</t>
  </si>
  <si>
    <t xml:space="preserve">Picnic-Eier </t>
  </si>
  <si>
    <t>Picnic-Eier 1Stk</t>
  </si>
  <si>
    <t>Oeuf picnic</t>
  </si>
  <si>
    <t>Oeuf picnic 1pce</t>
  </si>
  <si>
    <t>Uovo picnic</t>
  </si>
  <si>
    <t>Uovo picnic 1pz</t>
  </si>
  <si>
    <t>Wachteleier</t>
  </si>
  <si>
    <t>8Stk</t>
  </si>
  <si>
    <t>Wachteleier 8Stk</t>
  </si>
  <si>
    <t>Oeufs de caille</t>
  </si>
  <si>
    <t>8pces</t>
  </si>
  <si>
    <t>Oeufs de caille 8pces</t>
  </si>
  <si>
    <t>Uova di quaglia</t>
  </si>
  <si>
    <t>8pz</t>
  </si>
  <si>
    <t>Uova di quaglia 8pz</t>
  </si>
  <si>
    <t>Wachteleier 6Stk</t>
  </si>
  <si>
    <t>Oeufs de caille 6pces</t>
  </si>
  <si>
    <t>Uova di quaglia 6pz</t>
  </si>
  <si>
    <t>Wachteleier 1Stk</t>
  </si>
  <si>
    <t>kg</t>
  </si>
  <si>
    <t xml:space="preserve">Eglifilet </t>
  </si>
  <si>
    <t>Filet de perche</t>
  </si>
  <si>
    <t>Filetto di persico</t>
  </si>
  <si>
    <t>SB - Fleisch</t>
  </si>
  <si>
    <t>Fisch</t>
  </si>
  <si>
    <t>Rindstartar</t>
  </si>
  <si>
    <t>Tartare de boeuf</t>
  </si>
  <si>
    <t>Tartare di manzo</t>
  </si>
  <si>
    <t>Fleisch</t>
  </si>
  <si>
    <t>Theke Wurstwaren</t>
  </si>
  <si>
    <t>Comptoir charcuterie</t>
  </si>
  <si>
    <t>Banco salumeria</t>
  </si>
  <si>
    <t>Fleisch- und Wurstwaren</t>
  </si>
  <si>
    <t>Fleisch- und Wurstwaren andere</t>
  </si>
  <si>
    <t xml:space="preserve">Wurstwaren </t>
  </si>
  <si>
    <t>Charcuterie</t>
  </si>
  <si>
    <t>Salumi</t>
  </si>
  <si>
    <t>Büscion</t>
  </si>
  <si>
    <t>2Stk</t>
  </si>
  <si>
    <t>Büscion 2Stk</t>
  </si>
  <si>
    <t>Büscion 2pces</t>
  </si>
  <si>
    <t>2pces</t>
  </si>
  <si>
    <t>2pz</t>
  </si>
  <si>
    <t>Büscion 2pz</t>
  </si>
  <si>
    <t>Käse</t>
  </si>
  <si>
    <t>Fondue</t>
  </si>
  <si>
    <t>Fondue 400g</t>
  </si>
  <si>
    <t>600g</t>
  </si>
  <si>
    <t>Fondue 600g</t>
  </si>
  <si>
    <t>800g</t>
  </si>
  <si>
    <t>Fondue 800g</t>
  </si>
  <si>
    <t>Frischkäse</t>
  </si>
  <si>
    <t>Frischkäse 2Stk</t>
  </si>
  <si>
    <t xml:space="preserve">Fromage frais </t>
  </si>
  <si>
    <t>Fromage frais 2pces</t>
  </si>
  <si>
    <t>Formaggini freschi</t>
  </si>
  <si>
    <t>Formaggini freschi 2pz</t>
  </si>
  <si>
    <t>Gruyère</t>
  </si>
  <si>
    <t xml:space="preserve">Gruyère </t>
  </si>
  <si>
    <t>Käse Spezialitäten</t>
  </si>
  <si>
    <t>Spécialités de fromage</t>
  </si>
  <si>
    <t>Formaggi</t>
  </si>
  <si>
    <t>Käsetheke</t>
  </si>
  <si>
    <t xml:space="preserve">Fromagerie </t>
  </si>
  <si>
    <t>Banco formaggi</t>
  </si>
  <si>
    <t>Mutschli</t>
  </si>
  <si>
    <t xml:space="preserve">Tomme </t>
  </si>
  <si>
    <t>Tomino</t>
  </si>
  <si>
    <t>Raclette</t>
  </si>
  <si>
    <t xml:space="preserve">Raclette </t>
  </si>
  <si>
    <t>Zincarlin</t>
  </si>
  <si>
    <t xml:space="preserve">Butter </t>
  </si>
  <si>
    <t>Butter 100g</t>
  </si>
  <si>
    <t xml:space="preserve">Beurre </t>
  </si>
  <si>
    <t>Beurre 100g</t>
  </si>
  <si>
    <t xml:space="preserve">Burro </t>
  </si>
  <si>
    <t>Burro 100g</t>
  </si>
  <si>
    <t>Milchprodukte</t>
  </si>
  <si>
    <t>200g</t>
  </si>
  <si>
    <t>Butter 200g</t>
  </si>
  <si>
    <t>Beurre</t>
  </si>
  <si>
    <t>Beurre 200g</t>
  </si>
  <si>
    <t>Burro 200g</t>
  </si>
  <si>
    <t>Butter 250g</t>
  </si>
  <si>
    <t>Beurre 250g</t>
  </si>
  <si>
    <t>Burro 250g</t>
  </si>
  <si>
    <t>Doppel-Rahm</t>
  </si>
  <si>
    <t>200ml</t>
  </si>
  <si>
    <t>Doppel-Rahm 200ml</t>
  </si>
  <si>
    <t>Double crème</t>
  </si>
  <si>
    <t>Double crème 200ml</t>
  </si>
  <si>
    <t>Panna doppia</t>
  </si>
  <si>
    <t>Panna 200ml</t>
  </si>
  <si>
    <t>250ml</t>
  </si>
  <si>
    <t>Doppel-Rahm 250ml</t>
  </si>
  <si>
    <t>Double crème 250ml</t>
  </si>
  <si>
    <t>Panna 250ml</t>
  </si>
  <si>
    <t>Jogurt</t>
  </si>
  <si>
    <t>130g</t>
  </si>
  <si>
    <t>Jogurt 130g</t>
  </si>
  <si>
    <t>Yogourt</t>
  </si>
  <si>
    <t>Yogourt 130g</t>
  </si>
  <si>
    <t>Jogurt 150g</t>
  </si>
  <si>
    <t>Yogourt 150g</t>
  </si>
  <si>
    <t>180g</t>
  </si>
  <si>
    <t>Jogurt 180g</t>
  </si>
  <si>
    <t>Yogourt 180g</t>
  </si>
  <si>
    <t>Jogurt 200g</t>
  </si>
  <si>
    <t>Yogourt 200g</t>
  </si>
  <si>
    <t>Jogurt 250g</t>
  </si>
  <si>
    <t>Yogourt 250g</t>
  </si>
  <si>
    <t>Jogurt 400g</t>
  </si>
  <si>
    <t>Yogourt 400g</t>
  </si>
  <si>
    <t>Jogurt 500g</t>
  </si>
  <si>
    <t>Yogourt 500g</t>
  </si>
  <si>
    <t xml:space="preserve">Kräuterbutter </t>
  </si>
  <si>
    <t>40g</t>
  </si>
  <si>
    <t>Kräuterbutter 40g</t>
  </si>
  <si>
    <t>Beurre aux herbes</t>
  </si>
  <si>
    <t>Beurre aux herbes 40g</t>
  </si>
  <si>
    <t>Burro alle erbe</t>
  </si>
  <si>
    <t>Burro alle erbe 40g</t>
  </si>
  <si>
    <t>60g</t>
  </si>
  <si>
    <t>Kräuterbutter 60g</t>
  </si>
  <si>
    <t>Beurre aux herbes 60g</t>
  </si>
  <si>
    <t>Burro alle erbe 60g</t>
  </si>
  <si>
    <t>Kräuterbutter 100g</t>
  </si>
  <si>
    <t>Beurre aux herbes 100g</t>
  </si>
  <si>
    <t>Burro alle erbe 100g</t>
  </si>
  <si>
    <t>Molki Spezialitäten</t>
  </si>
  <si>
    <t>Spécialités laiterie</t>
  </si>
  <si>
    <t>Specialità di latteria</t>
  </si>
  <si>
    <t>Fleischtheke</t>
  </si>
  <si>
    <t xml:space="preserve">Boucherie </t>
  </si>
  <si>
    <t xml:space="preserve">Banco carni </t>
  </si>
  <si>
    <t>SB - Fleisch andere</t>
  </si>
  <si>
    <t xml:space="preserve">Bauernschüblig </t>
  </si>
  <si>
    <t>Bauernschüblig 2Stk</t>
  </si>
  <si>
    <t xml:space="preserve">Schüblig </t>
  </si>
  <si>
    <t>Schüblig 2pces</t>
  </si>
  <si>
    <t>Schüblig contadino</t>
  </si>
  <si>
    <t>Schüblig contadino 2pz</t>
  </si>
  <si>
    <t>Wurstwaren</t>
  </si>
  <si>
    <t xml:space="preserve">Cervelat </t>
  </si>
  <si>
    <t>Cervelat 2Stk</t>
  </si>
  <si>
    <t xml:space="preserve">Cervelas </t>
  </si>
  <si>
    <t>Cervelas 2pces</t>
  </si>
  <si>
    <t>Cervelat 2pz</t>
  </si>
  <si>
    <t xml:space="preserve">Hauswurst </t>
  </si>
  <si>
    <t>Hauswurst 2Stk</t>
  </si>
  <si>
    <t xml:space="preserve">Saucisse </t>
  </si>
  <si>
    <t>Saucisse 2pces</t>
  </si>
  <si>
    <t xml:space="preserve">Salsiccia </t>
  </si>
  <si>
    <t>Salsiccia 2pz</t>
  </si>
  <si>
    <t xml:space="preserve">Landjäger dunkel </t>
  </si>
  <si>
    <t>Landjäger dunkel 2Stk</t>
  </si>
  <si>
    <t>Sauc. Landjäger foncée</t>
  </si>
  <si>
    <t>Sauc. foncée 2pces</t>
  </si>
  <si>
    <t>Sals. Landjäger scura</t>
  </si>
  <si>
    <t>Sals. scura 2pz</t>
  </si>
  <si>
    <t xml:space="preserve">Landjäger hell </t>
  </si>
  <si>
    <t>Landjäger hell 2Stk</t>
  </si>
  <si>
    <t>Sauc. Landjäger claire</t>
  </si>
  <si>
    <t>Sauc. claire 2pces</t>
  </si>
  <si>
    <t>Sals. Landjäger chiara</t>
  </si>
  <si>
    <t>Sals. chiara 2pz</t>
  </si>
  <si>
    <t xml:space="preserve">Rauchwurst </t>
  </si>
  <si>
    <t>Rauchwurst 2Stk</t>
  </si>
  <si>
    <t>Saucisse fumée</t>
  </si>
  <si>
    <t>Saucisse fumée 2pces</t>
  </si>
  <si>
    <t xml:space="preserve">Salsiccia affumicata </t>
  </si>
  <si>
    <t>Salsiccia affumicata 2pz</t>
  </si>
  <si>
    <t>6x25cl</t>
  </si>
  <si>
    <t>Bier 6x25cl</t>
  </si>
  <si>
    <t>Bière 6x25cl</t>
  </si>
  <si>
    <t>Birra 6x25cl</t>
  </si>
  <si>
    <t>Getränke</t>
  </si>
  <si>
    <t>4x25cl</t>
  </si>
  <si>
    <t>Bier 4x25cl</t>
  </si>
  <si>
    <t>Bière 4x25cl</t>
  </si>
  <si>
    <t>Birra 4x25cl</t>
  </si>
  <si>
    <t>25cl</t>
  </si>
  <si>
    <t>Bier 25cl</t>
  </si>
  <si>
    <t>Bière 25cl</t>
  </si>
  <si>
    <t>Birra 25cl</t>
  </si>
  <si>
    <t>10x33cl</t>
  </si>
  <si>
    <t>Bier 10x33cl</t>
  </si>
  <si>
    <t>Bière 10x33cl</t>
  </si>
  <si>
    <t>Birra 10x33cl</t>
  </si>
  <si>
    <t>6x33cl</t>
  </si>
  <si>
    <t>Bier 6x33cl</t>
  </si>
  <si>
    <t>Bière 6x33cl</t>
  </si>
  <si>
    <t>Birra 6x33cl</t>
  </si>
  <si>
    <t>4x33cl</t>
  </si>
  <si>
    <t>Bier 4x33cl</t>
  </si>
  <si>
    <t>Bière 4x33cl</t>
  </si>
  <si>
    <t>Birra 4x33cl</t>
  </si>
  <si>
    <t>3x33cl</t>
  </si>
  <si>
    <t>Bier 3x33cl</t>
  </si>
  <si>
    <t>Bière 3x33cl</t>
  </si>
  <si>
    <t>Birra 3x33cl</t>
  </si>
  <si>
    <t>33cl</t>
  </si>
  <si>
    <t>Bier 33cl</t>
  </si>
  <si>
    <t>Bière 33cl</t>
  </si>
  <si>
    <t>Birra 33cl</t>
  </si>
  <si>
    <t>6x50cl</t>
  </si>
  <si>
    <t>Bier 6x50cl</t>
  </si>
  <si>
    <t>Bière 6x50cl</t>
  </si>
  <si>
    <t>Birra 6x50cl</t>
  </si>
  <si>
    <t>4x50cl</t>
  </si>
  <si>
    <t>Bier 4x50cl</t>
  </si>
  <si>
    <t>Bière 4x50cl</t>
  </si>
  <si>
    <t>Birra 4x50cl</t>
  </si>
  <si>
    <t>50cl</t>
  </si>
  <si>
    <t>Bier 50cl</t>
  </si>
  <si>
    <t>Bière 50cl</t>
  </si>
  <si>
    <t>Birra 50cl</t>
  </si>
  <si>
    <t>75cl</t>
  </si>
  <si>
    <t>Bier 75cl</t>
  </si>
  <si>
    <t>Bière 75cl</t>
  </si>
  <si>
    <t>Birra 75cl</t>
  </si>
  <si>
    <t xml:space="preserve">Kaffee </t>
  </si>
  <si>
    <t xml:space="preserve">Café </t>
  </si>
  <si>
    <t xml:space="preserve">Caffè </t>
  </si>
  <si>
    <t>Kaffee und Tee</t>
  </si>
  <si>
    <t>Kaffee</t>
  </si>
  <si>
    <t>Kaffee to go</t>
  </si>
  <si>
    <t>Café à l'emporter</t>
  </si>
  <si>
    <t>Caffè da asporto</t>
  </si>
  <si>
    <t>Absinth</t>
  </si>
  <si>
    <t>Absinth 1l</t>
  </si>
  <si>
    <t>Absinthe</t>
  </si>
  <si>
    <t>Absinthe 1l</t>
  </si>
  <si>
    <t>Assenzio</t>
  </si>
  <si>
    <t>Assenzio 1l</t>
  </si>
  <si>
    <t>Absinth 50cl</t>
  </si>
  <si>
    <t>Absinthe 50cl</t>
  </si>
  <si>
    <t>Assenzio 50cl</t>
  </si>
  <si>
    <t>Grappa</t>
  </si>
  <si>
    <t>Grappa 1l</t>
  </si>
  <si>
    <t>Grappa 50cl</t>
  </si>
  <si>
    <t>70cl</t>
  </si>
  <si>
    <t>Grappa 70cl</t>
  </si>
  <si>
    <t>Likör &amp; Schnaps</t>
  </si>
  <si>
    <t>Liqueurs &amp; eaux-de-vie</t>
  </si>
  <si>
    <t>Liquori e distillati</t>
  </si>
  <si>
    <t>Limoncello</t>
  </si>
  <si>
    <t>Limoncello 1l</t>
  </si>
  <si>
    <t>Nocino</t>
  </si>
  <si>
    <t>Nocino 1l</t>
  </si>
  <si>
    <t>Nocino 50cl</t>
  </si>
  <si>
    <t>Nocino 70cl</t>
  </si>
  <si>
    <t>Apfelsaft</t>
  </si>
  <si>
    <t>Apfelsaft 33cl</t>
  </si>
  <si>
    <t>Jus de pomme</t>
  </si>
  <si>
    <t>Jus de pomme 33cl</t>
  </si>
  <si>
    <t>Succo di mela</t>
  </si>
  <si>
    <t>Succo mela 33cl</t>
  </si>
  <si>
    <t>Tafelgetränke</t>
  </si>
  <si>
    <t>Apfelsaft 50cl</t>
  </si>
  <si>
    <t>Jus de pomme 50cl</t>
  </si>
  <si>
    <t>Succo mela 50cl</t>
  </si>
  <si>
    <t>Apfelsaft 1l</t>
  </si>
  <si>
    <t>Jus de pomme 1l</t>
  </si>
  <si>
    <t>Succo mela 1l</t>
  </si>
  <si>
    <t>1.5l</t>
  </si>
  <si>
    <t>Apfelsaft 1.5l</t>
  </si>
  <si>
    <t>Jus de pomme 1.5l</t>
  </si>
  <si>
    <t>Succo mela 1.5l</t>
  </si>
  <si>
    <t>10l</t>
  </si>
  <si>
    <t>Apfelsaft 10l</t>
  </si>
  <si>
    <t>Jus de pomme 10l</t>
  </si>
  <si>
    <t>Succo mela 10l</t>
  </si>
  <si>
    <t>5l</t>
  </si>
  <si>
    <t>Apfelsaft 5l</t>
  </si>
  <si>
    <t>Jus de pomme 5l</t>
  </si>
  <si>
    <t>Succo mela 5l</t>
  </si>
  <si>
    <t>3l</t>
  </si>
  <si>
    <t>Apfelsaft 3l</t>
  </si>
  <si>
    <t>Jus de pomme 3l</t>
  </si>
  <si>
    <t>Succo mela 3l</t>
  </si>
  <si>
    <t>Apfelshorle</t>
  </si>
  <si>
    <t>Jus de pomme pétillant</t>
  </si>
  <si>
    <t>Jus de pomme pétillant 33cl</t>
  </si>
  <si>
    <t>Succo di mela gassato</t>
  </si>
  <si>
    <t>Succo di mela gas. 33cl</t>
  </si>
  <si>
    <t>Jus de pomme pétillant 50cl</t>
  </si>
  <si>
    <t>Succo di mela gas. 50cl</t>
  </si>
  <si>
    <t>Jus de pomme pétillant 1l</t>
  </si>
  <si>
    <t>Succo di mela gas. 1l</t>
  </si>
  <si>
    <t>Jus de pomme pétillant 1.5l</t>
  </si>
  <si>
    <t>Succo di mela gas. 1.5l</t>
  </si>
  <si>
    <t>Apfelwein</t>
  </si>
  <si>
    <t>Apfelwein 33cl</t>
  </si>
  <si>
    <t>Vin de pomme</t>
  </si>
  <si>
    <t>Vin de pomme 33cl</t>
  </si>
  <si>
    <t>Vino di mele</t>
  </si>
  <si>
    <t>Vino di mele 33cl</t>
  </si>
  <si>
    <t>Apfelwein 50cl</t>
  </si>
  <si>
    <t>Vin de pomme 50cl</t>
  </si>
  <si>
    <t>Vino di mele 50cl</t>
  </si>
  <si>
    <t>Apfelwein 75cl</t>
  </si>
  <si>
    <t>Vin de pomme 75cl</t>
  </si>
  <si>
    <t>Vino di mele 75cl</t>
  </si>
  <si>
    <t>Apfelwein 1l</t>
  </si>
  <si>
    <t>Vin de pomme 1l</t>
  </si>
  <si>
    <t>Vino di mele 1l</t>
  </si>
  <si>
    <t>Apfelwein 1.5l</t>
  </si>
  <si>
    <t>Vin de pomme 1.5l</t>
  </si>
  <si>
    <t>Vino di mele 1.5l</t>
  </si>
  <si>
    <t>Cider</t>
  </si>
  <si>
    <t>Cider 33cl</t>
  </si>
  <si>
    <t>Cidre</t>
  </si>
  <si>
    <t>Cidre 33cl</t>
  </si>
  <si>
    <t>Sidro</t>
  </si>
  <si>
    <t>Sidro 33cl</t>
  </si>
  <si>
    <t>Cider 50cl</t>
  </si>
  <si>
    <t>Cidre 50cl</t>
  </si>
  <si>
    <t>Sidro 50cl</t>
  </si>
  <si>
    <t>Cider 75cl</t>
  </si>
  <si>
    <t>Cidre 75cl</t>
  </si>
  <si>
    <t>Sidro 75cl</t>
  </si>
  <si>
    <t>Cider 1l</t>
  </si>
  <si>
    <t>Cidre 1l</t>
  </si>
  <si>
    <t>Sidro 1l</t>
  </si>
  <si>
    <t>Sirup</t>
  </si>
  <si>
    <t>35cl</t>
  </si>
  <si>
    <t>Sirup 35cl</t>
  </si>
  <si>
    <t xml:space="preserve">Sirop </t>
  </si>
  <si>
    <t>Sirop 35cl</t>
  </si>
  <si>
    <t>Sciroppo</t>
  </si>
  <si>
    <t>Sciroppo 35cl</t>
  </si>
  <si>
    <t>Sirup 50cl</t>
  </si>
  <si>
    <t>Sirop 50cl</t>
  </si>
  <si>
    <t>Sciroppo 50cl</t>
  </si>
  <si>
    <t>Sirup 75cl</t>
  </si>
  <si>
    <t>Sirop 75cl</t>
  </si>
  <si>
    <t>Sciroppo 75cl</t>
  </si>
  <si>
    <t>Sirup 1l</t>
  </si>
  <si>
    <t>Sirop 1l</t>
  </si>
  <si>
    <t>Sciroppo 1l</t>
  </si>
  <si>
    <t xml:space="preserve">Tee </t>
  </si>
  <si>
    <t xml:space="preserve">Thé </t>
  </si>
  <si>
    <t xml:space="preserve">Tè </t>
  </si>
  <si>
    <t>Tee</t>
  </si>
  <si>
    <t>Gasflasche</t>
  </si>
  <si>
    <t>10.5kg</t>
  </si>
  <si>
    <t>Gasflasche 10.5kg</t>
  </si>
  <si>
    <t>Bouteille de gaz</t>
  </si>
  <si>
    <t>Bouteille gaz 10.5kg</t>
  </si>
  <si>
    <t>Bombola di gas</t>
  </si>
  <si>
    <t>Bombola gas 10.5kg</t>
  </si>
  <si>
    <t>Near Food</t>
  </si>
  <si>
    <t>Gebrauchsartikel</t>
  </si>
  <si>
    <t>5kg</t>
  </si>
  <si>
    <t>Gasflasche 5kg</t>
  </si>
  <si>
    <t>Bouteille gaz 5kg</t>
  </si>
  <si>
    <t>Bombola gas 5kg</t>
  </si>
  <si>
    <t xml:space="preserve">Gasflasche </t>
  </si>
  <si>
    <t>33kg</t>
  </si>
  <si>
    <t>Gasflasche 33kg</t>
  </si>
  <si>
    <t>Bouteille gaz 33kg</t>
  </si>
  <si>
    <t>Bombola gas 33kg</t>
  </si>
  <si>
    <t>35kg</t>
  </si>
  <si>
    <t>Gasflasche 35kg</t>
  </si>
  <si>
    <t>Bouteille gaz 35kg</t>
  </si>
  <si>
    <t>Bombola gas 35kg</t>
  </si>
  <si>
    <t>7.5kg</t>
  </si>
  <si>
    <t>Gasflasche 7.5kg</t>
  </si>
  <si>
    <t>Bouteille gaz 7.5kg</t>
  </si>
  <si>
    <t>Bombola gas 7.5kg</t>
  </si>
  <si>
    <t>Holz</t>
  </si>
  <si>
    <t>Bois de chauffage</t>
  </si>
  <si>
    <t>Legna da ardere</t>
  </si>
  <si>
    <t>Holzkohle</t>
  </si>
  <si>
    <t>Charbon de bois</t>
  </si>
  <si>
    <t>Carbone</t>
  </si>
  <si>
    <t>Karten</t>
  </si>
  <si>
    <t xml:space="preserve">Cartes </t>
  </si>
  <si>
    <t>Cartoline</t>
  </si>
  <si>
    <t>Pellets</t>
  </si>
  <si>
    <t>Pellet</t>
  </si>
  <si>
    <t>Zeitschriften</t>
  </si>
  <si>
    <t>Magazines</t>
  </si>
  <si>
    <t>Riviste</t>
  </si>
  <si>
    <t>Bündelmarke</t>
  </si>
  <si>
    <t>Marque de regroupement</t>
  </si>
  <si>
    <t>Tagliando tarif. fasci</t>
  </si>
  <si>
    <t>Gebührensäcke und Marken</t>
  </si>
  <si>
    <t>Container Band</t>
  </si>
  <si>
    <t>Container Band 1Stk</t>
  </si>
  <si>
    <t>Bande de conteneur</t>
  </si>
  <si>
    <t>Bande conteneur 1pce</t>
  </si>
  <si>
    <t>Fascia per contenitore</t>
  </si>
  <si>
    <t>Fascia contenitore 1pz</t>
  </si>
  <si>
    <t>240L</t>
  </si>
  <si>
    <t>Container Band 240L</t>
  </si>
  <si>
    <t>240l</t>
  </si>
  <si>
    <t>Bande conteneur 240l</t>
  </si>
  <si>
    <t>Fascia contenitore 240l</t>
  </si>
  <si>
    <t>800L</t>
  </si>
  <si>
    <t>Container Band 800L</t>
  </si>
  <si>
    <t>800l</t>
  </si>
  <si>
    <t>Bande conteneur 800l</t>
  </si>
  <si>
    <t>Fascia contenitore 800l</t>
  </si>
  <si>
    <t xml:space="preserve">Container Band </t>
  </si>
  <si>
    <t>250L</t>
  </si>
  <si>
    <t>Container Band 250L</t>
  </si>
  <si>
    <t>250l</t>
  </si>
  <si>
    <t>Bande conteneur 250l</t>
  </si>
  <si>
    <t>Fascia contenitore 250l</t>
  </si>
  <si>
    <t>Gebührenmarke Sperrgut</t>
  </si>
  <si>
    <t>Timbre-taxe encombr.</t>
  </si>
  <si>
    <t>Tagliando tarif. ing.</t>
  </si>
  <si>
    <t xml:space="preserve">Gebührensäcke </t>
  </si>
  <si>
    <t>110L</t>
  </si>
  <si>
    <t>Gebührensäcke 110L</t>
  </si>
  <si>
    <t>Sacs poubelles taxés</t>
  </si>
  <si>
    <t>110l</t>
  </si>
  <si>
    <t>Sacs poubelles 110l</t>
  </si>
  <si>
    <t>Sacchi rifiuti</t>
  </si>
  <si>
    <t>Sacchi rifiuti 110l</t>
  </si>
  <si>
    <t>17L</t>
  </si>
  <si>
    <t>Gebührensäcke 17L</t>
  </si>
  <si>
    <t>17l</t>
  </si>
  <si>
    <t>Sacs poubelles 17l</t>
  </si>
  <si>
    <t>Sacchi rifiuti 17l</t>
  </si>
  <si>
    <t>35L</t>
  </si>
  <si>
    <t>Gebührensäcke 35L</t>
  </si>
  <si>
    <t>35l</t>
  </si>
  <si>
    <t>Sacs poubelles 35l</t>
  </si>
  <si>
    <t>Sacchi rifiuti 35l</t>
  </si>
  <si>
    <t>60L</t>
  </si>
  <si>
    <t>Gebührensäcke 60L</t>
  </si>
  <si>
    <t>60l</t>
  </si>
  <si>
    <t>Sacs poubelles 60l</t>
  </si>
  <si>
    <t>Sacchi rifiuti 60l</t>
  </si>
  <si>
    <t>Plastikmüllsäcke</t>
  </si>
  <si>
    <t>Sacs poubelles plast.</t>
  </si>
  <si>
    <t>Sacchi rifiuti plast.</t>
  </si>
  <si>
    <t>Lieferpauschale</t>
  </si>
  <si>
    <t>Frais de livraison</t>
  </si>
  <si>
    <t>Costi di consegna</t>
  </si>
  <si>
    <t>Nicht-Handelsware</t>
  </si>
  <si>
    <t>Non-Merchandise</t>
  </si>
  <si>
    <t>Dienstleistungen</t>
  </si>
  <si>
    <t>Gutschein</t>
  </si>
  <si>
    <t>Bon cadeau</t>
  </si>
  <si>
    <t xml:space="preserve">Buono regalo </t>
  </si>
  <si>
    <t>Kasse</t>
  </si>
  <si>
    <t>Gutschein, Voucher</t>
  </si>
  <si>
    <t>Vin cuit</t>
  </si>
  <si>
    <t>Vin cuit 50cl</t>
  </si>
  <si>
    <t xml:space="preserve">Vin cuit </t>
  </si>
  <si>
    <t>Weine</t>
  </si>
  <si>
    <t>Wein andere</t>
  </si>
  <si>
    <t>Vin cuit 75cl</t>
  </si>
  <si>
    <t>Vin cuit 1l</t>
  </si>
  <si>
    <t>Wein 1l</t>
  </si>
  <si>
    <t xml:space="preserve">Vin </t>
  </si>
  <si>
    <t>Vin 1l</t>
  </si>
  <si>
    <t>Vino 1l</t>
  </si>
  <si>
    <t xml:space="preserve">Wein </t>
  </si>
  <si>
    <t>Wein 25cl</t>
  </si>
  <si>
    <t>Vin 25cl</t>
  </si>
  <si>
    <t>Vino 25cl</t>
  </si>
  <si>
    <t>Wein 50cl</t>
  </si>
  <si>
    <t>Vin 50cl</t>
  </si>
  <si>
    <t>Vino 50cl</t>
  </si>
  <si>
    <t>Wein 75cl</t>
  </si>
  <si>
    <t>Vin 75cl</t>
  </si>
  <si>
    <t>Vino 75cl</t>
  </si>
  <si>
    <t>Birnen Büscheli</t>
  </si>
  <si>
    <t>Offen Kl. 1</t>
  </si>
  <si>
    <t>Birnen Büscheli Offen Kl. 1</t>
  </si>
  <si>
    <t>Poires Büscheli</t>
  </si>
  <si>
    <t>En vrac, cl. 1</t>
  </si>
  <si>
    <t>Pere Büscheli</t>
  </si>
  <si>
    <t>Cl. 1 vendita sfusa</t>
  </si>
  <si>
    <t>Pere Büscheli Cl. 1 v.s.</t>
  </si>
  <si>
    <t>Früchte und Gemüse</t>
  </si>
  <si>
    <t>Früchte</t>
  </si>
  <si>
    <t>Ananas</t>
  </si>
  <si>
    <t>Baby</t>
  </si>
  <si>
    <t>Ananas Baby Stk</t>
  </si>
  <si>
    <t>Ananas Baby</t>
  </si>
  <si>
    <t>Ananas Baby 1 pz</t>
  </si>
  <si>
    <t>Becher</t>
  </si>
  <si>
    <t>Ananas Becher 200g</t>
  </si>
  <si>
    <t>Gobelet</t>
  </si>
  <si>
    <t>Ananas gobelet 200g</t>
  </si>
  <si>
    <t>bicchiere</t>
  </si>
  <si>
    <t>Ananas bicchiere 200g</t>
  </si>
  <si>
    <t>Äpfel Granny Smith</t>
  </si>
  <si>
    <t>gepackt</t>
  </si>
  <si>
    <t>Äpfel Granny Smith gepackt</t>
  </si>
  <si>
    <t>Pommes Granny Smith</t>
  </si>
  <si>
    <t>Emballé</t>
  </si>
  <si>
    <t>Pommes Granny Smith, emballé</t>
  </si>
  <si>
    <t>Mele Granny Smith</t>
  </si>
  <si>
    <t>confezionato</t>
  </si>
  <si>
    <t>Mele Granny Smith confez.</t>
  </si>
  <si>
    <t>Aprikosen</t>
  </si>
  <si>
    <t>2kg</t>
  </si>
  <si>
    <t>Aprikosen 2kg</t>
  </si>
  <si>
    <t>Abricots</t>
  </si>
  <si>
    <t>Abricots 2kg</t>
  </si>
  <si>
    <t>Albicocche</t>
  </si>
  <si>
    <t>Albicocche 2kg</t>
  </si>
  <si>
    <t xml:space="preserve">Aprikosen </t>
  </si>
  <si>
    <t>Offen AAA</t>
  </si>
  <si>
    <t>Aprikosen Offen AAA</t>
  </si>
  <si>
    <t xml:space="preserve">Abricots </t>
  </si>
  <si>
    <t>En vrac AAA</t>
  </si>
  <si>
    <t>Abricosts en vrac AAA</t>
  </si>
  <si>
    <t xml:space="preserve">Albicocche </t>
  </si>
  <si>
    <t>vendita sfusa AAA</t>
  </si>
  <si>
    <t xml:space="preserve">Albicocche vend. sfus. AAA </t>
  </si>
  <si>
    <t>ca. 800g</t>
  </si>
  <si>
    <t>Aprikosen ca. 800g</t>
  </si>
  <si>
    <t>env. 800g</t>
  </si>
  <si>
    <t>Abricots env. 800g</t>
  </si>
  <si>
    <t>Albicocche ca. 800g</t>
  </si>
  <si>
    <t>Aprikosen Offen</t>
  </si>
  <si>
    <t>Abrivots</t>
  </si>
  <si>
    <t>En Vrac</t>
  </si>
  <si>
    <t>Abricots en vrac</t>
  </si>
  <si>
    <t>vendita sfusa</t>
  </si>
  <si>
    <t>Albicocche vend. sfusa</t>
  </si>
  <si>
    <t>Schale</t>
  </si>
  <si>
    <t>650g</t>
  </si>
  <si>
    <t>Aprikosen Schale 650g</t>
  </si>
  <si>
    <t>Barquette</t>
  </si>
  <si>
    <t>Abricots barquette 650g</t>
  </si>
  <si>
    <t>vaschetta</t>
  </si>
  <si>
    <t>Albicocche vasch. 650g</t>
  </si>
  <si>
    <t>Aprikosen getrocknet</t>
  </si>
  <si>
    <t>Aprikosen getrocknet 200g</t>
  </si>
  <si>
    <t>Abricots secs</t>
  </si>
  <si>
    <t>Abricots secs 200g</t>
  </si>
  <si>
    <t>Albicocche secche</t>
  </si>
  <si>
    <t>Albicocche secche 200g</t>
  </si>
  <si>
    <t>Bananen Fyffes</t>
  </si>
  <si>
    <t>Offen</t>
  </si>
  <si>
    <t>Bananen Fyffes Offen</t>
  </si>
  <si>
    <t>Bananes Fyffes</t>
  </si>
  <si>
    <t>En vrac</t>
  </si>
  <si>
    <t>Bananes Fyffes en vrac</t>
  </si>
  <si>
    <t>Banane Fyffes</t>
  </si>
  <si>
    <t>Banane Fyffes vend. sfusa</t>
  </si>
  <si>
    <t>Bananen</t>
  </si>
  <si>
    <t>Bananen gepackt</t>
  </si>
  <si>
    <t>Bananes</t>
  </si>
  <si>
    <t>Bananes emballé</t>
  </si>
  <si>
    <t>Banane</t>
  </si>
  <si>
    <t>Banane confezionato</t>
  </si>
  <si>
    <t>Beerenmischung</t>
  </si>
  <si>
    <t>Beerenmischung Schale 250g</t>
  </si>
  <si>
    <t>Mélange de baies</t>
  </si>
  <si>
    <t>Melange de baies 250g</t>
  </si>
  <si>
    <t>Bacche miste</t>
  </si>
  <si>
    <t>Bacche miste 250g</t>
  </si>
  <si>
    <t>Bio Bananen Offen</t>
  </si>
  <si>
    <t>Bio Bananes</t>
  </si>
  <si>
    <t>Bio Bananes en vrac</t>
  </si>
  <si>
    <t>Bio Banane</t>
  </si>
  <si>
    <t>Bio Banane vendita sfusa</t>
  </si>
  <si>
    <t>Bio Wassermelone Mini</t>
  </si>
  <si>
    <t>Bio Pastèques</t>
  </si>
  <si>
    <t>Mini</t>
  </si>
  <si>
    <t>Bio Pastèques Mini</t>
  </si>
  <si>
    <t>Bio Angurie mini</t>
  </si>
  <si>
    <t>Bio Orangen Offen</t>
  </si>
  <si>
    <t>Bio Oranges</t>
  </si>
  <si>
    <t>Bio Oranges en vrac</t>
  </si>
  <si>
    <t>Bio Arance</t>
  </si>
  <si>
    <t>Bio Arance vendita sfusa</t>
  </si>
  <si>
    <t>Birnen Ercolini</t>
  </si>
  <si>
    <t>Birnen Ercolini Offen Kl. 1</t>
  </si>
  <si>
    <t>Poires Ercolini</t>
  </si>
  <si>
    <t>Poire Ercolini en vrac cl. 1</t>
  </si>
  <si>
    <t>Pere Ercolini</t>
  </si>
  <si>
    <t>Pere Ercolini cl.1 vend. Sf.</t>
  </si>
  <si>
    <t>Birnen Kaiser</t>
  </si>
  <si>
    <t>Birnen Kaiser Offen Kl.1</t>
  </si>
  <si>
    <t>Poires Beurré Bosc</t>
  </si>
  <si>
    <t>Poire Beurré Bosc en v. cl1</t>
  </si>
  <si>
    <t>Pere Kaiser</t>
  </si>
  <si>
    <t>Pere Kaiser cl. 1 vendta sf.</t>
  </si>
  <si>
    <t>Birnen Abate</t>
  </si>
  <si>
    <t>Kl. 1 gepackt</t>
  </si>
  <si>
    <t>Birnen Abate Kl. 1 gepackt</t>
  </si>
  <si>
    <t>Poires Abate</t>
  </si>
  <si>
    <t>Cl. 1 emballé</t>
  </si>
  <si>
    <t>Poires Abate cl. 1 emballé</t>
  </si>
  <si>
    <t>Pere Abate</t>
  </si>
  <si>
    <t>Cl. 1 confezionato</t>
  </si>
  <si>
    <t>Pere Abate cl.1 confezionato</t>
  </si>
  <si>
    <t>Bio Birnen Abate</t>
  </si>
  <si>
    <t>Bio Birnen Abate Kl. 1 gep.</t>
  </si>
  <si>
    <t>Bio Poires Abate</t>
  </si>
  <si>
    <t>Bio Poires Abate cl1 emballé</t>
  </si>
  <si>
    <t>Bio Pere Abate</t>
  </si>
  <si>
    <t>Bio Pere Abate cl. 1 confez.</t>
  </si>
  <si>
    <t>Birnen Boscop</t>
  </si>
  <si>
    <t>Birnen Boscop Offen Kl. 1</t>
  </si>
  <si>
    <t>Poires Boscop</t>
  </si>
  <si>
    <t>Poires Boscop en vrac cl. 1</t>
  </si>
  <si>
    <t>Pere Boscop</t>
  </si>
  <si>
    <t>Pere Boscop cl.1 vend. sfusa</t>
  </si>
  <si>
    <t>Birnen Boscop Kl. 1 gepackt</t>
  </si>
  <si>
    <t>Poires Boscop cl. 1 emballé</t>
  </si>
  <si>
    <t>Pere Boscop cl. 1 confez.</t>
  </si>
  <si>
    <t>Birnen Carmen</t>
  </si>
  <si>
    <t>Birnen Carmen Kl. 1 gepackt</t>
  </si>
  <si>
    <t>Poires Carmen</t>
  </si>
  <si>
    <t>Poires Carmen cl. 1 emballé</t>
  </si>
  <si>
    <t>Pere Carmen</t>
  </si>
  <si>
    <t>Pere Carmen cl. 1 confez.</t>
  </si>
  <si>
    <t>Birnen Conférence</t>
  </si>
  <si>
    <t>Birnen Conférence Offen Kl.1</t>
  </si>
  <si>
    <t>Poires Conférence</t>
  </si>
  <si>
    <t>Poires Conférence cl.1 en vr</t>
  </si>
  <si>
    <t>Pere Conférence</t>
  </si>
  <si>
    <t>Pere Conférence cl. 1 ve. Sf</t>
  </si>
  <si>
    <t>Birnen Conférence Kl. 2 gep.</t>
  </si>
  <si>
    <t>Poires Conférence cl. 1 emb.</t>
  </si>
  <si>
    <t>Pere Conférence cl. 1 conf</t>
  </si>
  <si>
    <t>Bio Birnen Conférence</t>
  </si>
  <si>
    <t>Bio Birnen Conf. Kl.1 gep.</t>
  </si>
  <si>
    <t>Bio Poires Conférence</t>
  </si>
  <si>
    <t>Bio Poires Confér. cl.1 emb.</t>
  </si>
  <si>
    <t>Bio Pere Conférence</t>
  </si>
  <si>
    <t>Bio Pere Conf. cl. 1 conf.</t>
  </si>
  <si>
    <t xml:space="preserve">Birnen Forellen </t>
  </si>
  <si>
    <t>Birnen Forellen Offen Kl. 1</t>
  </si>
  <si>
    <t xml:space="preserve">Poires Forelle </t>
  </si>
  <si>
    <t>Poires Forelle cl. 1 en vrac</t>
  </si>
  <si>
    <t xml:space="preserve">Pere Forelle </t>
  </si>
  <si>
    <t>Pere Forelle cl. 1 vend. Sf.</t>
  </si>
  <si>
    <t>Birnen Forellen Kl.1 gepackt</t>
  </si>
  <si>
    <t>Poires Forelle cl. 1 emballé</t>
  </si>
  <si>
    <t>Pere Forelle cl. 1 confez.</t>
  </si>
  <si>
    <t>Birnen Fred</t>
  </si>
  <si>
    <t>Birnen Fred Offen Kl. 1</t>
  </si>
  <si>
    <t>Poires Fred</t>
  </si>
  <si>
    <t>Poires Fred cl. 1 en vrac</t>
  </si>
  <si>
    <t>Pere Fred</t>
  </si>
  <si>
    <t>Pere Fred cl. 1 vend sfusa</t>
  </si>
  <si>
    <t>Birnen Fred Kl. 1 gepackt</t>
  </si>
  <si>
    <t>Poires Fred cl. 1 emballé</t>
  </si>
  <si>
    <t>Pere Fred cl. 1 confez.</t>
  </si>
  <si>
    <t>Birnen Gute Louise</t>
  </si>
  <si>
    <t>Birnen Gute Louise Off. Kl.1</t>
  </si>
  <si>
    <t>Poires Bonne Louise</t>
  </si>
  <si>
    <t>Poires Bonn. Lou. cl.1 en v.</t>
  </si>
  <si>
    <t>Pere Gute Luise</t>
  </si>
  <si>
    <t>Pere Gute Luise cl. 1 v. sf.</t>
  </si>
  <si>
    <t>Birnen Gute Louise Kl.1 gep.</t>
  </si>
  <si>
    <t>Poires Bonn. Lou. cl.1 emb.</t>
  </si>
  <si>
    <t>Pere Gute Luise cl. 1 confez</t>
  </si>
  <si>
    <t>Birnen Guyot</t>
  </si>
  <si>
    <t>Birnen Guyot Offen Kl. 1</t>
  </si>
  <si>
    <t>Poires Guyot</t>
  </si>
  <si>
    <t>Poires Guyot cl. 1 en vrac</t>
  </si>
  <si>
    <t>Pere Guyot</t>
  </si>
  <si>
    <t>Pere Guyot cl. 1 vend. sfusa</t>
  </si>
  <si>
    <t xml:space="preserve">Birnen Guyot </t>
  </si>
  <si>
    <t>Birnen Guyot Kl. 1 gepackt</t>
  </si>
  <si>
    <t xml:space="preserve">Poires Guyot </t>
  </si>
  <si>
    <t>Poires Guyot cl. 1 emballé</t>
  </si>
  <si>
    <t xml:space="preserve">Pere Guyot </t>
  </si>
  <si>
    <t>Pere Guyot cl. 1 confez.</t>
  </si>
  <si>
    <t>Birnen Offen</t>
  </si>
  <si>
    <t>Poires</t>
  </si>
  <si>
    <t>Poires en vrac</t>
  </si>
  <si>
    <t>Pere</t>
  </si>
  <si>
    <t>Pere vendita sfusa</t>
  </si>
  <si>
    <t>Birnen Packhams</t>
  </si>
  <si>
    <t>Birnen Packhams Offen Kl. 1</t>
  </si>
  <si>
    <t>Poires Packhams</t>
  </si>
  <si>
    <t>Poires Packhams cl.1 en vrac</t>
  </si>
  <si>
    <t>Pere Packhams</t>
  </si>
  <si>
    <t>Pere Packhams cl. 1 v.sfusa</t>
  </si>
  <si>
    <t>Birnen Packhams Kl.1 gepackt</t>
  </si>
  <si>
    <t>Poires Packhams cl. 1 emb.</t>
  </si>
  <si>
    <t>Pere Packhams cl. 1 convez.</t>
  </si>
  <si>
    <t>Birnen Rocha</t>
  </si>
  <si>
    <t>Birnen Rocha Offen Kl. 1</t>
  </si>
  <si>
    <t>Poires Rocha</t>
  </si>
  <si>
    <t>Poires Rocha cl.1 en vrac</t>
  </si>
  <si>
    <t>Pere Rocha</t>
  </si>
  <si>
    <t>Pere Rocha cl. 1 v. sfusa</t>
  </si>
  <si>
    <t>Birnen Rosmarie</t>
  </si>
  <si>
    <t>Birnen Rosmarei Kl.1 gepackt</t>
  </si>
  <si>
    <t>Poires Rosemarie</t>
  </si>
  <si>
    <t>Poires Rosemarie cl. 1 emb.</t>
  </si>
  <si>
    <t>Pere Rosmarie</t>
  </si>
  <si>
    <t>Pere Rosmarie cl. 1 confez.</t>
  </si>
  <si>
    <t>Birnen Trévoux</t>
  </si>
  <si>
    <t>Birnen Trévoux Kl. 1 gepackt</t>
  </si>
  <si>
    <t>Poires Trévoux</t>
  </si>
  <si>
    <t>Poires Trévoux cl. 1 emballé</t>
  </si>
  <si>
    <t>Pere Trévoux</t>
  </si>
  <si>
    <t xml:space="preserve">Pere Trévoux cl. 1 confez. </t>
  </si>
  <si>
    <t>Birnen Williams</t>
  </si>
  <si>
    <t>Birnen Williams Offen Kl. 1</t>
  </si>
  <si>
    <t>Poires Williams</t>
  </si>
  <si>
    <t>Poires Williams cl.1 en vrac</t>
  </si>
  <si>
    <t>Pere Williams</t>
  </si>
  <si>
    <t>Pere Williams cl. 1 v. sfusa</t>
  </si>
  <si>
    <t>Birnen Williams Kl.1 gepackt</t>
  </si>
  <si>
    <t>Poires Williams cl.1 emballé</t>
  </si>
  <si>
    <t>Pere Williams cl. 1 confez.</t>
  </si>
  <si>
    <t>Bio Birnen Williams</t>
  </si>
  <si>
    <t>Bio Birne Will. Off Kl1 500g</t>
  </si>
  <si>
    <t>Bio Poires Williams</t>
  </si>
  <si>
    <t>Bio Poires Will. cl1 en vrac</t>
  </si>
  <si>
    <t>Bio Pere Williams</t>
  </si>
  <si>
    <t>Bio Pere Williams cl. 1 500g</t>
  </si>
  <si>
    <t>Orangen Tarocco</t>
  </si>
  <si>
    <t xml:space="preserve">Offen </t>
  </si>
  <si>
    <t>Orangen Tarocco Offen</t>
  </si>
  <si>
    <t>Oranges Tarocco</t>
  </si>
  <si>
    <t xml:space="preserve">En vrac </t>
  </si>
  <si>
    <t>Oranges Tarocco en vrac</t>
  </si>
  <si>
    <t>Arance Tarocco</t>
  </si>
  <si>
    <t xml:space="preserve">vendita sfusa </t>
  </si>
  <si>
    <t>Arance Tarocco vendita sfusa</t>
  </si>
  <si>
    <t>Äpfel Boskoop</t>
  </si>
  <si>
    <t>Äpel Boskoop Offen Kl. 1</t>
  </si>
  <si>
    <t>Pommes Boskoop</t>
  </si>
  <si>
    <t>Pommes Boskoop cl.1 en vrac</t>
  </si>
  <si>
    <t>Mele Boskoop</t>
  </si>
  <si>
    <t>Mele Boskoop cl. 1 v. sfusa</t>
  </si>
  <si>
    <t>Äpfel Boskoop Kl. 1 gepackt</t>
  </si>
  <si>
    <t>Pommes Boskoop cl.1 emball.</t>
  </si>
  <si>
    <t>Mele Boskoop cl. 1 confez.</t>
  </si>
  <si>
    <t>Äpfel Braeburn</t>
  </si>
  <si>
    <t>Äpfel Braeburn Offen Kl. 1</t>
  </si>
  <si>
    <t>Pommes Braeburn</t>
  </si>
  <si>
    <t>Pommes Braeburn cl.1 en vrac</t>
  </si>
  <si>
    <t>Mele Braeburn</t>
  </si>
  <si>
    <t>Mele Braeburn cl. 1 v. sfusa</t>
  </si>
  <si>
    <t>Äpfel Braeburn Kl. 1 gepackt</t>
  </si>
  <si>
    <t>Pommes Braeburn cl.1 emball.</t>
  </si>
  <si>
    <t>Mele Braeburn cl. 1 confez.</t>
  </si>
  <si>
    <t>Offen Kl. 2</t>
  </si>
  <si>
    <t>Äpfel Braeburn Offen Kl. 2</t>
  </si>
  <si>
    <t>En vrac, cl. 2</t>
  </si>
  <si>
    <t>Pommes Braeburn cl.2 en vrac</t>
  </si>
  <si>
    <t>Cl. 2 vendita sfusa</t>
  </si>
  <si>
    <t>Mele Braeburn cl. 2 v. sfusa</t>
  </si>
  <si>
    <t xml:space="preserve">Brombeeren </t>
  </si>
  <si>
    <t>125g</t>
  </si>
  <si>
    <t>Brombeeren Schale 125g</t>
  </si>
  <si>
    <t xml:space="preserve">Mûres </t>
  </si>
  <si>
    <t>Mûres barquette 125g</t>
  </si>
  <si>
    <t xml:space="preserve">More </t>
  </si>
  <si>
    <t>More vaschetta 125g</t>
  </si>
  <si>
    <t>Brombeeren Schale 250g</t>
  </si>
  <si>
    <t>Mûres barquette 250g</t>
  </si>
  <si>
    <t>More vaschetta 250g</t>
  </si>
  <si>
    <t>Bananen Chiquita Offen</t>
  </si>
  <si>
    <t>Bananes Chiquita</t>
  </si>
  <si>
    <t>Bananes Chiquita en vrac</t>
  </si>
  <si>
    <t>Banane Chiquita</t>
  </si>
  <si>
    <t>Banane Chiquita v. sfusa</t>
  </si>
  <si>
    <t>Bio Clementinen</t>
  </si>
  <si>
    <t>Bio Clementinen Offen</t>
  </si>
  <si>
    <t>Bio Clémentines</t>
  </si>
  <si>
    <t>Bio Clémentines en vrac</t>
  </si>
  <si>
    <t>Bio Clementine</t>
  </si>
  <si>
    <t>Bio Clementine vendita sfusa</t>
  </si>
  <si>
    <t>Clementinen mit Blatt</t>
  </si>
  <si>
    <t>Clementinen mit Blatt Offen</t>
  </si>
  <si>
    <t>Clémentines + feuilles</t>
  </si>
  <si>
    <t>Clémentines feuilles en vrac</t>
  </si>
  <si>
    <t>Clementine con foglia</t>
  </si>
  <si>
    <t>Clementine con foglia v.s.</t>
  </si>
  <si>
    <t>Clementinen</t>
  </si>
  <si>
    <t>Rotkehlchen Offen</t>
  </si>
  <si>
    <t>Clementinen Rothehlchen Off.</t>
  </si>
  <si>
    <t>Clémentines Rotkehlchen</t>
  </si>
  <si>
    <t>Clémentines Rotkehl en vrac</t>
  </si>
  <si>
    <t>Clementine Rotkehlchen</t>
  </si>
  <si>
    <t>Clementine Rotk. v. sfusa</t>
  </si>
  <si>
    <t>Clementinen/Mandarinen Offen</t>
  </si>
  <si>
    <t>Clementeinen/Mandarinen Offen</t>
  </si>
  <si>
    <t>Clémentines/Mandarines</t>
  </si>
  <si>
    <t>Clément/Mandarines en vrac</t>
  </si>
  <si>
    <t>Clementine/mandarini</t>
  </si>
  <si>
    <t>Clementine/mandarini v.s.</t>
  </si>
  <si>
    <t>Äpfel Cox Orange</t>
  </si>
  <si>
    <t>Äpfel Cox Orange Offen Kl. 1</t>
  </si>
  <si>
    <t>Pommes Cox Orange</t>
  </si>
  <si>
    <t>Pommes Cox Orange cl.1 en v.</t>
  </si>
  <si>
    <t>Mele Cox Orange</t>
  </si>
  <si>
    <t>Mele Cox Orange cl. 1 v.s.</t>
  </si>
  <si>
    <t>Äpfel Cox Orange Kl. 1 gep.</t>
  </si>
  <si>
    <t>Pommes Cox Orange cl.1 emb.</t>
  </si>
  <si>
    <t>Mele Cox Orange cl. 1 confez</t>
  </si>
  <si>
    <t>Bananen Denner Offen</t>
  </si>
  <si>
    <t>Bananes Denner</t>
  </si>
  <si>
    <t>en vrac</t>
  </si>
  <si>
    <t>Bananes Denner en vrac</t>
  </si>
  <si>
    <t>Banane Denner</t>
  </si>
  <si>
    <t>Banane Denner vendita sfusa</t>
  </si>
  <si>
    <t>Äpfel Elstar</t>
  </si>
  <si>
    <t>Äpfel Elstar Offen Kl. 1</t>
  </si>
  <si>
    <t>Pommes Elstar</t>
  </si>
  <si>
    <t>Pommes Elstar cl. 1 en vrac</t>
  </si>
  <si>
    <t>Mele Elstar</t>
  </si>
  <si>
    <t>Mele Elstar cl. 1 ven. sfusa</t>
  </si>
  <si>
    <t>Äpfel Elstar Kl. 1 gepackt</t>
  </si>
  <si>
    <t>Pommes Elstar cl. 1 emballé</t>
  </si>
  <si>
    <t>Mele Elstar cl. 1 confez.</t>
  </si>
  <si>
    <t>Flachpfirsiche</t>
  </si>
  <si>
    <t>Flachpfirsiche Offen</t>
  </si>
  <si>
    <t>Pêches plates</t>
  </si>
  <si>
    <t>Pêches plartes en vrac</t>
  </si>
  <si>
    <t>Pesche tabacchiera</t>
  </si>
  <si>
    <t>Pesche tabacchiera v. sfusa</t>
  </si>
  <si>
    <t>Fruchtbecher</t>
  </si>
  <si>
    <t>Fruchtbecher 200g</t>
  </si>
  <si>
    <t>Gobelet de fruits</t>
  </si>
  <si>
    <t>Gobelet de fruits 200g</t>
  </si>
  <si>
    <t>Bicchiere di frutta</t>
  </si>
  <si>
    <t>Bicchiere di frutta 200g</t>
  </si>
  <si>
    <t>Früchtemix</t>
  </si>
  <si>
    <t>Äpfel/Orangen/Bananen</t>
  </si>
  <si>
    <t>Früchtemix Äpfel/Orange/Ban.</t>
  </si>
  <si>
    <t>Mélange de fruits</t>
  </si>
  <si>
    <t>Pommes/oranges/bananes</t>
  </si>
  <si>
    <t>Mélange fruits pom/oran/ban</t>
  </si>
  <si>
    <t>Mix di frutta</t>
  </si>
  <si>
    <t>Mele/arance/banane</t>
  </si>
  <si>
    <t>Mix di frutta mele/aran./ban</t>
  </si>
  <si>
    <t>Äpfel Gala</t>
  </si>
  <si>
    <t>Äpfel Gala Offen Kl. 1</t>
  </si>
  <si>
    <t>Pommes Gala</t>
  </si>
  <si>
    <t>Pommes Gala cl. 1 en vrac</t>
  </si>
  <si>
    <t>Mele Gala</t>
  </si>
  <si>
    <t>Mele Gala cl.1 vendita sfusa</t>
  </si>
  <si>
    <t>Äpfel Gala Kl. 1 gepackt</t>
  </si>
  <si>
    <t>Pommes Gala cl. 1 emballé</t>
  </si>
  <si>
    <t>Mele Gala cl. 1 confezionato</t>
  </si>
  <si>
    <t/>
  </si>
  <si>
    <t>2203231000000</t>
  </si>
  <si>
    <t>2008002220011</t>
  </si>
  <si>
    <t>Steuerklassifikation</t>
  </si>
  <si>
    <t>Altersbegrenzung</t>
  </si>
  <si>
    <t>Depot</t>
  </si>
  <si>
    <t>1 - Einzelartikel</t>
  </si>
  <si>
    <t>2 - Einzelartikel</t>
  </si>
  <si>
    <t>3 - Einzelartikel</t>
  </si>
  <si>
    <t>4 - Einzelartikel</t>
  </si>
  <si>
    <t>5 - Einzelartikel</t>
  </si>
  <si>
    <t>6 - Einzelartikel</t>
  </si>
  <si>
    <t>7 - Einzelartikel</t>
  </si>
  <si>
    <t>8 - Einzelartikel</t>
  </si>
  <si>
    <t>9 - Einzelartikel</t>
  </si>
  <si>
    <t>10 - Einzelartikel</t>
  </si>
  <si>
    <t>11 - Einzelartikel</t>
  </si>
  <si>
    <t>12 - Einzelartikel</t>
  </si>
  <si>
    <t>13 - Einzelartikel</t>
  </si>
  <si>
    <t>14 - Einzelartikel</t>
  </si>
  <si>
    <t>15 - Einzelartikel</t>
  </si>
  <si>
    <t>16 - Einzelartikel</t>
  </si>
  <si>
    <t>17 - Einzelartikel</t>
  </si>
  <si>
    <t>18 - Einzelartikel</t>
  </si>
  <si>
    <t>19 - Einzelartikel</t>
  </si>
  <si>
    <t>20 - Einzelartikel</t>
  </si>
  <si>
    <t>21 - Einzelartikel</t>
  </si>
  <si>
    <t>22 - Einzelartikel</t>
  </si>
  <si>
    <t>23 - Einzelartikel</t>
  </si>
  <si>
    <t>24 - Einzelartikel</t>
  </si>
  <si>
    <t>25 - Einzelartikel</t>
  </si>
  <si>
    <t>26 - Einzelartikel</t>
  </si>
  <si>
    <t>27 - Einzelartikel</t>
  </si>
  <si>
    <t>28 - Einzelartikel</t>
  </si>
  <si>
    <t>29 - Einzelartikel</t>
  </si>
  <si>
    <t>30 - Einzelartikel</t>
  </si>
  <si>
    <t>31 - Einzelartikel</t>
  </si>
  <si>
    <t>32 - Einzelartikel</t>
  </si>
  <si>
    <t>33 - Einzelartikel</t>
  </si>
  <si>
    <t>34 - Einzelartikel</t>
  </si>
  <si>
    <t>35 - Einzelartikel</t>
  </si>
  <si>
    <t>36 - Einzelartikel</t>
  </si>
  <si>
    <t>37 - Einzelartikel</t>
  </si>
  <si>
    <t>38 - Einzelartikel</t>
  </si>
  <si>
    <t>39 - Einzelartikel</t>
  </si>
  <si>
    <t>40 - Einzelartikel</t>
  </si>
  <si>
    <t>41 - Einzelartikel</t>
  </si>
  <si>
    <t>42 - Einzelartikel</t>
  </si>
  <si>
    <t>43 - Einzelartikel</t>
  </si>
  <si>
    <t>44 - Einzelartikel</t>
  </si>
  <si>
    <t>45 - Einzelartikel</t>
  </si>
  <si>
    <t>46 - Einzelartikel</t>
  </si>
  <si>
    <t>47 - Einzelartikel</t>
  </si>
  <si>
    <t>48 - Einzelartikel</t>
  </si>
  <si>
    <t>49 - Einzelartikel</t>
  </si>
  <si>
    <t>50 - Einzelartikel</t>
  </si>
  <si>
    <t>51 - Einzelartikel</t>
  </si>
  <si>
    <t>52 - Einzelartikel</t>
  </si>
  <si>
    <t>53 - Einzelartikel</t>
  </si>
  <si>
    <t>54 - Einzelartikel</t>
  </si>
  <si>
    <t>55 - Einzelartikel</t>
  </si>
  <si>
    <t>56 - Einzelartikel</t>
  </si>
  <si>
    <t>57 - Einzelartikel</t>
  </si>
  <si>
    <t>58 - Einzelartikel</t>
  </si>
  <si>
    <t>59 - Einzelartikel</t>
  </si>
  <si>
    <t>60 - Einzelartikel</t>
  </si>
  <si>
    <t>61 - Einzelartikel</t>
  </si>
  <si>
    <t>62 - Einzelartikel</t>
  </si>
  <si>
    <t>63 - Einzelartikel</t>
  </si>
  <si>
    <t>64 - Einzelartikel</t>
  </si>
  <si>
    <t>65 - Einzelartikel</t>
  </si>
  <si>
    <t>66 - Einzelartikel</t>
  </si>
  <si>
    <t>67 - Einzelartikel</t>
  </si>
  <si>
    <t>68 - Einzelartikel</t>
  </si>
  <si>
    <t>69 - Einzelartikel</t>
  </si>
  <si>
    <t>70 - Einzelartikel</t>
  </si>
  <si>
    <t>71 - Einzelartikel</t>
  </si>
  <si>
    <t>72 - Einzelartikel</t>
  </si>
  <si>
    <t>73 - Einzelartikel</t>
  </si>
  <si>
    <t>74 - Einzelartikel</t>
  </si>
  <si>
    <t>75 - Einzelartikel</t>
  </si>
  <si>
    <t>76 - Einzelartikel</t>
  </si>
  <si>
    <t>77 - Einzelartikel</t>
  </si>
  <si>
    <t>78 - Einzelartikel</t>
  </si>
  <si>
    <t>79 - Einzelartikel</t>
  </si>
  <si>
    <t>80 - Einzelartikel</t>
  </si>
  <si>
    <t>81 - Einzelartikel</t>
  </si>
  <si>
    <t>82 - Einzelartikel</t>
  </si>
  <si>
    <t>83 - Einzelartikel</t>
  </si>
  <si>
    <t>84 - Einzelartikel</t>
  </si>
  <si>
    <t>85 - Einzelartikel</t>
  </si>
  <si>
    <t>86 - Einzelartikel</t>
  </si>
  <si>
    <t>87 - Einzelartikel</t>
  </si>
  <si>
    <t>88 - Einzelartikel</t>
  </si>
  <si>
    <t>89 - Einzelartikel</t>
  </si>
  <si>
    <t>90 - Einzelartikel</t>
  </si>
  <si>
    <t>91 - Einzelartikel</t>
  </si>
  <si>
    <t>92 - Einzelartikel</t>
  </si>
  <si>
    <t>93 - Einzelartikel</t>
  </si>
  <si>
    <t>94 - Einzelartikel</t>
  </si>
  <si>
    <t>95 - Einzelartikel</t>
  </si>
  <si>
    <t>96 - Einzelartikel</t>
  </si>
  <si>
    <t>97 - Einzelartikel</t>
  </si>
  <si>
    <t>98 - Einzelartikel</t>
  </si>
  <si>
    <t>99 - Einzelartikel</t>
  </si>
  <si>
    <t>100 - Einzelartikel</t>
  </si>
  <si>
    <t>101 - Einzelartikel</t>
  </si>
  <si>
    <t>102 - Einzelartikel</t>
  </si>
  <si>
    <t>103 - Einzelartikel</t>
  </si>
  <si>
    <t>104 - Einzelartikel</t>
  </si>
  <si>
    <t>105 - Einzelartikel</t>
  </si>
  <si>
    <t>106 - Einzelartikel</t>
  </si>
  <si>
    <t>107 - Einzelartikel</t>
  </si>
  <si>
    <t>108 - Einzelartikel</t>
  </si>
  <si>
    <t>109 - Einzelartikel</t>
  </si>
  <si>
    <t>110 - Einzelartikel</t>
  </si>
  <si>
    <t>111 - Einzelartikel</t>
  </si>
  <si>
    <t>112 - Einzelartikel</t>
  </si>
  <si>
    <t>113 - Einzelartikel</t>
  </si>
  <si>
    <t>114 - Einzelartikel</t>
  </si>
  <si>
    <t>115 - Einzelartikel</t>
  </si>
  <si>
    <t>116 - Einzelartikel</t>
  </si>
  <si>
    <t>117 - Einzelartikel</t>
  </si>
  <si>
    <t>118 - Einzelartikel</t>
  </si>
  <si>
    <t>119 - Einzelartikel</t>
  </si>
  <si>
    <t>120 - Einzelartikel</t>
  </si>
  <si>
    <t>121 - Einzelartikel</t>
  </si>
  <si>
    <t>122 - Einzelartikel</t>
  </si>
  <si>
    <t>123 - Einzelartikel</t>
  </si>
  <si>
    <t>124 - Einzelartikel</t>
  </si>
  <si>
    <t>125 - Einzelartikel</t>
  </si>
  <si>
    <t>126 - Einzelartikel</t>
  </si>
  <si>
    <t>127 - Einzelartikel</t>
  </si>
  <si>
    <t>128 - Einzelartikel</t>
  </si>
  <si>
    <t>129 - Einzelartikel</t>
  </si>
  <si>
    <t>130 - Einzelartikel</t>
  </si>
  <si>
    <t>131 - Einzelartikel</t>
  </si>
  <si>
    <t>132 - Einzelartikel</t>
  </si>
  <si>
    <t>133 - Einzelartikel</t>
  </si>
  <si>
    <t>134 - Einzelartikel</t>
  </si>
  <si>
    <t>135 - Einzelartikel</t>
  </si>
  <si>
    <t>136 - Einzelartikel</t>
  </si>
  <si>
    <t>137 - Einzelartikel</t>
  </si>
  <si>
    <t>138 - Einzelartikel</t>
  </si>
  <si>
    <t>139 - Einzelartikel</t>
  </si>
  <si>
    <t>140 - Einzelartikel</t>
  </si>
  <si>
    <t>141 - Einzelartikel</t>
  </si>
  <si>
    <t>142 - Einzelartikel</t>
  </si>
  <si>
    <t>143 - Einzelartikel</t>
  </si>
  <si>
    <t>144 - Einzelartikel</t>
  </si>
  <si>
    <t>145 - Einzelartikel</t>
  </si>
  <si>
    <t>146 - Einzelartikel</t>
  </si>
  <si>
    <t>147 - Einzelartikel</t>
  </si>
  <si>
    <t>148 - Einzelartikel</t>
  </si>
  <si>
    <t>149 - Einzelartikel</t>
  </si>
  <si>
    <t>150 - Einzelartikel</t>
  </si>
  <si>
    <t>151 - Einzelartikel</t>
  </si>
  <si>
    <t>152 - Einzelartikel</t>
  </si>
  <si>
    <t>153 - Einzelartikel</t>
  </si>
  <si>
    <t>154 - Einzelartikel</t>
  </si>
  <si>
    <t>155 - Einzelartikel</t>
  </si>
  <si>
    <t>156 - Einzelartikel</t>
  </si>
  <si>
    <t>157 - Einzelartikel</t>
  </si>
  <si>
    <t>158 - Einzelartikel</t>
  </si>
  <si>
    <t>159 - Einzelartikel</t>
  </si>
  <si>
    <t>160 - Einzelartikel</t>
  </si>
  <si>
    <t>161 - Einzelartikel</t>
  </si>
  <si>
    <t>162 - Einzelartikel</t>
  </si>
  <si>
    <t>163 - Einzelartikel</t>
  </si>
  <si>
    <t>164 - Einzelartikel</t>
  </si>
  <si>
    <t>165 - Einzelartikel</t>
  </si>
  <si>
    <t>166 - Einzelartikel</t>
  </si>
  <si>
    <t>167 - Einzelartikel</t>
  </si>
  <si>
    <t>168 - Einzelartikel</t>
  </si>
  <si>
    <t>169 - Einzelartikel</t>
  </si>
  <si>
    <t>170 - Einzelartikel</t>
  </si>
  <si>
    <t>171 - Einzelartikel</t>
  </si>
  <si>
    <t>172 - Einzelartikel</t>
  </si>
  <si>
    <t>173 - Einzelartikel</t>
  </si>
  <si>
    <t>174 - Einzelartikel</t>
  </si>
  <si>
    <t>175 - Einzelartikel</t>
  </si>
  <si>
    <t>176 - Einzelartikel</t>
  </si>
  <si>
    <t>177 - Einzelartikel</t>
  </si>
  <si>
    <t>178 - Einzelartikel</t>
  </si>
  <si>
    <t>179 - Einzelartikel</t>
  </si>
  <si>
    <t>180 - Einzelartikel</t>
  </si>
  <si>
    <t>181 - Einzelartikel</t>
  </si>
  <si>
    <t>182 - Einzelartikel</t>
  </si>
  <si>
    <t>183 - Einzelartikel</t>
  </si>
  <si>
    <t>184 - Einzelartikel</t>
  </si>
  <si>
    <t>185 - Einzelartikel</t>
  </si>
  <si>
    <t>186 - Einzelartikel</t>
  </si>
  <si>
    <t>187 - Einzelartikel</t>
  </si>
  <si>
    <t>188 - Einzelartikel</t>
  </si>
  <si>
    <t>189 - Einzelartikel</t>
  </si>
  <si>
    <t>190 - Einzelartikel</t>
  </si>
  <si>
    <t>191 - Einzelartikel</t>
  </si>
  <si>
    <t>192 - Einzelartikel</t>
  </si>
  <si>
    <t>193 - Einzelartikel</t>
  </si>
  <si>
    <t>194 - Einzelartikel</t>
  </si>
  <si>
    <t>195 - Einzelartikel</t>
  </si>
  <si>
    <t>196 - Einzelartikel</t>
  </si>
  <si>
    <t>197 - Einzelartikel</t>
  </si>
  <si>
    <t>198 - Einzelartikel</t>
  </si>
  <si>
    <t>199 - Einzelartikel</t>
  </si>
  <si>
    <t>200 - Einzelartikel</t>
  </si>
  <si>
    <t>201 - Einzelartikel</t>
  </si>
  <si>
    <t>202 - Einzelartikel</t>
  </si>
  <si>
    <t>203 - Einzelartikel</t>
  </si>
  <si>
    <t>204 - Einzelartikel</t>
  </si>
  <si>
    <t>205 - Einzelartikel</t>
  </si>
  <si>
    <t>206 - Einzelartikel</t>
  </si>
  <si>
    <t>207 - Einzelartikel</t>
  </si>
  <si>
    <t>208 - Einzelartikel</t>
  </si>
  <si>
    <t>209 - Einzelartikel</t>
  </si>
  <si>
    <t>210 - Einzelartikel</t>
  </si>
  <si>
    <t>211 - Einzelartikel</t>
  </si>
  <si>
    <t>212 - Einzelartikel</t>
  </si>
  <si>
    <t>213 - Einzelartikel</t>
  </si>
  <si>
    <t>214 - Einzelartikel</t>
  </si>
  <si>
    <t>215 - Einzelartikel</t>
  </si>
  <si>
    <t>216 - Einzelartikel</t>
  </si>
  <si>
    <t>217 - Einzelartikel</t>
  </si>
  <si>
    <t>218 - Einzelartikel</t>
  </si>
  <si>
    <t>219 - Einzelartikel</t>
  </si>
  <si>
    <t>220 - Einzelartikel</t>
  </si>
  <si>
    <t>221 - Einzelartikel</t>
  </si>
  <si>
    <t>222 - Einzelartikel</t>
  </si>
  <si>
    <t>223 - Einzelartikel</t>
  </si>
  <si>
    <t>224 - Einzelartikel</t>
  </si>
  <si>
    <t>225 - Einzelartikel</t>
  </si>
  <si>
    <t>226 - Einzelartikel</t>
  </si>
  <si>
    <t>227 - Einzelartikel</t>
  </si>
  <si>
    <t>228 - Einzelartikel</t>
  </si>
  <si>
    <t>229 - Einzelartikel</t>
  </si>
  <si>
    <t>230 - Einzelartikel</t>
  </si>
  <si>
    <t>231 - Einzelartikel</t>
  </si>
  <si>
    <t>232 - Einzelartikel</t>
  </si>
  <si>
    <t>233 - Einzelartikel</t>
  </si>
  <si>
    <t>234 - Einzelartikel</t>
  </si>
  <si>
    <t>235 - Einzelartikel</t>
  </si>
  <si>
    <t>236 - Einzelartikel</t>
  </si>
  <si>
    <t>237 - Einzelartikel</t>
  </si>
  <si>
    <t>238 - Einzelartikel</t>
  </si>
  <si>
    <t>239 - Einzelartikel</t>
  </si>
  <si>
    <t>240 - Einzelartikel</t>
  </si>
  <si>
    <t>241 - Einzelartikel</t>
  </si>
  <si>
    <t>242 - Einzelartikel</t>
  </si>
  <si>
    <t>243 - Einzelartikel</t>
  </si>
  <si>
    <t>244 - Einzelartikel</t>
  </si>
  <si>
    <t>245 - Einzelartikel</t>
  </si>
  <si>
    <t>246 - Einzelartikel</t>
  </si>
  <si>
    <t>247 - Einzelartikel</t>
  </si>
  <si>
    <t>248 - Einzelartikel</t>
  </si>
  <si>
    <t>249 - Einzelartikel</t>
  </si>
  <si>
    <t>250 - Einzelartikel</t>
  </si>
  <si>
    <t>251 - Einzelartikel</t>
  </si>
  <si>
    <t>252 - Einzelartikel</t>
  </si>
  <si>
    <t>253 - Einzelartikel</t>
  </si>
  <si>
    <t>254 - Einzelartikel</t>
  </si>
  <si>
    <t>255 - Einzelartikel</t>
  </si>
  <si>
    <t>256 - Einzelartikel</t>
  </si>
  <si>
    <t>257 - Einzelartikel</t>
  </si>
  <si>
    <t>258 - Einzelartikel</t>
  </si>
  <si>
    <t>259 - Einzelartikel</t>
  </si>
  <si>
    <t>260 - Einzelartikel</t>
  </si>
  <si>
    <t>261 - Einzelartikel</t>
  </si>
  <si>
    <t>262 - Einzelartikel</t>
  </si>
  <si>
    <t>263 - Einzelartikel</t>
  </si>
  <si>
    <t>264 - Einzelartikel</t>
  </si>
  <si>
    <t>265 - Einzelartikel</t>
  </si>
  <si>
    <t>266 - Einzelartikel</t>
  </si>
  <si>
    <t>267 - Einzelartikel</t>
  </si>
  <si>
    <t>268 - Einzelartikel</t>
  </si>
  <si>
    <t>269 - Einzelartikel</t>
  </si>
  <si>
    <t>270 - Einzelartikel</t>
  </si>
  <si>
    <t>271 - Einzelartikel</t>
  </si>
  <si>
    <t>272 - Einzelartikel</t>
  </si>
  <si>
    <t>273 - Einzelartikel</t>
  </si>
  <si>
    <t>274 - Einzelartikel</t>
  </si>
  <si>
    <t>275 - Einzelartikel</t>
  </si>
  <si>
    <t>276 - Einzelartikel</t>
  </si>
  <si>
    <t>277 - Einzelartikel</t>
  </si>
  <si>
    <t>278 - Einzelartikel</t>
  </si>
  <si>
    <t>279 - Einzelartikel</t>
  </si>
  <si>
    <t>280 - Einzelartikel</t>
  </si>
  <si>
    <t>281 - Einzelartikel</t>
  </si>
  <si>
    <t>282 - Einzelartikel</t>
  </si>
  <si>
    <t>283 - Einzelartikel</t>
  </si>
  <si>
    <t>284 - Einzelartikel</t>
  </si>
  <si>
    <t>285 - Einzelartikel</t>
  </si>
  <si>
    <t>286 - Einzelartikel</t>
  </si>
  <si>
    <t>287 - Einzelartikel</t>
  </si>
  <si>
    <t>288 - Einzelartikel</t>
  </si>
  <si>
    <t>289 - Einzelartikel</t>
  </si>
  <si>
    <t>290 - Einzelartikel</t>
  </si>
  <si>
    <t>291 - Einzelartikel</t>
  </si>
  <si>
    <t>292 - Einzelartikel</t>
  </si>
  <si>
    <t>293 - Einzelartikel</t>
  </si>
  <si>
    <t>294 - Einzelartikel</t>
  </si>
  <si>
    <t>295 - Einzelartikel</t>
  </si>
  <si>
    <t>296 - Einzelartikel</t>
  </si>
  <si>
    <t>297 - Einzelartikel</t>
  </si>
  <si>
    <t>298 - Einzelartikel</t>
  </si>
  <si>
    <t>299 - Einzelartikel</t>
  </si>
  <si>
    <t>300 - Einzelartikel</t>
  </si>
  <si>
    <t>301 - Einzelartikel</t>
  </si>
  <si>
    <t>302 - Einzelartikel</t>
  </si>
  <si>
    <t>303 - Einzelartikel</t>
  </si>
  <si>
    <t>304 - Einzelartikel</t>
  </si>
  <si>
    <t>305 - Einzelartikel</t>
  </si>
  <si>
    <t>306 - Einzelartikel</t>
  </si>
  <si>
    <t>307 - Einzelartikel</t>
  </si>
  <si>
    <t>308 - Einzelartikel</t>
  </si>
  <si>
    <t>309 - Einzelartikel</t>
  </si>
  <si>
    <t>310 - Einzelartikel</t>
  </si>
  <si>
    <t>311 - Einzelartikel</t>
  </si>
  <si>
    <t>312 - Einzelartikel</t>
  </si>
  <si>
    <t>313 - Einzelartikel</t>
  </si>
  <si>
    <t>314 - Einzelartikel</t>
  </si>
  <si>
    <t>315 - Einzelartikel</t>
  </si>
  <si>
    <t>316 - Einzelartikel</t>
  </si>
  <si>
    <t>317 - Einzelartikel</t>
  </si>
  <si>
    <t>318 - Einzelartikel</t>
  </si>
  <si>
    <t>319 - Einzelartikel</t>
  </si>
  <si>
    <t>320 - Einzelartikel</t>
  </si>
  <si>
    <t>321 - Einzelartikel</t>
  </si>
  <si>
    <t>322 - Einzelartikel</t>
  </si>
  <si>
    <t>323 - Einzelartikel</t>
  </si>
  <si>
    <t>324 - Einzelartikel</t>
  </si>
  <si>
    <t>325 - Einzelartikel</t>
  </si>
  <si>
    <t>326 - Einzelartikel</t>
  </si>
  <si>
    <t>327 - Einzelartikel</t>
  </si>
  <si>
    <t>328 - Einzelartikel</t>
  </si>
  <si>
    <t>329 - Einzelartikel</t>
  </si>
  <si>
    <t>330 - Einzelartikel</t>
  </si>
  <si>
    <t>331 - Einzelartikel</t>
  </si>
  <si>
    <t>332 - Einzelartikel</t>
  </si>
  <si>
    <t>333 - Einzelartikel</t>
  </si>
  <si>
    <t>334 - Einzelartikel</t>
  </si>
  <si>
    <t>335 - Einzelartikel</t>
  </si>
  <si>
    <t>336 - Einzelartikel</t>
  </si>
  <si>
    <t>337 - Einzelartikel</t>
  </si>
  <si>
    <t>338 - Einzelartikel</t>
  </si>
  <si>
    <t>339 - Einzelartikel</t>
  </si>
  <si>
    <t>340 - Einzelartikel</t>
  </si>
  <si>
    <t>341 - Einzelartikel</t>
  </si>
  <si>
    <t>342 - Einzelartikel</t>
  </si>
  <si>
    <t>343 - Einzelartikel</t>
  </si>
  <si>
    <t>344 - Einzelartikel</t>
  </si>
  <si>
    <t>345 - Einzelartikel</t>
  </si>
  <si>
    <t>346 - Einzelartikel</t>
  </si>
  <si>
    <t>347 - Einzelartikel</t>
  </si>
  <si>
    <t>348 - Einzelartikel</t>
  </si>
  <si>
    <t>349 - Einzelartikel</t>
  </si>
  <si>
    <t>350 - Einzelartikel</t>
  </si>
  <si>
    <t>351 - Einzelartikel</t>
  </si>
  <si>
    <t>352 - Einzelartikel</t>
  </si>
  <si>
    <t>353 - Einzelartikel</t>
  </si>
  <si>
    <t>354 - Einzelartikel</t>
  </si>
  <si>
    <t>355 - Einzelartikel</t>
  </si>
  <si>
    <t>356 - Einzelartikel</t>
  </si>
  <si>
    <t>357 - Einzelartikel</t>
  </si>
  <si>
    <t>358 - Einzelartikel</t>
  </si>
  <si>
    <t>359 - Einzelartikel</t>
  </si>
  <si>
    <t>360 - Einzelartikel</t>
  </si>
  <si>
    <t>361 - Einzelartikel</t>
  </si>
  <si>
    <t>362 - Einzelartikel</t>
  </si>
  <si>
    <t>363 - Einzelartikel</t>
  </si>
  <si>
    <t>364 - Einzelartikel</t>
  </si>
  <si>
    <t>365 - Einzelartikel</t>
  </si>
  <si>
    <t>366 - Einzelartikel</t>
  </si>
  <si>
    <t>367 - Einzelartikel</t>
  </si>
  <si>
    <t>368 - Einzelartikel</t>
  </si>
  <si>
    <t>369 - Einzelartikel</t>
  </si>
  <si>
    <t>370 - Einzelartikel</t>
  </si>
  <si>
    <t>371 - Einzelartikel</t>
  </si>
  <si>
    <t>372 - Einzelartikel</t>
  </si>
  <si>
    <t>373 - Einzelartikel</t>
  </si>
  <si>
    <t>374 - Einzelartikel</t>
  </si>
  <si>
    <t>375 - Einzelartikel</t>
  </si>
  <si>
    <t>376 - Einzelartikel</t>
  </si>
  <si>
    <t>377 - Einzelartikel</t>
  </si>
  <si>
    <t>378 - Einzelartikel</t>
  </si>
  <si>
    <t>379 - Einzelartikel</t>
  </si>
  <si>
    <t>380 - Einzelartikel</t>
  </si>
  <si>
    <t>381 - Einzelartikel</t>
  </si>
  <si>
    <t>382 - Einzelartikel</t>
  </si>
  <si>
    <t>383 - Einzelartikel</t>
  </si>
  <si>
    <t>384 - Einzelartikel</t>
  </si>
  <si>
    <t>385 - Einzelartikel</t>
  </si>
  <si>
    <t>386 - Einzelartikel</t>
  </si>
  <si>
    <t>387 - Einzelartikel</t>
  </si>
  <si>
    <t>388 - Einzelartikel</t>
  </si>
  <si>
    <t>389 - Einzelartikel</t>
  </si>
  <si>
    <t>390 - Einzelartikel</t>
  </si>
  <si>
    <t>391 - Einzelartikel</t>
  </si>
  <si>
    <t>392 - Einzelartikel</t>
  </si>
  <si>
    <t>393 - Einzelartikel</t>
  </si>
  <si>
    <t>394 - Einzelartikel</t>
  </si>
  <si>
    <t>395 - Einzelartikel</t>
  </si>
  <si>
    <t>396 - Einzelartikel</t>
  </si>
  <si>
    <t>397 - Einzelartikel</t>
  </si>
  <si>
    <t>398 - Einzelartikel</t>
  </si>
  <si>
    <t>399 - Einzelartikel</t>
  </si>
  <si>
    <t>400 - Einzelartikel</t>
  </si>
  <si>
    <t>401 - Einzelartikel</t>
  </si>
  <si>
    <t>402 - Einzelartikel</t>
  </si>
  <si>
    <t>403 - Einzelartikel</t>
  </si>
  <si>
    <t>404 - Einzelartikel</t>
  </si>
  <si>
    <t>405 - Einzelartikel</t>
  </si>
  <si>
    <t>406 - Einzelartikel</t>
  </si>
  <si>
    <t>407 - Einzelartikel</t>
  </si>
  <si>
    <t>408 - Einzelartikel</t>
  </si>
  <si>
    <t>409 - Einzelartikel</t>
  </si>
  <si>
    <t>410 - Einzelartikel</t>
  </si>
  <si>
    <t>411 - Einzelartikel</t>
  </si>
  <si>
    <t>412 - Einzelartikel</t>
  </si>
  <si>
    <t>413 - Einzelartikel</t>
  </si>
  <si>
    <t>414 - Einzelartikel</t>
  </si>
  <si>
    <t>415 - Einzelartikel</t>
  </si>
  <si>
    <t>416 - Einzelartikel</t>
  </si>
  <si>
    <t>417 - Einzelartikel</t>
  </si>
  <si>
    <t>418 - Einzelartikel</t>
  </si>
  <si>
    <t>419 - Einzelartikel</t>
  </si>
  <si>
    <t>420 - Einzelartikel</t>
  </si>
  <si>
    <t>421 - Einzelartikel</t>
  </si>
  <si>
    <t>422 - Einzelartikel</t>
  </si>
  <si>
    <t>423 - Einzelartikel</t>
  </si>
  <si>
    <t>424 - Einzelartikel</t>
  </si>
  <si>
    <t>425 - Einzelartikel</t>
  </si>
  <si>
    <t>426 - Einzelartikel</t>
  </si>
  <si>
    <t>427 - Einzelartikel</t>
  </si>
  <si>
    <t>428 - Einzelartikel</t>
  </si>
  <si>
    <t>429 - Einzelartikel</t>
  </si>
  <si>
    <t>430 - Einzelartikel</t>
  </si>
  <si>
    <t>431 - Einzelartikel</t>
  </si>
  <si>
    <t>432 - Einzelartikel</t>
  </si>
  <si>
    <t>433 - Einzelartikel</t>
  </si>
  <si>
    <t>434 - Einzelartikel</t>
  </si>
  <si>
    <t>435 - Einzelartikel</t>
  </si>
  <si>
    <t>436 - Einzelartikel</t>
  </si>
  <si>
    <t>437 - Einzelartikel</t>
  </si>
  <si>
    <t>438 - Einzelartikel</t>
  </si>
  <si>
    <t>439 - Einzelartikel</t>
  </si>
  <si>
    <t>440 - Einzelartikel</t>
  </si>
  <si>
    <t>441 - Einzelartikel</t>
  </si>
  <si>
    <t>442 - Einzelartikel</t>
  </si>
  <si>
    <t>443 - Einzelartikel</t>
  </si>
  <si>
    <t>444 - Einzelartikel</t>
  </si>
  <si>
    <t>445 - Einzelartikel</t>
  </si>
  <si>
    <t>446 - Einzelartikel</t>
  </si>
  <si>
    <t>447 - Einzelartikel</t>
  </si>
  <si>
    <t>448 - Einzelartikel</t>
  </si>
  <si>
    <t>449 - Einzelartikel</t>
  </si>
  <si>
    <t>450 - Einzelartikel</t>
  </si>
  <si>
    <t>451 - Einzelartikel</t>
  </si>
  <si>
    <t>452 - Einzelartikel</t>
  </si>
  <si>
    <t>453 - Einzelartikel</t>
  </si>
  <si>
    <t>454 - Einzelartikel</t>
  </si>
  <si>
    <t>455 - Einzelartikel</t>
  </si>
  <si>
    <t>456 - Einzelartikel</t>
  </si>
  <si>
    <t>457 - Einzelartikel</t>
  </si>
  <si>
    <t>458 - Einzelartikel</t>
  </si>
  <si>
    <t>459 - Einzelartikel</t>
  </si>
  <si>
    <t>460 - Einzelartikel</t>
  </si>
  <si>
    <t>461 - Einzelartikel</t>
  </si>
  <si>
    <t>462 - Einzelartikel</t>
  </si>
  <si>
    <t>463 - Einzelartikel</t>
  </si>
  <si>
    <t>464 - Einzelartikel</t>
  </si>
  <si>
    <t>465 - Einzelartikel</t>
  </si>
  <si>
    <t>466 - Einzelartikel</t>
  </si>
  <si>
    <t>467 - Einzelartikel</t>
  </si>
  <si>
    <t>468 - Einzelartikel</t>
  </si>
  <si>
    <t>469 - Einzelartikel</t>
  </si>
  <si>
    <t>470 - Einzelartikel</t>
  </si>
  <si>
    <t>471 - Einzelartikel</t>
  </si>
  <si>
    <t>472 - Einzelartikel</t>
  </si>
  <si>
    <t>473 - Einzelartikel</t>
  </si>
  <si>
    <t>474 - Einzelartikel</t>
  </si>
  <si>
    <t>475 - Einzelartikel</t>
  </si>
  <si>
    <t>476 - Einzelartikel</t>
  </si>
  <si>
    <t>477 - Einzelartikel</t>
  </si>
  <si>
    <t>478 - Einzelartikel</t>
  </si>
  <si>
    <t>479 - Einzelartikel</t>
  </si>
  <si>
    <t>480 - Einzelartikel</t>
  </si>
  <si>
    <t>481 - Einzelartikel</t>
  </si>
  <si>
    <t>482 - Einzelartikel</t>
  </si>
  <si>
    <t>483 - Einzelartikel</t>
  </si>
  <si>
    <t>484 - Einzelartikel</t>
  </si>
  <si>
    <t>485 - Einzelartikel</t>
  </si>
  <si>
    <t>486 - Einzelartikel</t>
  </si>
  <si>
    <t>487 - Einzelartikel</t>
  </si>
  <si>
    <t>488 - Einzelartikel</t>
  </si>
  <si>
    <t>489 - Einzelartikel</t>
  </si>
  <si>
    <t>490 - Einzelartikel</t>
  </si>
  <si>
    <t>Ist Regioartikel</t>
  </si>
  <si>
    <t>Kassentastenbelegung (ohne GTIN/PLU)</t>
  </si>
  <si>
    <t>B||A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</si>
</sst>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.00"/>
    <numFmt numFmtId="165" formatCode="0.00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1" fillId="0" borderId="4"/>
  </cellStyleXfs>
  <cellXfs count="7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6" fillId="25" borderId="0" xfId="0" applyFont="1" applyFill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164" fontId="0" fillId="0" borderId="0" xfId="0" applyNumberFormat="1"/>
    <xf numFmtId="0" fontId="0" fillId="27" borderId="5" xfId="0" applyFill="1" applyBorder="1" applyAlignment="1">
      <alignment horizontal="left"/>
    </xf>
    <xf numFmtId="2" fontId="0" fillId="0" borderId="0" xfId="0" applyNumberFormat="1"/>
    <xf numFmtId="165" fontId="0" fillId="0" borderId="0" xfId="0" applyNumberFormat="1"/>
    <xf numFmtId="0" fontId="0" fillId="30" borderId="0" xfId="0" applyFill="1"/>
    <xf numFmtId="0" fontId="0" fillId="31" borderId="0" xfId="0" applyFill="1"/>
    <xf numFmtId="0" fontId="33" fillId="0" borderId="5" xfId="0" applyFont="1" applyBorder="1" applyAlignment="1">
      <alignment vertical="top"/>
    </xf>
    <xf numFmtId="1" fontId="33" fillId="29" borderId="5" xfId="0" applyNumberFormat="1" applyFont="1" applyFill="1" applyBorder="1" applyAlignment="1">
      <alignment horizontal="left" vertical="top" wrapText="1"/>
    </xf>
    <xf numFmtId="0" fontId="33" fillId="29" borderId="5" xfId="0" applyFont="1" applyFill="1" applyBorder="1" applyAlignment="1">
      <alignment horizontal="left" vertical="top" wrapText="1"/>
    </xf>
    <xf numFmtId="0" fontId="33" fillId="29" borderId="5" xfId="0" applyFont="1" applyFill="1" applyBorder="1" applyAlignment="1">
      <alignment horizontal="left" vertical="top"/>
    </xf>
    <xf numFmtId="165" fontId="33" fillId="29" borderId="5" xfId="0" applyNumberFormat="1" applyFont="1" applyFill="1" applyBorder="1" applyAlignment="1">
      <alignment horizontal="left" vertical="top" wrapText="1"/>
    </xf>
    <xf numFmtId="0" fontId="0" fillId="0" borderId="5" xfId="0" applyBorder="1"/>
    <xf numFmtId="0" fontId="0" fillId="28" borderId="5" xfId="0" applyFill="1" applyBorder="1" applyAlignment="1">
      <alignment horizontal="left"/>
    </xf>
    <xf numFmtId="1" fontId="0" fillId="28" borderId="5" xfId="0" applyNumberFormat="1" applyFill="1" applyBorder="1" applyAlignment="1">
      <alignment horizontal="left"/>
    </xf>
    <xf numFmtId="165" fontId="0" fillId="28" borderId="5" xfId="0" applyNumberFormat="1" applyFill="1" applyBorder="1" applyAlignment="1">
      <alignment horizontal="left"/>
    </xf>
    <xf numFmtId="0" fontId="0" fillId="28" borderId="5" xfId="0" quotePrefix="1" applyFill="1" applyBorder="1" applyAlignment="1">
      <alignment horizontal="left"/>
    </xf>
    <xf numFmtId="165" fontId="0" fillId="0" borderId="5" xfId="0" applyNumberFormat="1" applyBorder="1" applyAlignment="1">
      <alignment horizontal="left"/>
    </xf>
    <xf numFmtId="165" fontId="0" fillId="27" borderId="5" xfId="0" applyNumberFormat="1" applyFill="1" applyBorder="1" applyAlignment="1">
      <alignment horizontal="left"/>
    </xf>
    <xf numFmtId="2" fontId="0" fillId="28" borderId="5" xfId="0" applyNumberFormat="1" applyFill="1" applyBorder="1" applyAlignment="1">
      <alignment horizontal="left"/>
    </xf>
    <xf numFmtId="2" fontId="0" fillId="28" borderId="5" xfId="0" quotePrefix="1" applyNumberFormat="1" applyFill="1" applyBorder="1" applyAlignment="1">
      <alignment horizontal="left"/>
    </xf>
    <xf numFmtId="0" fontId="32" fillId="0" borderId="0" xfId="0" applyFont="1"/>
    <xf numFmtId="0" fontId="35" fillId="8" borderId="0" xfId="0" applyFont="1" applyFill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7CAC4AAF-856E-4156-807D-F4D1056AA8C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E62FF-D9A6-4AF9-9EB4-5C0E9736F4D1}">
  <sheetPr codeName="Sheet6"/>
  <dimension ref="A3:D17"/>
  <sheetViews>
    <sheetView workbookViewId="0"/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60DC4-1983-4DC8-BA03-80156AB48A39}">
  <sheetPr codeName="Sheet1"/>
  <dimension ref="A1:BH2262"/>
  <sheetViews>
    <sheetView tabSelected="1" topLeftCell="AU1" workbookViewId="0">
      <selection activeCell="BC4" sqref="BC4"/>
    </sheetView>
  </sheetViews>
  <sheetFormatPr defaultRowHeight="21.75" customHeight="1" x14ac:dyDescent="0.45"/>
  <cols>
    <col min="1" max="1" width="5.9296875" bestFit="1" customWidth="1"/>
    <col min="2" max="2" width="7.6640625" bestFit="1" customWidth="1"/>
    <col min="3" max="3" width="33.9296875" bestFit="1" customWidth="1"/>
    <col min="4" max="4" width="39.265625" bestFit="1" customWidth="1"/>
    <col min="5" max="5" width="13.86328125" style="31" bestFit="1" customWidth="1"/>
    <col min="6" max="6" width="72.33203125" style="31" bestFit="1" customWidth="1"/>
    <col min="7" max="7" width="60.46484375" style="31" bestFit="1" customWidth="1"/>
    <col min="8" max="8" width="56.59765625" style="31" bestFit="1" customWidth="1"/>
    <col min="9" max="9" width="20.46484375" style="31" bestFit="1" customWidth="1"/>
    <col min="10" max="12" width="28.06640625" style="31" bestFit="1" customWidth="1"/>
    <col min="13" max="13" width="15.3984375" style="31" bestFit="1" customWidth="1"/>
    <col min="14" max="14" width="14.59765625" style="31" bestFit="1" customWidth="1"/>
    <col min="15" max="15" width="13.9296875" style="31" bestFit="1" customWidth="1"/>
    <col min="16" max="16" width="9.86328125" style="31" bestFit="1" customWidth="1"/>
    <col min="17" max="17" width="23" style="31" bestFit="1" customWidth="1"/>
    <col min="18" max="18" width="35.73046875" bestFit="1" customWidth="1"/>
    <col min="19" max="19" width="34.9296875" style="31" bestFit="1" customWidth="1"/>
    <col min="20" max="20" width="35" style="31" bestFit="1" customWidth="1"/>
    <col min="21" max="21" width="23.73046875" style="31" customWidth="1"/>
    <col min="22" max="22" width="22.86328125" style="31" bestFit="1" customWidth="1"/>
    <col min="23" max="23" width="22.265625" style="31" bestFit="1" customWidth="1"/>
    <col min="24" max="24" width="23.73046875" bestFit="1" customWidth="1"/>
    <col min="25" max="25" width="22.86328125" bestFit="1" customWidth="1"/>
    <col min="26" max="26" width="22.265625" bestFit="1" customWidth="1"/>
    <col min="27" max="27" width="28.73046875" style="31" bestFit="1" customWidth="1"/>
    <col min="28" max="28" width="27.796875" style="31" bestFit="1" customWidth="1"/>
    <col min="29" max="29" width="27.1328125" style="31" bestFit="1" customWidth="1"/>
    <col min="30" max="30" width="37.1328125" customWidth="1"/>
    <col min="31" max="32" width="34.06640625" customWidth="1"/>
    <col min="33" max="33" width="9.86328125" style="36" bestFit="1" customWidth="1"/>
    <col min="34" max="34" width="33.46484375" style="31" bestFit="1" customWidth="1"/>
    <col min="35" max="35" width="32.53125" style="31" bestFit="1" customWidth="1"/>
    <col min="36" max="36" width="31.86328125" style="31" bestFit="1" customWidth="1"/>
    <col min="37" max="37" width="21.19921875" style="31" bestFit="1" customWidth="1"/>
    <col min="38" max="38" width="20.265625" style="31" bestFit="1" customWidth="1"/>
    <col min="39" max="39" width="19.59765625" style="31" bestFit="1" customWidth="1"/>
    <col min="40" max="40" width="22.86328125" style="31" bestFit="1" customWidth="1"/>
    <col min="41" max="41" width="22.06640625" style="31" bestFit="1" customWidth="1"/>
    <col min="42" max="42" width="21.3984375" style="31" bestFit="1" customWidth="1"/>
    <col min="43" max="43" width="22.59765625" style="31" bestFit="1" customWidth="1"/>
    <col min="44" max="44" width="21.73046875" style="31" bestFit="1" customWidth="1"/>
    <col min="45" max="45" width="21.06640625" style="31" bestFit="1" customWidth="1"/>
    <col min="46" max="46" width="25" style="31" bestFit="1" customWidth="1"/>
    <col min="47" max="47" width="24.06640625" style="31" bestFit="1" customWidth="1"/>
    <col min="48" max="48" width="23.3984375" style="31" bestFit="1" customWidth="1"/>
    <col min="49" max="49" width="15" style="31" bestFit="1" customWidth="1"/>
    <col min="50" max="50" width="17.33203125" style="31" bestFit="1" customWidth="1"/>
    <col min="51" max="51" width="23.1328125" style="31" bestFit="1" customWidth="1"/>
    <col min="52" max="52" width="20.46484375" style="31" bestFit="1" customWidth="1"/>
    <col min="53" max="53" width="11.3984375" style="31" bestFit="1" customWidth="1"/>
    <col min="54" max="54" width="13.19921875" style="31" bestFit="1" customWidth="1"/>
    <col min="55" max="55" width="16.06640625" style="31" bestFit="1" customWidth="1"/>
    <col min="56" max="56" width="16.33203125" style="31" customWidth="1"/>
    <col min="57" max="57" width="19.1328125" style="31" bestFit="1" customWidth="1"/>
  </cols>
  <sheetData>
    <row r="1" spans="1:60" ht="21.75" customHeight="1" x14ac:dyDescent="0.5">
      <c r="A1" s="64" t="s">
        <v>29</v>
      </c>
      <c r="B1" s="65"/>
      <c r="C1" s="65"/>
      <c r="D1" s="65"/>
      <c r="E1" s="66" t="s">
        <v>34</v>
      </c>
      <c r="F1" s="67"/>
      <c r="G1" s="67"/>
      <c r="H1" s="67"/>
      <c r="I1" s="33" t="s">
        <v>36</v>
      </c>
      <c r="J1" s="68" t="s">
        <v>44</v>
      </c>
      <c r="K1" s="67"/>
      <c r="L1" s="67"/>
      <c r="M1" s="67"/>
      <c r="N1" s="67"/>
      <c r="O1" s="67"/>
      <c r="P1" s="69" t="s">
        <v>47</v>
      </c>
      <c r="Q1" s="67"/>
      <c r="R1" s="70" t="s">
        <v>44</v>
      </c>
      <c r="S1" s="67"/>
      <c r="T1" s="67"/>
      <c r="U1" s="64" t="s">
        <v>57</v>
      </c>
      <c r="V1" s="67"/>
      <c r="W1" s="67"/>
      <c r="X1" s="67"/>
      <c r="Y1" s="67"/>
      <c r="Z1" s="67"/>
      <c r="AA1" s="71" t="s">
        <v>47</v>
      </c>
      <c r="AB1" s="67"/>
      <c r="AC1" s="67"/>
      <c r="AD1" s="67"/>
      <c r="AE1" s="67"/>
      <c r="AF1" s="67"/>
      <c r="AG1" s="72" t="s">
        <v>44</v>
      </c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73" t="s">
        <v>85</v>
      </c>
      <c r="AX1" s="67"/>
      <c r="AY1" s="67"/>
      <c r="AZ1" s="67"/>
      <c r="BA1" s="67"/>
      <c r="BB1" s="74" t="s">
        <v>47</v>
      </c>
      <c r="BC1" s="67"/>
      <c r="BD1" s="67"/>
      <c r="BE1" s="67"/>
    </row>
    <row r="2" spans="1:60" ht="14.25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2" t="s">
        <v>35</v>
      </c>
      <c r="J2" s="34" t="s">
        <v>37</v>
      </c>
      <c r="K2" s="34" t="s">
        <v>38</v>
      </c>
      <c r="L2" s="34" t="s">
        <v>39</v>
      </c>
      <c r="M2" s="34" t="s">
        <v>40</v>
      </c>
      <c r="N2" s="34" t="s">
        <v>41</v>
      </c>
      <c r="O2" s="34" t="s">
        <v>42</v>
      </c>
      <c r="P2" s="35" t="s">
        <v>43</v>
      </c>
      <c r="Q2" s="35" t="s">
        <v>45</v>
      </c>
      <c r="R2" s="34" t="s">
        <v>46</v>
      </c>
      <c r="S2" s="34" t="s">
        <v>48</v>
      </c>
      <c r="T2" s="34" t="s">
        <v>49</v>
      </c>
      <c r="U2" s="34" t="s">
        <v>50</v>
      </c>
      <c r="V2" s="34" t="s">
        <v>51</v>
      </c>
      <c r="W2" s="34" t="s">
        <v>52</v>
      </c>
      <c r="X2" s="32" t="s">
        <v>53</v>
      </c>
      <c r="Y2" s="32" t="s">
        <v>54</v>
      </c>
      <c r="Z2" s="32" t="s">
        <v>55</v>
      </c>
      <c r="AA2" s="32" t="s">
        <v>56</v>
      </c>
      <c r="AB2" s="32" t="s">
        <v>58</v>
      </c>
      <c r="AC2" s="32" t="s">
        <v>59</v>
      </c>
      <c r="AD2" s="34" t="s">
        <v>60</v>
      </c>
      <c r="AE2" s="34" t="s">
        <v>61</v>
      </c>
      <c r="AF2" s="34" t="s">
        <v>62</v>
      </c>
      <c r="AG2" s="34" t="s">
        <v>63</v>
      </c>
      <c r="AH2" s="34" t="s">
        <v>64</v>
      </c>
      <c r="AI2" s="34" t="s">
        <v>65</v>
      </c>
      <c r="AJ2" s="34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2" t="s">
        <v>76</v>
      </c>
      <c r="AU2" s="32" t="s">
        <v>77</v>
      </c>
      <c r="AV2" s="32" t="s">
        <v>78</v>
      </c>
      <c r="AW2" s="34" t="s">
        <v>79</v>
      </c>
      <c r="AX2" s="32" t="s">
        <v>80</v>
      </c>
      <c r="AY2" s="34" t="s">
        <v>81</v>
      </c>
      <c r="AZ2" s="32" t="s">
        <v>82</v>
      </c>
      <c r="BA2" s="32" t="s">
        <v>83</v>
      </c>
      <c r="BB2" s="32" t="s">
        <v>84</v>
      </c>
      <c r="BC2" s="35" t="s">
        <v>86</v>
      </c>
      <c r="BD2" s="63" t="s">
        <v>1921</v>
      </c>
      <c r="BE2" s="34" t="s">
        <v>87</v>
      </c>
    </row>
    <row r="3" spans="1:60" ht="14.25" x14ac:dyDescent="0.45">
      <c r="B3" t="s">
        <v>115</v>
      </c>
      <c r="C3" t="s">
        <v>236</v>
      </c>
      <c r="D3" t="s">
        <v>237</v>
      </c>
      <c r="E3" s="31" t="s">
        <v>103</v>
      </c>
      <c r="F3" s="31" t="s">
        <v>91</v>
      </c>
      <c r="G3" s="31" t="s">
        <v>96</v>
      </c>
      <c r="H3" s="31" t="s">
        <v>110</v>
      </c>
      <c r="I3" s="31" t="s">
        <v>238</v>
      </c>
      <c r="J3" s="31" t="s">
        <v>125</v>
      </c>
      <c r="K3" s="31" t="s">
        <v>125</v>
      </c>
      <c r="L3" s="31" t="s">
        <v>125</v>
      </c>
      <c r="M3" s="31" t="s">
        <v>137</v>
      </c>
      <c r="N3" s="31" t="s">
        <v>137</v>
      </c>
      <c r="O3" s="31" t="s">
        <v>137</v>
      </c>
      <c r="P3" s="31" t="s">
        <v>239</v>
      </c>
      <c r="R3" t="s">
        <v>240</v>
      </c>
      <c r="S3" t="s">
        <v>240</v>
      </c>
      <c r="T3" t="s">
        <v>240</v>
      </c>
      <c r="U3" s="31" t="s">
        <v>241</v>
      </c>
      <c r="V3" s="31" t="s">
        <v>241</v>
      </c>
      <c r="W3" s="31" t="s">
        <v>241</v>
      </c>
      <c r="X3" s="31" t="s">
        <v>242</v>
      </c>
      <c r="Y3" s="31" t="s">
        <v>242</v>
      </c>
      <c r="Z3" s="31" t="s">
        <v>242</v>
      </c>
      <c r="AA3" s="31" t="s">
        <v>243</v>
      </c>
      <c r="AD3" s="31" t="s">
        <v>244</v>
      </c>
      <c r="AE3" s="31"/>
      <c r="AF3" s="31"/>
      <c r="AG3" s="42">
        <v>0.25</v>
      </c>
      <c r="AH3" s="31" t="s">
        <v>150</v>
      </c>
      <c r="AI3" s="31" t="s">
        <v>162</v>
      </c>
      <c r="AJ3" s="31" t="s">
        <v>175</v>
      </c>
      <c r="AK3" s="31" t="s">
        <v>181</v>
      </c>
      <c r="AN3" s="31" t="s">
        <v>185</v>
      </c>
      <c r="AO3" s="31" t="s">
        <v>188</v>
      </c>
      <c r="AP3" s="31" t="s">
        <v>191</v>
      </c>
      <c r="AQ3" s="31" t="s">
        <v>195</v>
      </c>
      <c r="AR3" s="31" t="s">
        <v>199</v>
      </c>
      <c r="AS3" s="31" t="s">
        <v>203</v>
      </c>
      <c r="AT3" s="31" t="s">
        <v>208</v>
      </c>
      <c r="AU3" s="31" t="s">
        <v>214</v>
      </c>
      <c r="AV3" s="31" t="s">
        <v>222</v>
      </c>
      <c r="AW3" s="31" t="s">
        <v>245</v>
      </c>
      <c r="AX3" s="31" t="s">
        <v>245</v>
      </c>
      <c r="AY3" s="31" t="s">
        <v>245</v>
      </c>
      <c r="AZ3" s="31" t="s">
        <v>245</v>
      </c>
      <c r="BB3" s="31" t="s">
        <v>245</v>
      </c>
      <c r="BC3" s="31" t="s">
        <v>246</v>
      </c>
      <c r="BD3" s="31" t="s">
        <v>235</v>
      </c>
      <c r="BE3" s="31" t="s">
        <v>233</v>
      </c>
    </row>
    <row r="4" spans="1:60" ht="21.75" customHeight="1" x14ac:dyDescent="0.45">
      <c r="B4" t="s">
        <v>115</v>
      </c>
      <c r="E4" s="31" t="s">
        <v>103</v>
      </c>
      <c r="F4" t="str">
        <f>"Warengruppe&gt;&gt;"&amp;Migrationsartikel!V2&amp;"&gt;&gt;"&amp;Migrationsartikel!W2&amp;"&gt;&gt;"&amp;Migrationsartikel!X2</f>
        <v>Warengruppe&gt;&gt;Backwaren &amp; Convenience&gt;&gt;Brot und Backwaren&gt;&gt;Backwaren andere</v>
      </c>
      <c r="J4" s="31" t="s">
        <v>125</v>
      </c>
      <c r="M4" s="31" t="s">
        <v>137</v>
      </c>
      <c r="N4" s="31" t="s">
        <v>137</v>
      </c>
      <c r="O4" s="31" t="s">
        <v>137</v>
      </c>
      <c r="P4" s="43"/>
      <c r="R4" t="str">
        <f>Migrationsartikel!F2&amp;" "&amp;Migrationsartikel!G2&amp;" "&amp;Migrationsartikel!H2</f>
        <v>Baguette aus der Region 250g</v>
      </c>
      <c r="S4" t="str">
        <f>Migrationsartikel!J2&amp;" "&amp;Migrationsartikel!K2&amp;" "&amp;Migrationsartikel!L2</f>
        <v>Baguette  de la région 250g</v>
      </c>
      <c r="T4" t="str">
        <f>Migrationsartikel!N2&amp;" "&amp;Migrationsartikel!O2&amp;" "&amp;Migrationsartikel!P2</f>
        <v>Baguette della regione 250g</v>
      </c>
      <c r="U4" t="str">
        <f>Migrationsartikel!F2</f>
        <v>Baguette</v>
      </c>
      <c r="V4" t="str">
        <f>Migrationsartikel!J2</f>
        <v xml:space="preserve">Baguette </v>
      </c>
      <c r="W4" t="str">
        <f>Migrationsartikel!N2</f>
        <v>Baguette</v>
      </c>
      <c r="X4" t="str">
        <f>Migrationsartikel!G2</f>
        <v>aus der Region</v>
      </c>
      <c r="Y4" t="str">
        <f>Migrationsartikel!K2</f>
        <v>de la région</v>
      </c>
      <c r="Z4" t="str">
        <f>Migrationsartikel!O2</f>
        <v>della regione</v>
      </c>
      <c r="AA4" s="31" t="str">
        <f>Migrationsartikel!H2</f>
        <v>250g</v>
      </c>
      <c r="AB4" t="str">
        <f>Migrationsartikel!L2</f>
        <v>250g</v>
      </c>
      <c r="AC4" t="str">
        <f>Migrationsartikel!P2</f>
        <v>250g</v>
      </c>
      <c r="AD4" t="str">
        <f>Migrationsartikel!I2</f>
        <v>Baguette 250g</v>
      </c>
      <c r="AE4" t="str">
        <f>Migrationsartikel!M2</f>
        <v>Baguette 250g</v>
      </c>
      <c r="AF4" t="str">
        <f>Migrationsartikel!Q2</f>
        <v>Baguette 250g</v>
      </c>
      <c r="AG4" s="45">
        <f>Migrationsartikel!R2</f>
        <v>0.25</v>
      </c>
      <c r="AH4" s="46" t="str">
        <f>Migrationsartikel!T2</f>
        <v>Gramm</v>
      </c>
      <c r="AI4" s="46" t="str">
        <f>IF(AH4="Gramm","Gramm",(IF(AH4="Centiliter","2",IF(AH4="Kilogramm","3",IF(AH4="Liter","5",IF(AH4="Milliliter","6",(IF(AH4="Stück","7","n/a"))))))))</f>
        <v>Gramm</v>
      </c>
      <c r="AJ4" s="46" t="s">
        <v>176</v>
      </c>
      <c r="AK4">
        <f>Migrationsartikel!S2</f>
        <v>100</v>
      </c>
      <c r="AL4">
        <f>Migrationsartikel!S2</f>
        <v>100</v>
      </c>
      <c r="AM4">
        <f>Migrationsartikel!S2</f>
        <v>100</v>
      </c>
      <c r="AN4" t="str">
        <f>Migrationsartikel!U2</f>
        <v>(PCE) Stück</v>
      </c>
      <c r="AO4" t="str">
        <f>IF(AN4="(PCE) Stück","(PCE) Pièce",(IF(AN4="(KGM) KG","(KGM) Kg","n/a")))</f>
        <v>(PCE) Pièce</v>
      </c>
      <c r="AP4" t="str">
        <f>IF(AN4="(PCE) Stück","(PCE) Pièce",(IF(AN4="(KGM) KG","(KGM) KG","n/a")))</f>
        <v>(PCE) Pièce</v>
      </c>
      <c r="AQ4" s="31" t="s">
        <v>195</v>
      </c>
      <c r="AR4" s="47"/>
      <c r="AS4" s="47"/>
      <c r="AT4" s="31" t="s">
        <v>208</v>
      </c>
      <c r="AU4" s="47"/>
      <c r="AV4" s="47"/>
      <c r="AW4" t="str">
        <f>IF(Migrationsartikel!AB2="ja","true",FALSE)</f>
        <v>true</v>
      </c>
      <c r="AX4" t="str">
        <f>IF(Migrationsartikel!AC2="ja","true",FALSE)</f>
        <v>true</v>
      </c>
      <c r="AY4" t="str">
        <f>IF(Migrationsartikel!AD2="ja","true",FALSE)</f>
        <v>true</v>
      </c>
      <c r="AZ4" t="str">
        <f>IF(Migrationsartikel!AE2="ja","true",FALSE)</f>
        <v>true</v>
      </c>
      <c r="BA4" t="str">
        <f>IF(Migrationsartikel!AF2="ja","Denner Partner","")</f>
        <v/>
      </c>
      <c r="BB4" t="str">
        <f>IF(Migrationsartikel!AG2="ja","true","false")</f>
        <v>false</v>
      </c>
      <c r="BC4"/>
      <c r="BD4" s="31" t="s">
        <v>235</v>
      </c>
      <c r="BE4" s="31" t="s">
        <v>233</v>
      </c>
      <c r="BH4" t="s">
        <v>1922</v>
      </c>
    </row>
    <row r="5" spans="1:60" ht="21.75" customHeight="1" x14ac:dyDescent="0.45">
      <c r="B5" t="s">
        <v>115</v>
      </c>
      <c r="E5" s="31" t="s">
        <v>1431</v>
      </c>
      <c r="F5" t="str">
        <f>"Warengruppe&gt;&gt;"&amp;Migrationsartikel!V3&amp;"&gt;&gt;"&amp;Migrationsartikel!W3&amp;"&gt;&gt;"&amp;Migrationsartikel!X3</f>
        <v>Warengruppe&gt;&gt;Backwaren &amp; Convenience&gt;&gt;Brot und Backwaren&gt;&gt;Backwaren andere</v>
      </c>
      <c r="J5" s="31" t="s">
        <v>125</v>
      </c>
      <c r="M5" s="31" t="s">
        <v>137</v>
      </c>
      <c r="P5" s="43">
        <f>Migrationsartikel!B3</f>
        <v>701</v>
      </c>
      <c r="R5" t="str">
        <f>Migrationsartikel!F3&amp;" "&amp;Migrationsartikel!G3&amp;" "&amp;Migrationsartikel!H3</f>
        <v>Baslerbrot aus der Region 250g</v>
      </c>
      <c r="S5" t="str">
        <f>Migrationsartikel!J3&amp;" "&amp;Migrationsartikel!K3&amp;" "&amp;Migrationsartikel!L3</f>
        <v>Pain bâlois  de la région 250g</v>
      </c>
      <c r="T5" t="str">
        <f>Migrationsartikel!N3&amp;" "&amp;Migrationsartikel!O3&amp;" "&amp;Migrationsartikel!P3</f>
        <v>Pane di Basilea  della regione 250g</v>
      </c>
      <c r="U5" t="str">
        <f>Migrationsartikel!F3</f>
        <v>Baslerbrot</v>
      </c>
      <c r="V5" t="str">
        <f>Migrationsartikel!J3</f>
        <v xml:space="preserve">Pain bâlois </v>
      </c>
      <c r="W5" t="str">
        <f>Migrationsartikel!N3</f>
        <v xml:space="preserve">Pane di Basilea </v>
      </c>
      <c r="X5" t="str">
        <f>Migrationsartikel!G3</f>
        <v>aus der Region</v>
      </c>
      <c r="Y5" t="str">
        <f>Migrationsartikel!K3</f>
        <v>de la région</v>
      </c>
      <c r="Z5" t="str">
        <f>Migrationsartikel!O3</f>
        <v>della regione</v>
      </c>
      <c r="AA5" s="31" t="str">
        <f>Migrationsartikel!H3</f>
        <v>250g</v>
      </c>
      <c r="AB5" s="31" t="str">
        <f>Migrationsartikel!L3</f>
        <v>250g</v>
      </c>
      <c r="AC5" s="31" t="str">
        <f>Migrationsartikel!P3</f>
        <v>250g</v>
      </c>
      <c r="AD5" t="str">
        <f>Migrationsartikel!I3</f>
        <v>Baslerbrot 250g</v>
      </c>
      <c r="AE5" t="str">
        <f>Migrationsartikel!M3</f>
        <v>Pain bâlois 250g</v>
      </c>
      <c r="AF5" t="str">
        <f>Migrationsartikel!Q3</f>
        <v>Pane di Basilea 250g</v>
      </c>
      <c r="AG5" s="45">
        <f>Migrationsartikel!R3</f>
        <v>0.25</v>
      </c>
      <c r="AH5" s="46" t="str">
        <f>Migrationsartikel!T3</f>
        <v>Gramm</v>
      </c>
      <c r="AI5" s="46" t="str">
        <f t="shared" ref="AI5:AI68" si="0">IF(AH5="Gramm","Gramm",(IF(AH5="Centiliter","2",IF(AH5="Kilogramm","3",IF(AH5="Liter","5",IF(AH5="Milliliter","6",(IF(AH5="Stück","7","n/a"))))))))</f>
        <v>Gramm</v>
      </c>
      <c r="AJ5" s="46" t="s">
        <v>176</v>
      </c>
      <c r="AK5">
        <f>Migrationsartikel!S3</f>
        <v>100</v>
      </c>
      <c r="AL5">
        <f>Migrationsartikel!S3</f>
        <v>100</v>
      </c>
      <c r="AM5">
        <f>Migrationsartikel!S3</f>
        <v>100</v>
      </c>
      <c r="AN5" t="str">
        <f>Migrationsartikel!U3</f>
        <v>(PCE) Stück</v>
      </c>
      <c r="AO5" t="str">
        <f t="shared" ref="AO5:AO68" si="1">IF(AN5="(PCE) Stück","(PCE) Pièce",(IF(AN5="(KGM) KG","(KGM) Kg","n/a")))</f>
        <v>(PCE) Pièce</v>
      </c>
      <c r="AP5" t="str">
        <f t="shared" ref="AP5:AP68" si="2">IF(AN5="(PCE) Stück","(PCE) Pièce",(IF(AN5="(KGM) KG","(KGM) KG","n/a")))</f>
        <v>(PCE) Pièce</v>
      </c>
      <c r="AQ5" s="31" t="s">
        <v>195</v>
      </c>
      <c r="AR5" s="47"/>
      <c r="AS5" s="47"/>
      <c r="AT5" s="31" t="s">
        <v>208</v>
      </c>
      <c r="AU5" s="47"/>
      <c r="AV5" s="47"/>
      <c r="AW5" t="str">
        <f>IF(Migrationsartikel!AB3="ja","true",FALSE)</f>
        <v>true</v>
      </c>
      <c r="AX5" t="str">
        <f>IF(Migrationsartikel!AC3="ja","true",FALSE)</f>
        <v>true</v>
      </c>
      <c r="AY5" t="str">
        <f>IF(Migrationsartikel!AD3="ja","true",FALSE)</f>
        <v>true</v>
      </c>
      <c r="AZ5" t="str">
        <f>IF(Migrationsartikel!AE3="ja","true",FALSE)</f>
        <v>true</v>
      </c>
      <c r="BA5" t="str">
        <f>IF(Migrationsartikel!AF3="ja","Denner Partner","")</f>
        <v/>
      </c>
      <c r="BB5" t="str">
        <f>IF(Migrationsartikel!AG3="ja","true","false")</f>
        <v>false</v>
      </c>
      <c r="BC5" t="s">
        <v>1923</v>
      </c>
      <c r="BD5" s="31" t="s">
        <v>235</v>
      </c>
      <c r="BE5" s="31" t="s">
        <v>233</v>
      </c>
    </row>
    <row r="6" spans="1:60" ht="21.75" customHeight="1" x14ac:dyDescent="0.45">
      <c r="B6" t="s">
        <v>115</v>
      </c>
      <c r="E6" s="31" t="s">
        <v>1432</v>
      </c>
      <c r="F6" t="str">
        <f>"Warengruppe&gt;&gt;"&amp;Migrationsartikel!V4&amp;"&gt;&gt;"&amp;Migrationsartikel!W4&amp;"&gt;&gt;"&amp;Migrationsartikel!X4</f>
        <v>Warengruppe&gt;&gt;Backwaren &amp; Convenience&gt;&gt;Brot und Backwaren&gt;&gt;Backwaren andere</v>
      </c>
      <c r="J6" s="31" t="s">
        <v>125</v>
      </c>
      <c r="M6" s="31" t="s">
        <v>137</v>
      </c>
      <c r="P6" s="43">
        <f>Migrationsartikel!B4</f>
        <v>702</v>
      </c>
      <c r="R6" t="str">
        <f>Migrationsartikel!F4&amp;" "&amp;Migrationsartikel!G4&amp;" "&amp;Migrationsartikel!H4</f>
        <v>Baslerbrot aus der Region 500g</v>
      </c>
      <c r="S6" t="str">
        <f>Migrationsartikel!J4&amp;" "&amp;Migrationsartikel!K4&amp;" "&amp;Migrationsartikel!L4</f>
        <v>Pain bâlois  de la région 500g</v>
      </c>
      <c r="T6" t="str">
        <f>Migrationsartikel!N4&amp;" "&amp;Migrationsartikel!O4&amp;" "&amp;Migrationsartikel!P4</f>
        <v>Pane di Basilea  della regione 500g</v>
      </c>
      <c r="U6" t="str">
        <f>Migrationsartikel!F4</f>
        <v>Baslerbrot</v>
      </c>
      <c r="V6" t="str">
        <f>Migrationsartikel!J4</f>
        <v xml:space="preserve">Pain bâlois </v>
      </c>
      <c r="W6" t="str">
        <f>Migrationsartikel!N4</f>
        <v xml:space="preserve">Pane di Basilea </v>
      </c>
      <c r="X6" t="str">
        <f>Migrationsartikel!G4</f>
        <v>aus der Region</v>
      </c>
      <c r="Y6" t="str">
        <f>Migrationsartikel!K4</f>
        <v>de la région</v>
      </c>
      <c r="Z6" t="str">
        <f>Migrationsartikel!O4</f>
        <v>della regione</v>
      </c>
      <c r="AA6" s="31" t="str">
        <f>Migrationsartikel!H4</f>
        <v>500g</v>
      </c>
      <c r="AB6" s="31" t="str">
        <f>Migrationsartikel!L4</f>
        <v>500g</v>
      </c>
      <c r="AC6" s="31" t="str">
        <f>Migrationsartikel!P4</f>
        <v>500g</v>
      </c>
      <c r="AD6" t="str">
        <f>Migrationsartikel!I4</f>
        <v>Baslerbrot 500g</v>
      </c>
      <c r="AE6" t="str">
        <f>Migrationsartikel!M4</f>
        <v>Pain bâlois 500g</v>
      </c>
      <c r="AF6" t="str">
        <f>Migrationsartikel!Q4</f>
        <v>Pane di Basilea 500g</v>
      </c>
      <c r="AG6" s="45">
        <f>Migrationsartikel!R4</f>
        <v>0.5</v>
      </c>
      <c r="AH6" s="46" t="str">
        <f>Migrationsartikel!T4</f>
        <v>Gramm</v>
      </c>
      <c r="AI6" s="46" t="str">
        <f t="shared" si="0"/>
        <v>Gramm</v>
      </c>
      <c r="AJ6" s="46" t="s">
        <v>176</v>
      </c>
      <c r="AK6">
        <f>Migrationsartikel!S4</f>
        <v>100</v>
      </c>
      <c r="AL6">
        <f>Migrationsartikel!S4</f>
        <v>100</v>
      </c>
      <c r="AM6">
        <f>Migrationsartikel!S4</f>
        <v>100</v>
      </c>
      <c r="AN6" t="str">
        <f>Migrationsartikel!U4</f>
        <v>(PCE) Stück</v>
      </c>
      <c r="AO6" t="str">
        <f t="shared" si="1"/>
        <v>(PCE) Pièce</v>
      </c>
      <c r="AP6" t="str">
        <f t="shared" si="2"/>
        <v>(PCE) Pièce</v>
      </c>
      <c r="AQ6" s="31" t="s">
        <v>195</v>
      </c>
      <c r="AR6" s="47"/>
      <c r="AS6" s="47"/>
      <c r="AT6" s="31" t="s">
        <v>208</v>
      </c>
      <c r="AU6" s="47"/>
      <c r="AV6" s="47"/>
      <c r="AW6" t="str">
        <f>IF(Migrationsartikel!AB4="ja","true",FALSE)</f>
        <v>true</v>
      </c>
      <c r="AX6" t="str">
        <f>IF(Migrationsartikel!AC4="ja","true",FALSE)</f>
        <v>true</v>
      </c>
      <c r="AY6" t="str">
        <f>IF(Migrationsartikel!AD4="ja","true",FALSE)</f>
        <v>true</v>
      </c>
      <c r="AZ6" t="str">
        <f>IF(Migrationsartikel!AE4="ja","true",FALSE)</f>
        <v>true</v>
      </c>
      <c r="BA6" t="str">
        <f>IF(Migrationsartikel!AF4="ja","Denner Partner","")</f>
        <v/>
      </c>
      <c r="BB6" t="str">
        <f>IF(Migrationsartikel!AG4="ja","true","false")</f>
        <v>false</v>
      </c>
      <c r="BC6" t="s">
        <v>1923</v>
      </c>
      <c r="BD6" s="31" t="s">
        <v>235</v>
      </c>
      <c r="BE6" s="31" t="s">
        <v>233</v>
      </c>
    </row>
    <row r="7" spans="1:60" ht="21.75" customHeight="1" x14ac:dyDescent="0.45">
      <c r="B7" t="s">
        <v>115</v>
      </c>
      <c r="E7" s="31" t="s">
        <v>1433</v>
      </c>
      <c r="F7" t="str">
        <f>"Warengruppe&gt;&gt;"&amp;Migrationsartikel!V5&amp;"&gt;&gt;"&amp;Migrationsartikel!W5&amp;"&gt;&gt;"&amp;Migrationsartikel!X5</f>
        <v>Warengruppe&gt;&gt;Backwaren &amp; Convenience&gt;&gt;Brot und Backwaren&gt;&gt;Backwaren andere</v>
      </c>
      <c r="J7" s="31" t="s">
        <v>125</v>
      </c>
      <c r="M7" s="31" t="s">
        <v>137</v>
      </c>
      <c r="P7" s="43">
        <f>Migrationsartikel!B5</f>
        <v>703</v>
      </c>
      <c r="R7" t="str">
        <f>Migrationsartikel!F5&amp;" "&amp;Migrationsartikel!G5&amp;" "&amp;Migrationsartikel!H5</f>
        <v>Berliner aus der Region 1Stk</v>
      </c>
      <c r="S7" t="str">
        <f>Migrationsartikel!J5&amp;" "&amp;Migrationsartikel!K5&amp;" "&amp;Migrationsartikel!L5</f>
        <v>Boule de Berlin  de la région 1pce</v>
      </c>
      <c r="T7" t="str">
        <f>Migrationsartikel!N5&amp;" "&amp;Migrationsartikel!O5&amp;" "&amp;Migrationsartikel!P5</f>
        <v>Berliner della regione 1pz</v>
      </c>
      <c r="U7" t="str">
        <f>Migrationsartikel!F5</f>
        <v>Berliner</v>
      </c>
      <c r="V7" t="str">
        <f>Migrationsartikel!J5</f>
        <v xml:space="preserve">Boule de Berlin </v>
      </c>
      <c r="W7" t="str">
        <f>Migrationsartikel!N5</f>
        <v>Berliner</v>
      </c>
      <c r="X7" t="str">
        <f>Migrationsartikel!G5</f>
        <v>aus der Region</v>
      </c>
      <c r="Y7" t="str">
        <f>Migrationsartikel!K5</f>
        <v>de la région</v>
      </c>
      <c r="Z7" t="str">
        <f>Migrationsartikel!O5</f>
        <v>della regione</v>
      </c>
      <c r="AA7" s="31" t="str">
        <f>Migrationsartikel!H5</f>
        <v>1Stk</v>
      </c>
      <c r="AB7" s="31" t="str">
        <f>Migrationsartikel!L5</f>
        <v>1pce</v>
      </c>
      <c r="AC7" s="31" t="str">
        <f>Migrationsartikel!P5</f>
        <v>1pz</v>
      </c>
      <c r="AD7" t="str">
        <f>Migrationsartikel!I5</f>
        <v>Berliner</v>
      </c>
      <c r="AE7" t="str">
        <f>Migrationsartikel!M5</f>
        <v xml:space="preserve">Boule de Berlin </v>
      </c>
      <c r="AF7" t="str">
        <f>Migrationsartikel!Q5</f>
        <v>Berliner</v>
      </c>
      <c r="AG7" s="45">
        <f>Migrationsartikel!R5</f>
        <v>1</v>
      </c>
      <c r="AH7" s="46" t="str">
        <f>Migrationsartikel!T5</f>
        <v>Stück</v>
      </c>
      <c r="AI7" s="46" t="str">
        <f t="shared" si="0"/>
        <v>7</v>
      </c>
      <c r="AJ7" s="46" t="s">
        <v>176</v>
      </c>
      <c r="AK7">
        <f>Migrationsartikel!S5</f>
        <v>1</v>
      </c>
      <c r="AL7">
        <f>Migrationsartikel!S5</f>
        <v>1</v>
      </c>
      <c r="AM7">
        <f>Migrationsartikel!S5</f>
        <v>1</v>
      </c>
      <c r="AN7" t="str">
        <f>Migrationsartikel!U5</f>
        <v>(PCE) Stück</v>
      </c>
      <c r="AO7" t="str">
        <f t="shared" si="1"/>
        <v>(PCE) Pièce</v>
      </c>
      <c r="AP7" t="str">
        <f t="shared" si="2"/>
        <v>(PCE) Pièce</v>
      </c>
      <c r="AQ7" s="31" t="s">
        <v>195</v>
      </c>
      <c r="AR7" s="47"/>
      <c r="AS7" s="47"/>
      <c r="AT7" s="31" t="s">
        <v>208</v>
      </c>
      <c r="AU7" s="47"/>
      <c r="AV7" s="47"/>
      <c r="AW7" t="str">
        <f>IF(Migrationsartikel!AB5="ja","true",FALSE)</f>
        <v>true</v>
      </c>
      <c r="AX7" t="str">
        <f>IF(Migrationsartikel!AC5="ja","true",FALSE)</f>
        <v>true</v>
      </c>
      <c r="AY7" t="str">
        <f>IF(Migrationsartikel!AD5="ja","true",FALSE)</f>
        <v>true</v>
      </c>
      <c r="AZ7" t="str">
        <f>IF(Migrationsartikel!AE5="ja","true",FALSE)</f>
        <v>true</v>
      </c>
      <c r="BA7" t="str">
        <f>IF(Migrationsartikel!AF5="ja","Denner Partner","")</f>
        <v/>
      </c>
      <c r="BB7" t="str">
        <f>IF(Migrationsartikel!AG5="ja","true","false")</f>
        <v>false</v>
      </c>
      <c r="BC7" t="s">
        <v>1923</v>
      </c>
      <c r="BD7" s="31" t="s">
        <v>235</v>
      </c>
      <c r="BE7" s="31" t="s">
        <v>233</v>
      </c>
    </row>
    <row r="8" spans="1:60" ht="21.75" customHeight="1" x14ac:dyDescent="0.45">
      <c r="B8" t="s">
        <v>115</v>
      </c>
      <c r="E8" s="31" t="s">
        <v>1434</v>
      </c>
      <c r="F8" t="str">
        <f>"Warengruppe&gt;&gt;"&amp;Migrationsartikel!V6&amp;"&gt;&gt;"&amp;Migrationsartikel!W6&amp;"&gt;&gt;"&amp;Migrationsartikel!X6</f>
        <v>Warengruppe&gt;&gt;Backwaren &amp; Convenience&gt;&gt;Brot und Backwaren&gt;&gt;Backwaren andere</v>
      </c>
      <c r="J8" s="31" t="s">
        <v>125</v>
      </c>
      <c r="M8" s="31" t="s">
        <v>137</v>
      </c>
      <c r="P8" s="43">
        <f>Migrationsartikel!B6</f>
        <v>704</v>
      </c>
      <c r="R8" t="str">
        <f>Migrationsartikel!F6&amp;" "&amp;Migrationsartikel!G6&amp;" "&amp;Migrationsartikel!H6</f>
        <v>Birewegge aus der Region 1Stk</v>
      </c>
      <c r="S8" t="str">
        <f>Migrationsartikel!J6&amp;" "&amp;Migrationsartikel!K6&amp;" "&amp;Migrationsartikel!L6</f>
        <v>Birewegge de la région 1pce</v>
      </c>
      <c r="T8" t="str">
        <f>Migrationsartikel!N6&amp;" "&amp;Migrationsartikel!O6&amp;" "&amp;Migrationsartikel!P6</f>
        <v>Birewegge della regione 1pz</v>
      </c>
      <c r="U8" t="str">
        <f>Migrationsartikel!F6</f>
        <v>Birewegge</v>
      </c>
      <c r="V8" t="str">
        <f>Migrationsartikel!J6</f>
        <v>Birewegge</v>
      </c>
      <c r="W8" t="str">
        <f>Migrationsartikel!N6</f>
        <v>Birewegge</v>
      </c>
      <c r="X8" t="str">
        <f>Migrationsartikel!G6</f>
        <v>aus der Region</v>
      </c>
      <c r="Y8" t="str">
        <f>Migrationsartikel!K6</f>
        <v>de la région</v>
      </c>
      <c r="Z8" t="str">
        <f>Migrationsartikel!O6</f>
        <v>della regione</v>
      </c>
      <c r="AA8" s="31" t="str">
        <f>Migrationsartikel!H6</f>
        <v>1Stk</v>
      </c>
      <c r="AB8" s="31" t="str">
        <f>Migrationsartikel!L6</f>
        <v>1pce</v>
      </c>
      <c r="AC8" s="31" t="str">
        <f>Migrationsartikel!P6</f>
        <v>1pz</v>
      </c>
      <c r="AD8" t="str">
        <f>Migrationsartikel!I6</f>
        <v>Birewegge</v>
      </c>
      <c r="AE8" t="str">
        <f>Migrationsartikel!M6</f>
        <v>Birewegge</v>
      </c>
      <c r="AF8" t="str">
        <f>Migrationsartikel!Q6</f>
        <v>Birewegge</v>
      </c>
      <c r="AG8" s="45">
        <f>Migrationsartikel!R6</f>
        <v>1</v>
      </c>
      <c r="AH8" s="46" t="str">
        <f>Migrationsartikel!T6</f>
        <v>Stück</v>
      </c>
      <c r="AI8" s="46" t="str">
        <f t="shared" si="0"/>
        <v>7</v>
      </c>
      <c r="AJ8" s="46" t="s">
        <v>176</v>
      </c>
      <c r="AK8">
        <f>Migrationsartikel!S6</f>
        <v>1</v>
      </c>
      <c r="AL8">
        <f>Migrationsartikel!S6</f>
        <v>1</v>
      </c>
      <c r="AM8">
        <f>Migrationsartikel!S6</f>
        <v>1</v>
      </c>
      <c r="AN8" t="str">
        <f>Migrationsartikel!U6</f>
        <v>(PCE) Stück</v>
      </c>
      <c r="AO8" t="str">
        <f t="shared" si="1"/>
        <v>(PCE) Pièce</v>
      </c>
      <c r="AP8" t="str">
        <f t="shared" si="2"/>
        <v>(PCE) Pièce</v>
      </c>
      <c r="AQ8" s="31" t="s">
        <v>195</v>
      </c>
      <c r="AR8" s="47"/>
      <c r="AS8" s="47"/>
      <c r="AT8" s="31" t="s">
        <v>208</v>
      </c>
      <c r="AU8" s="47"/>
      <c r="AV8" s="47"/>
      <c r="AW8" t="str">
        <f>IF(Migrationsartikel!AB6="ja","true",FALSE)</f>
        <v>true</v>
      </c>
      <c r="AX8" t="str">
        <f>IF(Migrationsartikel!AC6="ja","true",FALSE)</f>
        <v>true</v>
      </c>
      <c r="AY8" t="str">
        <f>IF(Migrationsartikel!AD6="ja","true",FALSE)</f>
        <v>true</v>
      </c>
      <c r="AZ8" t="str">
        <f>IF(Migrationsartikel!AE6="ja","true",FALSE)</f>
        <v>true</v>
      </c>
      <c r="BA8" t="str">
        <f>IF(Migrationsartikel!AF6="ja","Denner Partner","")</f>
        <v/>
      </c>
      <c r="BB8" t="str">
        <f>IF(Migrationsartikel!AG6="ja","true","false")</f>
        <v>false</v>
      </c>
      <c r="BC8" t="s">
        <v>1923</v>
      </c>
      <c r="BD8" s="31" t="s">
        <v>235</v>
      </c>
      <c r="BE8" s="31" t="s">
        <v>233</v>
      </c>
    </row>
    <row r="9" spans="1:60" ht="21.75" customHeight="1" x14ac:dyDescent="0.45">
      <c r="B9" t="s">
        <v>115</v>
      </c>
      <c r="E9" s="31" t="s">
        <v>1435</v>
      </c>
      <c r="F9" t="str">
        <f>"Warengruppe&gt;&gt;"&amp;Migrationsartikel!V7&amp;"&gt;&gt;"&amp;Migrationsartikel!W7&amp;"&gt;&gt;"&amp;Migrationsartikel!X7</f>
        <v>Warengruppe&gt;&gt;Backwaren &amp; Convenience&gt;&gt;Brot und Backwaren&gt;&gt;Backwaren andere</v>
      </c>
      <c r="J9" s="31" t="s">
        <v>125</v>
      </c>
      <c r="M9" s="31" t="s">
        <v>137</v>
      </c>
      <c r="P9" s="43">
        <f>Migrationsartikel!B7</f>
        <v>705</v>
      </c>
      <c r="R9" t="str">
        <f>Migrationsartikel!F7&amp;" "&amp;Migrationsartikel!G7&amp;" "&amp;Migrationsartikel!H7</f>
        <v>Bricelets aus der Region 1Stk</v>
      </c>
      <c r="S9" t="str">
        <f>Migrationsartikel!J7&amp;" "&amp;Migrationsartikel!K7&amp;" "&amp;Migrationsartikel!L7</f>
        <v>Bricelets  de la région 1pce</v>
      </c>
      <c r="T9" t="str">
        <f>Migrationsartikel!N7&amp;" "&amp;Migrationsartikel!O7&amp;" "&amp;Migrationsartikel!P7</f>
        <v>Bricelets  della regione 1pz</v>
      </c>
      <c r="U9" t="str">
        <f>Migrationsartikel!F7</f>
        <v>Bricelets</v>
      </c>
      <c r="V9" t="str">
        <f>Migrationsartikel!J7</f>
        <v xml:space="preserve">Bricelets </v>
      </c>
      <c r="W9" t="str">
        <f>Migrationsartikel!N7</f>
        <v xml:space="preserve">Bricelets </v>
      </c>
      <c r="X9" t="str">
        <f>Migrationsartikel!G7</f>
        <v>aus der Region</v>
      </c>
      <c r="Y9" t="str">
        <f>Migrationsartikel!K7</f>
        <v>de la région</v>
      </c>
      <c r="Z9" t="str">
        <f>Migrationsartikel!O7</f>
        <v>della regione</v>
      </c>
      <c r="AA9" s="31" t="str">
        <f>Migrationsartikel!H7</f>
        <v>1Stk</v>
      </c>
      <c r="AB9" s="31" t="str">
        <f>Migrationsartikel!L7</f>
        <v>1pce</v>
      </c>
      <c r="AC9" s="31" t="str">
        <f>Migrationsartikel!P7</f>
        <v>1pz</v>
      </c>
      <c r="AD9" t="str">
        <f>Migrationsartikel!I7</f>
        <v>Bricelets</v>
      </c>
      <c r="AE9" t="str">
        <f>Migrationsartikel!M7</f>
        <v xml:space="preserve">Bricelets </v>
      </c>
      <c r="AF9" t="str">
        <f>Migrationsartikel!Q7</f>
        <v xml:space="preserve">Bricelets </v>
      </c>
      <c r="AG9" s="45">
        <f>Migrationsartikel!R7</f>
        <v>1</v>
      </c>
      <c r="AH9" s="46" t="str">
        <f>Migrationsartikel!T7</f>
        <v>Stück</v>
      </c>
      <c r="AI9" s="46" t="str">
        <f t="shared" si="0"/>
        <v>7</v>
      </c>
      <c r="AJ9" s="46" t="s">
        <v>176</v>
      </c>
      <c r="AK9">
        <f>Migrationsartikel!S7</f>
        <v>1</v>
      </c>
      <c r="AL9">
        <f>Migrationsartikel!S7</f>
        <v>1</v>
      </c>
      <c r="AM9">
        <f>Migrationsartikel!S7</f>
        <v>1</v>
      </c>
      <c r="AN9" t="str">
        <f>Migrationsartikel!U7</f>
        <v>(PCE) Stück</v>
      </c>
      <c r="AO9" t="str">
        <f t="shared" si="1"/>
        <v>(PCE) Pièce</v>
      </c>
      <c r="AP9" t="str">
        <f t="shared" si="2"/>
        <v>(PCE) Pièce</v>
      </c>
      <c r="AQ9" s="31" t="s">
        <v>195</v>
      </c>
      <c r="AR9" s="47"/>
      <c r="AS9" s="47"/>
      <c r="AT9" s="31" t="s">
        <v>208</v>
      </c>
      <c r="AU9" s="47"/>
      <c r="AV9" s="47"/>
      <c r="AW9" t="str">
        <f>IF(Migrationsartikel!AB7="ja","true",FALSE)</f>
        <v>true</v>
      </c>
      <c r="AX9" t="str">
        <f>IF(Migrationsartikel!AC7="ja","true",FALSE)</f>
        <v>true</v>
      </c>
      <c r="AY9" t="str">
        <f>IF(Migrationsartikel!AD7="ja","true",FALSE)</f>
        <v>true</v>
      </c>
      <c r="AZ9" t="str">
        <f>IF(Migrationsartikel!AE7="ja","true",FALSE)</f>
        <v>true</v>
      </c>
      <c r="BA9" t="str">
        <f>IF(Migrationsartikel!AF7="ja","Denner Partner","")</f>
        <v/>
      </c>
      <c r="BB9" t="str">
        <f>IF(Migrationsartikel!AG7="ja","true","false")</f>
        <v>false</v>
      </c>
      <c r="BC9" t="s">
        <v>1923</v>
      </c>
      <c r="BD9" s="31" t="s">
        <v>235</v>
      </c>
      <c r="BE9" s="31" t="s">
        <v>233</v>
      </c>
    </row>
    <row r="10" spans="1:60" ht="21.75" customHeight="1" x14ac:dyDescent="0.45">
      <c r="B10" t="s">
        <v>115</v>
      </c>
      <c r="E10" s="31" t="s">
        <v>1436</v>
      </c>
      <c r="F10" t="str">
        <f>"Warengruppe&gt;&gt;"&amp;Migrationsartikel!V8&amp;"&gt;&gt;"&amp;Migrationsartikel!W8&amp;"&gt;&gt;"&amp;Migrationsartikel!X8</f>
        <v>Warengruppe&gt;&gt;Backwaren &amp; Convenience&gt;&gt;Brot und Backwaren&gt;&gt;Backwaren andere</v>
      </c>
      <c r="J10" s="31" t="s">
        <v>125</v>
      </c>
      <c r="M10" s="31" t="s">
        <v>137</v>
      </c>
      <c r="P10" s="43">
        <f>Migrationsartikel!B8</f>
        <v>706</v>
      </c>
      <c r="R10" t="str">
        <f>Migrationsartikel!F8&amp;" "&amp;Migrationsartikel!G8&amp;" "&amp;Migrationsartikel!H8</f>
        <v>Brioche mit Füllung aus der Region 1Stk</v>
      </c>
      <c r="S10" t="str">
        <f>Migrationsartikel!J8&amp;" "&amp;Migrationsartikel!K8&amp;" "&amp;Migrationsartikel!L8</f>
        <v>Brioche fourée  de la région 1pce</v>
      </c>
      <c r="T10" t="str">
        <f>Migrationsartikel!N8&amp;" "&amp;Migrationsartikel!O8&amp;" "&amp;Migrationsartikel!P8</f>
        <v>Brioche ripiena della regione 1pz</v>
      </c>
      <c r="U10" t="str">
        <f>Migrationsartikel!F8</f>
        <v>Brioche mit Füllung</v>
      </c>
      <c r="V10" t="str">
        <f>Migrationsartikel!J8</f>
        <v xml:space="preserve">Brioche fourée </v>
      </c>
      <c r="W10" t="str">
        <f>Migrationsartikel!N8</f>
        <v>Brioche ripiena</v>
      </c>
      <c r="X10" t="str">
        <f>Migrationsartikel!G8</f>
        <v>aus der Region</v>
      </c>
      <c r="Y10" t="str">
        <f>Migrationsartikel!K8</f>
        <v>de la région</v>
      </c>
      <c r="Z10" t="str">
        <f>Migrationsartikel!O8</f>
        <v>della regione</v>
      </c>
      <c r="AA10" s="31" t="str">
        <f>Migrationsartikel!H8</f>
        <v>1Stk</v>
      </c>
      <c r="AB10" s="31" t="str">
        <f>Migrationsartikel!L8</f>
        <v>1pce</v>
      </c>
      <c r="AC10" s="31" t="str">
        <f>Migrationsartikel!P8</f>
        <v>1pz</v>
      </c>
      <c r="AD10" t="str">
        <f>Migrationsartikel!I8</f>
        <v>Brioche mit Füllung</v>
      </c>
      <c r="AE10" t="str">
        <f>Migrationsartikel!M8</f>
        <v xml:space="preserve">Brioche fourée </v>
      </c>
      <c r="AF10" t="str">
        <f>Migrationsartikel!Q8</f>
        <v>Brioche ripiena</v>
      </c>
      <c r="AG10" s="45">
        <f>Migrationsartikel!R8</f>
        <v>1</v>
      </c>
      <c r="AH10" s="46" t="str">
        <f>Migrationsartikel!T8</f>
        <v>Stück</v>
      </c>
      <c r="AI10" s="46" t="str">
        <f t="shared" si="0"/>
        <v>7</v>
      </c>
      <c r="AJ10" s="46" t="s">
        <v>176</v>
      </c>
      <c r="AK10">
        <f>Migrationsartikel!S8</f>
        <v>1</v>
      </c>
      <c r="AL10">
        <f>Migrationsartikel!S8</f>
        <v>1</v>
      </c>
      <c r="AM10">
        <f>Migrationsartikel!S8</f>
        <v>1</v>
      </c>
      <c r="AN10" t="str">
        <f>Migrationsartikel!U8</f>
        <v>(PCE) Stück</v>
      </c>
      <c r="AO10" t="str">
        <f t="shared" si="1"/>
        <v>(PCE) Pièce</v>
      </c>
      <c r="AP10" t="str">
        <f t="shared" si="2"/>
        <v>(PCE) Pièce</v>
      </c>
      <c r="AQ10" s="31" t="s">
        <v>195</v>
      </c>
      <c r="AR10" s="47"/>
      <c r="AS10" s="47"/>
      <c r="AT10" s="31" t="s">
        <v>208</v>
      </c>
      <c r="AU10" s="47"/>
      <c r="AV10" s="47"/>
      <c r="AW10" t="str">
        <f>IF(Migrationsartikel!AB8="ja","true",FALSE)</f>
        <v>true</v>
      </c>
      <c r="AX10" t="str">
        <f>IF(Migrationsartikel!AC8="ja","true",FALSE)</f>
        <v>true</v>
      </c>
      <c r="AY10" t="str">
        <f>IF(Migrationsartikel!AD8="ja","true",FALSE)</f>
        <v>true</v>
      </c>
      <c r="AZ10" t="str">
        <f>IF(Migrationsartikel!AE8="ja","true",FALSE)</f>
        <v>true</v>
      </c>
      <c r="BA10" t="str">
        <f>IF(Migrationsartikel!AF8="ja","Denner Partner","")</f>
        <v/>
      </c>
      <c r="BB10" t="str">
        <f>IF(Migrationsartikel!AG8="ja","true","false")</f>
        <v>false</v>
      </c>
      <c r="BC10" t="s">
        <v>1923</v>
      </c>
      <c r="BD10" s="31" t="s">
        <v>235</v>
      </c>
      <c r="BE10" s="31" t="s">
        <v>233</v>
      </c>
    </row>
    <row r="11" spans="1:60" ht="21.75" customHeight="1" x14ac:dyDescent="0.45">
      <c r="B11" t="s">
        <v>115</v>
      </c>
      <c r="E11" s="31" t="s">
        <v>1437</v>
      </c>
      <c r="F11" t="str">
        <f>"Warengruppe&gt;&gt;"&amp;Migrationsartikel!V9&amp;"&gt;&gt;"&amp;Migrationsartikel!W9&amp;"&gt;&gt;"&amp;Migrationsartikel!X9</f>
        <v>Warengruppe&gt;&gt;Backwaren &amp; Convenience&gt;&gt;Brot und Backwaren&gt;&gt;Backwaren andere</v>
      </c>
      <c r="J11" s="31" t="s">
        <v>125</v>
      </c>
      <c r="M11" s="31" t="s">
        <v>137</v>
      </c>
      <c r="P11" s="43">
        <f>Migrationsartikel!B9</f>
        <v>707</v>
      </c>
      <c r="R11" t="str">
        <f>Migrationsartikel!F9&amp;" "&amp;Migrationsartikel!G9&amp;" "&amp;Migrationsartikel!H9</f>
        <v>Brot vom Beck aus der Region 1Stk</v>
      </c>
      <c r="S11" t="str">
        <f>Migrationsartikel!J9&amp;" "&amp;Migrationsartikel!K9&amp;" "&amp;Migrationsartikel!L9</f>
        <v>Pain du boulanger de la région 1pce</v>
      </c>
      <c r="T11" t="str">
        <f>Migrationsartikel!N9&amp;" "&amp;Migrationsartikel!O9&amp;" "&amp;Migrationsartikel!P9</f>
        <v>Pane del panettiere della regione 1pz</v>
      </c>
      <c r="U11" t="str">
        <f>Migrationsartikel!F9</f>
        <v>Brot vom Beck</v>
      </c>
      <c r="V11" t="str">
        <f>Migrationsartikel!J9</f>
        <v>Pain du boulanger</v>
      </c>
      <c r="W11" t="str">
        <f>Migrationsartikel!N9</f>
        <v>Pane del panettiere</v>
      </c>
      <c r="X11" t="str">
        <f>Migrationsartikel!G9</f>
        <v>aus der Region</v>
      </c>
      <c r="Y11" t="str">
        <f>Migrationsartikel!K9</f>
        <v>de la région</v>
      </c>
      <c r="Z11" t="str">
        <f>Migrationsartikel!O9</f>
        <v>della regione</v>
      </c>
      <c r="AA11" s="31" t="str">
        <f>Migrationsartikel!H9</f>
        <v>1Stk</v>
      </c>
      <c r="AB11" s="31" t="str">
        <f>Migrationsartikel!L9</f>
        <v>1pce</v>
      </c>
      <c r="AC11" s="31" t="str">
        <f>Migrationsartikel!P9</f>
        <v>1pz</v>
      </c>
      <c r="AD11" t="str">
        <f>Migrationsartikel!I9</f>
        <v>Brot vom Beck</v>
      </c>
      <c r="AE11" t="str">
        <f>Migrationsartikel!M9</f>
        <v>Pain du boulanger</v>
      </c>
      <c r="AF11" t="str">
        <f>Migrationsartikel!Q9</f>
        <v>Pane del panettiere</v>
      </c>
      <c r="AG11" s="45">
        <f>Migrationsartikel!R9</f>
        <v>1</v>
      </c>
      <c r="AH11" s="46" t="str">
        <f>Migrationsartikel!T9</f>
        <v>Stück</v>
      </c>
      <c r="AI11" s="46" t="str">
        <f t="shared" si="0"/>
        <v>7</v>
      </c>
      <c r="AJ11" s="46" t="s">
        <v>176</v>
      </c>
      <c r="AK11">
        <f>Migrationsartikel!S9</f>
        <v>1</v>
      </c>
      <c r="AL11">
        <f>Migrationsartikel!S9</f>
        <v>1</v>
      </c>
      <c r="AM11">
        <f>Migrationsartikel!S9</f>
        <v>1</v>
      </c>
      <c r="AN11" t="str">
        <f>Migrationsartikel!U9</f>
        <v>(PCE) Stück</v>
      </c>
      <c r="AO11" t="str">
        <f t="shared" si="1"/>
        <v>(PCE) Pièce</v>
      </c>
      <c r="AP11" t="str">
        <f t="shared" si="2"/>
        <v>(PCE) Pièce</v>
      </c>
      <c r="AQ11" s="31" t="s">
        <v>195</v>
      </c>
      <c r="AR11" s="47"/>
      <c r="AS11" s="47"/>
      <c r="AT11" s="31" t="s">
        <v>208</v>
      </c>
      <c r="AU11" s="47"/>
      <c r="AV11" s="47"/>
      <c r="AW11" t="str">
        <f>IF(Migrationsartikel!AB9="ja","true",FALSE)</f>
        <v>true</v>
      </c>
      <c r="AX11" t="str">
        <f>IF(Migrationsartikel!AC9="ja","true",FALSE)</f>
        <v>true</v>
      </c>
      <c r="AY11" t="str">
        <f>IF(Migrationsartikel!AD9="ja","true",FALSE)</f>
        <v>true</v>
      </c>
      <c r="AZ11" t="str">
        <f>IF(Migrationsartikel!AE9="ja","true",FALSE)</f>
        <v>true</v>
      </c>
      <c r="BA11" t="str">
        <f>IF(Migrationsartikel!AF9="ja","Denner Partner","")</f>
        <v/>
      </c>
      <c r="BB11" t="str">
        <f>IF(Migrationsartikel!AG9="ja","true","false")</f>
        <v>false</v>
      </c>
      <c r="BC11" t="s">
        <v>1923</v>
      </c>
      <c r="BD11" s="31" t="s">
        <v>235</v>
      </c>
      <c r="BE11" s="31" t="s">
        <v>233</v>
      </c>
    </row>
    <row r="12" spans="1:60" ht="21.75" customHeight="1" x14ac:dyDescent="0.45">
      <c r="B12" t="s">
        <v>115</v>
      </c>
      <c r="E12" s="31" t="s">
        <v>1438</v>
      </c>
      <c r="F12" t="str">
        <f>"Warengruppe&gt;&gt;"&amp;Migrationsartikel!V10&amp;"&gt;&gt;"&amp;Migrationsartikel!W10&amp;"&gt;&gt;"&amp;Migrationsartikel!X10</f>
        <v>Warengruppe&gt;&gt;Backwaren &amp; Convenience&gt;&gt;Brot und Backwaren&gt;&gt;Backwaren andere</v>
      </c>
      <c r="J12" s="31" t="s">
        <v>125</v>
      </c>
      <c r="M12" s="31" t="s">
        <v>137</v>
      </c>
      <c r="P12" s="31">
        <f>Migrationsartikel!B10</f>
        <v>708</v>
      </c>
      <c r="R12" t="str">
        <f>Migrationsartikel!F10&amp;" "&amp;Migrationsartikel!G10&amp;" "&amp;Migrationsartikel!H10</f>
        <v>Brottheke aus der Region 1Stk</v>
      </c>
      <c r="S12" t="str">
        <f>Migrationsartikel!J10&amp;" "&amp;Migrationsartikel!K10&amp;" "&amp;Migrationsartikel!L10</f>
        <v>Comptoir à pain de la région 1pce</v>
      </c>
      <c r="T12" t="str">
        <f>Migrationsartikel!N10&amp;" "&amp;Migrationsartikel!O10&amp;" "&amp;Migrationsartikel!P10</f>
        <v>Banco pane della regione 1pz</v>
      </c>
      <c r="U12" t="str">
        <f>Migrationsartikel!F10</f>
        <v>Brottheke</v>
      </c>
      <c r="V12" t="str">
        <f>Migrationsartikel!J10</f>
        <v>Comptoir à pain</v>
      </c>
      <c r="W12" t="str">
        <f>Migrationsartikel!N10</f>
        <v>Banco pane</v>
      </c>
      <c r="X12" t="str">
        <f>Migrationsartikel!G10</f>
        <v>aus der Region</v>
      </c>
      <c r="Y12" t="str">
        <f>Migrationsartikel!K10</f>
        <v>de la région</v>
      </c>
      <c r="Z12" t="str">
        <f>Migrationsartikel!O10</f>
        <v>della regione</v>
      </c>
      <c r="AA12" s="31" t="str">
        <f>Migrationsartikel!H10</f>
        <v>1Stk</v>
      </c>
      <c r="AB12" s="31" t="str">
        <f>Migrationsartikel!L10</f>
        <v>1pce</v>
      </c>
      <c r="AC12" s="31" t="str">
        <f>Migrationsartikel!P10</f>
        <v>1pz</v>
      </c>
      <c r="AD12" t="str">
        <f>Migrationsartikel!I10</f>
        <v>Brottheke</v>
      </c>
      <c r="AE12" s="31" t="str">
        <f>Migrationsartikel!M10</f>
        <v>Comptoir à pain</v>
      </c>
      <c r="AF12" t="str">
        <f>Migrationsartikel!Q10</f>
        <v>Banco pane</v>
      </c>
      <c r="AG12" s="45">
        <f>Migrationsartikel!R10</f>
        <v>1</v>
      </c>
      <c r="AH12" s="46" t="str">
        <f>Migrationsartikel!T10</f>
        <v>Stück</v>
      </c>
      <c r="AI12" s="46" t="str">
        <f t="shared" si="0"/>
        <v>7</v>
      </c>
      <c r="AJ12" s="46" t="s">
        <v>176</v>
      </c>
      <c r="AK12">
        <f>Migrationsartikel!S10</f>
        <v>1</v>
      </c>
      <c r="AL12">
        <f>Migrationsartikel!S10</f>
        <v>1</v>
      </c>
      <c r="AM12">
        <f>Migrationsartikel!S10</f>
        <v>1</v>
      </c>
      <c r="AN12" t="str">
        <f>Migrationsartikel!U10</f>
        <v>(PCE) Stück</v>
      </c>
      <c r="AO12" t="str">
        <f t="shared" si="1"/>
        <v>(PCE) Pièce</v>
      </c>
      <c r="AP12" t="str">
        <f t="shared" si="2"/>
        <v>(PCE) Pièce</v>
      </c>
      <c r="AQ12" s="31" t="s">
        <v>195</v>
      </c>
      <c r="AR12" s="47"/>
      <c r="AS12" s="47"/>
      <c r="AT12" s="31" t="s">
        <v>208</v>
      </c>
      <c r="AU12" s="47"/>
      <c r="AV12" s="47"/>
      <c r="AW12" t="str">
        <f>IF(Migrationsartikel!AB10="ja","true",FALSE)</f>
        <v>true</v>
      </c>
      <c r="AX12" t="str">
        <f>IF(Migrationsartikel!AC10="ja","true",FALSE)</f>
        <v>true</v>
      </c>
      <c r="AY12" t="str">
        <f>IF(Migrationsartikel!AD10="ja","true",FALSE)</f>
        <v>true</v>
      </c>
      <c r="AZ12" t="str">
        <f>IF(Migrationsartikel!AE10="ja","true",FALSE)</f>
        <v>true</v>
      </c>
      <c r="BA12" t="str">
        <f>IF(Migrationsartikel!AF10="ja","Denner Partner","")</f>
        <v/>
      </c>
      <c r="BB12" t="str">
        <f>IF(Migrationsartikel!AG10="ja","true","false")</f>
        <v>false</v>
      </c>
      <c r="BC12" t="s">
        <v>1923</v>
      </c>
      <c r="BD12" s="31" t="s">
        <v>235</v>
      </c>
      <c r="BE12" s="31" t="s">
        <v>233</v>
      </c>
    </row>
    <row r="13" spans="1:60" ht="21.75" customHeight="1" x14ac:dyDescent="0.45">
      <c r="B13" t="s">
        <v>115</v>
      </c>
      <c r="E13" s="31" t="s">
        <v>1439</v>
      </c>
      <c r="F13" t="str">
        <f>"Warengruppe&gt;&gt;"&amp;Migrationsartikel!V11&amp;"&gt;&gt;"&amp;Migrationsartikel!W11&amp;"&gt;&gt;"&amp;Migrationsartikel!X11</f>
        <v>Warengruppe&gt;&gt;Backwaren &amp; Convenience&gt;&gt;Brot und Backwaren&gt;&gt;Backwaren andere</v>
      </c>
      <c r="J13" s="31" t="s">
        <v>125</v>
      </c>
      <c r="M13" s="31" t="s">
        <v>137</v>
      </c>
      <c r="P13" s="31">
        <f>Migrationsartikel!B11</f>
        <v>709</v>
      </c>
      <c r="R13" t="str">
        <f>Migrationsartikel!F11&amp;" "&amp;Migrationsartikel!G11&amp;" "&amp;Migrationsartikel!H11</f>
        <v>Bürli  aus der Region 1Stk</v>
      </c>
      <c r="S13" t="str">
        <f>Migrationsartikel!J11&amp;" "&amp;Migrationsartikel!K11&amp;" "&amp;Migrationsartikel!L11</f>
        <v>Bürli  de la région 1pce</v>
      </c>
      <c r="T13" t="str">
        <f>Migrationsartikel!N11&amp;" "&amp;Migrationsartikel!O11&amp;" "&amp;Migrationsartikel!P11</f>
        <v>Bürli  della regione 1pz</v>
      </c>
      <c r="U13" t="str">
        <f>Migrationsartikel!F11</f>
        <v xml:space="preserve">Bürli </v>
      </c>
      <c r="V13" t="str">
        <f>Migrationsartikel!J11</f>
        <v xml:space="preserve">Bürli </v>
      </c>
      <c r="W13" t="str">
        <f>Migrationsartikel!N11</f>
        <v xml:space="preserve">Bürli </v>
      </c>
      <c r="X13" t="str">
        <f>Migrationsartikel!G11</f>
        <v>aus der Region</v>
      </c>
      <c r="Y13" t="str">
        <f>Migrationsartikel!K11</f>
        <v>de la région</v>
      </c>
      <c r="Z13" t="str">
        <f>Migrationsartikel!O11</f>
        <v>della regione</v>
      </c>
      <c r="AA13" s="31" t="str">
        <f>Migrationsartikel!H11</f>
        <v>1Stk</v>
      </c>
      <c r="AB13" s="31" t="str">
        <f>Migrationsartikel!L11</f>
        <v>1pce</v>
      </c>
      <c r="AC13" s="31" t="str">
        <f>Migrationsartikel!P11</f>
        <v>1pz</v>
      </c>
      <c r="AD13" t="str">
        <f>Migrationsartikel!I11</f>
        <v xml:space="preserve">Bürli </v>
      </c>
      <c r="AE13" t="str">
        <f>Migrationsartikel!M11</f>
        <v xml:space="preserve">Bürli </v>
      </c>
      <c r="AF13" t="str">
        <f>Migrationsartikel!Q11</f>
        <v xml:space="preserve">Bürli </v>
      </c>
      <c r="AG13" s="45">
        <f>Migrationsartikel!R11</f>
        <v>1</v>
      </c>
      <c r="AH13" s="46" t="str">
        <f>Migrationsartikel!T11</f>
        <v>Stück</v>
      </c>
      <c r="AI13" s="46" t="str">
        <f t="shared" si="0"/>
        <v>7</v>
      </c>
      <c r="AJ13" s="46" t="s">
        <v>176</v>
      </c>
      <c r="AK13">
        <f>Migrationsartikel!S11</f>
        <v>1</v>
      </c>
      <c r="AL13">
        <f>Migrationsartikel!S11</f>
        <v>1</v>
      </c>
      <c r="AM13">
        <f>Migrationsartikel!S11</f>
        <v>1</v>
      </c>
      <c r="AN13" t="str">
        <f>Migrationsartikel!U11</f>
        <v>(PCE) Stück</v>
      </c>
      <c r="AO13" t="str">
        <f t="shared" si="1"/>
        <v>(PCE) Pièce</v>
      </c>
      <c r="AP13" t="str">
        <f t="shared" si="2"/>
        <v>(PCE) Pièce</v>
      </c>
      <c r="AQ13" s="31" t="s">
        <v>195</v>
      </c>
      <c r="AR13" s="47"/>
      <c r="AS13" s="47"/>
      <c r="AT13" s="31" t="s">
        <v>208</v>
      </c>
      <c r="AU13" s="47"/>
      <c r="AV13" s="47"/>
      <c r="AW13" t="str">
        <f>IF(Migrationsartikel!AB11="ja","true",FALSE)</f>
        <v>true</v>
      </c>
      <c r="AX13" t="str">
        <f>IF(Migrationsartikel!AC11="ja","true",FALSE)</f>
        <v>true</v>
      </c>
      <c r="AY13" t="str">
        <f>IF(Migrationsartikel!AD11="ja","true",FALSE)</f>
        <v>true</v>
      </c>
      <c r="AZ13" t="str">
        <f>IF(Migrationsartikel!AE11="ja","true",FALSE)</f>
        <v>true</v>
      </c>
      <c r="BA13" t="str">
        <f>IF(Migrationsartikel!AF11="ja","Denner Partner","")</f>
        <v/>
      </c>
      <c r="BB13" t="str">
        <f>IF(Migrationsartikel!AG11="ja","true","false")</f>
        <v>false</v>
      </c>
      <c r="BC13" t="s">
        <v>1923</v>
      </c>
      <c r="BD13" s="31" t="s">
        <v>235</v>
      </c>
      <c r="BE13" s="31" t="s">
        <v>233</v>
      </c>
    </row>
    <row r="14" spans="1:60" ht="21.75" customHeight="1" x14ac:dyDescent="0.45">
      <c r="B14" t="s">
        <v>115</v>
      </c>
      <c r="E14" s="31" t="s">
        <v>1440</v>
      </c>
      <c r="F14" t="str">
        <f>"Warengruppe&gt;&gt;"&amp;Migrationsartikel!V12&amp;"&gt;&gt;"&amp;Migrationsartikel!W12&amp;"&gt;&gt;"&amp;Migrationsartikel!X12</f>
        <v>Warengruppe&gt;&gt;Backwaren &amp; Convenience&gt;&gt;Brot und Backwaren&gt;&gt;Backwaren andere</v>
      </c>
      <c r="J14" s="31" t="s">
        <v>125</v>
      </c>
      <c r="M14" s="31" t="s">
        <v>137</v>
      </c>
      <c r="P14" s="31">
        <f>Migrationsartikel!B12</f>
        <v>710</v>
      </c>
      <c r="R14" t="str">
        <f>Migrationsartikel!F12&amp;" "&amp;Migrationsartikel!G12&amp;" "&amp;Migrationsartikel!H12</f>
        <v>Buttergipfel  aus der Region 1Stk</v>
      </c>
      <c r="S14" t="str">
        <f>Migrationsartikel!J12&amp;" "&amp;Migrationsartikel!K12&amp;" "&amp;Migrationsartikel!L12</f>
        <v>Croissant au beurre  de la région 1pce</v>
      </c>
      <c r="T14" t="str">
        <f>Migrationsartikel!N12&amp;" "&amp;Migrationsartikel!O12&amp;" "&amp;Migrationsartikel!P12</f>
        <v>Cornetto al burro della regione 1pz</v>
      </c>
      <c r="U14" t="str">
        <f>Migrationsartikel!F12</f>
        <v xml:space="preserve">Buttergipfel </v>
      </c>
      <c r="V14" t="str">
        <f>Migrationsartikel!J12</f>
        <v xml:space="preserve">Croissant au beurre </v>
      </c>
      <c r="W14" t="str">
        <f>Migrationsartikel!N12</f>
        <v>Cornetto al burro</v>
      </c>
      <c r="X14" t="str">
        <f>Migrationsartikel!G12</f>
        <v>aus der Region</v>
      </c>
      <c r="Y14" t="str">
        <f>Migrationsartikel!K12</f>
        <v>de la région</v>
      </c>
      <c r="Z14" t="str">
        <f>Migrationsartikel!O12</f>
        <v>della regione</v>
      </c>
      <c r="AA14" s="31" t="str">
        <f>Migrationsartikel!H12</f>
        <v>1Stk</v>
      </c>
      <c r="AB14" s="31" t="str">
        <f>Migrationsartikel!L12</f>
        <v>1pce</v>
      </c>
      <c r="AC14" s="31" t="str">
        <f>Migrationsartikel!P12</f>
        <v>1pz</v>
      </c>
      <c r="AD14" t="str">
        <f>Migrationsartikel!I12</f>
        <v xml:space="preserve">Buttergipfel </v>
      </c>
      <c r="AE14" t="str">
        <f>Migrationsartikel!M12</f>
        <v xml:space="preserve">Croissant au beurre </v>
      </c>
      <c r="AF14" t="str">
        <f>Migrationsartikel!Q12</f>
        <v>Cornetto al burro</v>
      </c>
      <c r="AG14" s="45">
        <f>Migrationsartikel!R12</f>
        <v>1</v>
      </c>
      <c r="AH14" s="46" t="str">
        <f>Migrationsartikel!T12</f>
        <v>Stück</v>
      </c>
      <c r="AI14" s="46" t="str">
        <f t="shared" si="0"/>
        <v>7</v>
      </c>
      <c r="AJ14" s="46" t="s">
        <v>176</v>
      </c>
      <c r="AK14">
        <f>Migrationsartikel!S12</f>
        <v>1</v>
      </c>
      <c r="AL14">
        <f>Migrationsartikel!S12</f>
        <v>1</v>
      </c>
      <c r="AM14">
        <f>Migrationsartikel!S12</f>
        <v>1</v>
      </c>
      <c r="AN14" t="str">
        <f>Migrationsartikel!U12</f>
        <v>(PCE) Stück</v>
      </c>
      <c r="AO14" t="str">
        <f t="shared" si="1"/>
        <v>(PCE) Pièce</v>
      </c>
      <c r="AP14" t="str">
        <f t="shared" si="2"/>
        <v>(PCE) Pièce</v>
      </c>
      <c r="AQ14" s="31" t="s">
        <v>195</v>
      </c>
      <c r="AR14" s="47"/>
      <c r="AS14" s="47"/>
      <c r="AT14" s="31" t="s">
        <v>208</v>
      </c>
      <c r="AU14" s="47"/>
      <c r="AV14" s="47"/>
      <c r="AW14" t="str">
        <f>IF(Migrationsartikel!AB12="ja","true",FALSE)</f>
        <v>true</v>
      </c>
      <c r="AX14" t="str">
        <f>IF(Migrationsartikel!AC12="ja","true",FALSE)</f>
        <v>true</v>
      </c>
      <c r="AY14" t="str">
        <f>IF(Migrationsartikel!AD12="ja","true",FALSE)</f>
        <v>true</v>
      </c>
      <c r="AZ14" t="str">
        <f>IF(Migrationsartikel!AE12="ja","true",FALSE)</f>
        <v>true</v>
      </c>
      <c r="BA14" t="str">
        <f>IF(Migrationsartikel!AF12="ja","Denner Partner","")</f>
        <v/>
      </c>
      <c r="BB14" t="str">
        <f>IF(Migrationsartikel!AG12="ja","true","false")</f>
        <v>false</v>
      </c>
      <c r="BC14" t="s">
        <v>1923</v>
      </c>
      <c r="BD14" s="31" t="s">
        <v>235</v>
      </c>
      <c r="BE14" s="31" t="s">
        <v>233</v>
      </c>
    </row>
    <row r="15" spans="1:60" ht="21.75" customHeight="1" x14ac:dyDescent="0.45">
      <c r="B15" t="s">
        <v>115</v>
      </c>
      <c r="E15" s="31" t="s">
        <v>1441</v>
      </c>
      <c r="F15" t="str">
        <f>"Warengruppe&gt;&gt;"&amp;Migrationsartikel!V13&amp;"&gt;&gt;"&amp;Migrationsartikel!W13&amp;"&gt;&gt;"&amp;Migrationsartikel!X13</f>
        <v>Warengruppe&gt;&gt;Backwaren &amp; Convenience&gt;&gt;Brot und Backwaren&gt;&gt;Backwaren andere</v>
      </c>
      <c r="J15" s="31" t="s">
        <v>125</v>
      </c>
      <c r="M15" s="31" t="s">
        <v>137</v>
      </c>
      <c r="P15" s="31">
        <f>Migrationsartikel!B13</f>
        <v>711</v>
      </c>
      <c r="R15" t="str">
        <f>Migrationsartikel!F13&amp;" "&amp;Migrationsartikel!G13&amp;" "&amp;Migrationsartikel!H13</f>
        <v>Butterzopf  aus der Region 300g</v>
      </c>
      <c r="S15" t="str">
        <f>Migrationsartikel!J13&amp;" "&amp;Migrationsartikel!K13&amp;" "&amp;Migrationsartikel!L13</f>
        <v>Tresse  de la région 300g</v>
      </c>
      <c r="T15" t="str">
        <f>Migrationsartikel!N13&amp;" "&amp;Migrationsartikel!O13&amp;" "&amp;Migrationsartikel!P13</f>
        <v>Treccia  della regione 300g</v>
      </c>
      <c r="U15" t="str">
        <f>Migrationsartikel!F13</f>
        <v xml:space="preserve">Butterzopf </v>
      </c>
      <c r="V15" t="str">
        <f>Migrationsartikel!J13</f>
        <v xml:space="preserve">Tresse </v>
      </c>
      <c r="W15" t="str">
        <f>Migrationsartikel!N13</f>
        <v xml:space="preserve">Treccia </v>
      </c>
      <c r="X15" t="str">
        <f>Migrationsartikel!G13</f>
        <v>aus der Region</v>
      </c>
      <c r="Y15" t="str">
        <f>Migrationsartikel!K13</f>
        <v>de la région</v>
      </c>
      <c r="Z15" t="str">
        <f>Migrationsartikel!O13</f>
        <v>della regione</v>
      </c>
      <c r="AA15" s="31" t="str">
        <f>Migrationsartikel!H13</f>
        <v>300g</v>
      </c>
      <c r="AB15" s="31" t="str">
        <f>Migrationsartikel!L13</f>
        <v>300g</v>
      </c>
      <c r="AC15" s="31" t="str">
        <f>Migrationsartikel!P13</f>
        <v>300g</v>
      </c>
      <c r="AD15" t="str">
        <f>Migrationsartikel!I13</f>
        <v>Butterzopf 300g</v>
      </c>
      <c r="AE15" t="str">
        <f>Migrationsartikel!M13</f>
        <v>Tresse 300g</v>
      </c>
      <c r="AF15" t="str">
        <f>Migrationsartikel!Q13</f>
        <v>Treccia 300g</v>
      </c>
      <c r="AG15" s="45">
        <f>Migrationsartikel!R13</f>
        <v>0.3</v>
      </c>
      <c r="AH15" s="46" t="str">
        <f>Migrationsartikel!T13</f>
        <v>Gramm</v>
      </c>
      <c r="AI15" s="46" t="str">
        <f t="shared" si="0"/>
        <v>Gramm</v>
      </c>
      <c r="AJ15" s="46" t="s">
        <v>176</v>
      </c>
      <c r="AK15">
        <f>Migrationsartikel!S13</f>
        <v>100</v>
      </c>
      <c r="AL15">
        <f>Migrationsartikel!S13</f>
        <v>100</v>
      </c>
      <c r="AM15">
        <f>Migrationsartikel!S13</f>
        <v>100</v>
      </c>
      <c r="AN15" t="str">
        <f>Migrationsartikel!U13</f>
        <v>(PCE) Stück</v>
      </c>
      <c r="AO15" t="str">
        <f t="shared" si="1"/>
        <v>(PCE) Pièce</v>
      </c>
      <c r="AP15" t="str">
        <f t="shared" si="2"/>
        <v>(PCE) Pièce</v>
      </c>
      <c r="AQ15" s="31" t="s">
        <v>195</v>
      </c>
      <c r="AR15" s="47"/>
      <c r="AS15" s="47"/>
      <c r="AT15" s="31" t="s">
        <v>208</v>
      </c>
      <c r="AU15" s="47"/>
      <c r="AV15" s="47"/>
      <c r="AW15" t="str">
        <f>IF(Migrationsartikel!AB13="ja","true",FALSE)</f>
        <v>true</v>
      </c>
      <c r="AX15" t="str">
        <f>IF(Migrationsartikel!AC13="ja","true",FALSE)</f>
        <v>true</v>
      </c>
      <c r="AY15" t="str">
        <f>IF(Migrationsartikel!AD13="ja","true",FALSE)</f>
        <v>true</v>
      </c>
      <c r="AZ15" t="str">
        <f>IF(Migrationsartikel!AE13="ja","true",FALSE)</f>
        <v>true</v>
      </c>
      <c r="BA15" t="str">
        <f>IF(Migrationsartikel!AF13="ja","Denner Partner","")</f>
        <v/>
      </c>
      <c r="BB15" t="str">
        <f>IF(Migrationsartikel!AG13="ja","true","false")</f>
        <v>false</v>
      </c>
      <c r="BC15" t="s">
        <v>1923</v>
      </c>
      <c r="BD15" s="31" t="s">
        <v>235</v>
      </c>
      <c r="BE15" s="31" t="s">
        <v>233</v>
      </c>
    </row>
    <row r="16" spans="1:60" ht="21.75" customHeight="1" x14ac:dyDescent="0.45">
      <c r="B16" t="s">
        <v>115</v>
      </c>
      <c r="E16" s="31" t="s">
        <v>1442</v>
      </c>
      <c r="F16" t="str">
        <f>"Warengruppe&gt;&gt;"&amp;Migrationsartikel!V14&amp;"&gt;&gt;"&amp;Migrationsartikel!W14&amp;"&gt;&gt;"&amp;Migrationsartikel!X14</f>
        <v>Warengruppe&gt;&gt;Backwaren &amp; Convenience&gt;&gt;Brot und Backwaren&gt;&gt;Backwaren andere</v>
      </c>
      <c r="J16" s="31" t="s">
        <v>125</v>
      </c>
      <c r="M16" s="31" t="s">
        <v>137</v>
      </c>
      <c r="P16" s="31">
        <f>Migrationsartikel!B14</f>
        <v>712</v>
      </c>
      <c r="R16" t="str">
        <f>Migrationsartikel!F14&amp;" "&amp;Migrationsartikel!G14&amp;" "&amp;Migrationsartikel!H14</f>
        <v>Butterzopf  aus der Region 500g</v>
      </c>
      <c r="S16" t="str">
        <f>Migrationsartikel!J14&amp;" "&amp;Migrationsartikel!K14&amp;" "&amp;Migrationsartikel!L14</f>
        <v>Tresse  de la région 500g</v>
      </c>
      <c r="T16" t="str">
        <f>Migrationsartikel!N14&amp;" "&amp;Migrationsartikel!O14&amp;" "&amp;Migrationsartikel!P14</f>
        <v>Treccia  della regione 500g</v>
      </c>
      <c r="U16" t="str">
        <f>Migrationsartikel!F14</f>
        <v xml:space="preserve">Butterzopf </v>
      </c>
      <c r="V16" t="str">
        <f>Migrationsartikel!J14</f>
        <v xml:space="preserve">Tresse </v>
      </c>
      <c r="W16" t="str">
        <f>Migrationsartikel!N14</f>
        <v xml:space="preserve">Treccia </v>
      </c>
      <c r="X16" t="str">
        <f>Migrationsartikel!G14</f>
        <v>aus der Region</v>
      </c>
      <c r="Y16" t="str">
        <f>Migrationsartikel!K14</f>
        <v>de la région</v>
      </c>
      <c r="Z16" t="str">
        <f>Migrationsartikel!O14</f>
        <v>della regione</v>
      </c>
      <c r="AA16" s="31" t="str">
        <f>Migrationsartikel!H14</f>
        <v>500g</v>
      </c>
      <c r="AB16" s="31" t="str">
        <f>Migrationsartikel!L14</f>
        <v>500g</v>
      </c>
      <c r="AC16" s="31" t="str">
        <f>Migrationsartikel!P14</f>
        <v>500g</v>
      </c>
      <c r="AD16" t="str">
        <f>Migrationsartikel!I14</f>
        <v>Butterzopf 500g</v>
      </c>
      <c r="AE16" t="str">
        <f>Migrationsartikel!M14</f>
        <v>Tresse 500g</v>
      </c>
      <c r="AF16" t="str">
        <f>Migrationsartikel!Q14</f>
        <v>Treccia 500g</v>
      </c>
      <c r="AG16" s="45">
        <f>Migrationsartikel!R14</f>
        <v>0.5</v>
      </c>
      <c r="AH16" s="46" t="str">
        <f>Migrationsartikel!T14</f>
        <v>Gramm</v>
      </c>
      <c r="AI16" s="46" t="str">
        <f t="shared" si="0"/>
        <v>Gramm</v>
      </c>
      <c r="AJ16" s="46" t="s">
        <v>176</v>
      </c>
      <c r="AK16">
        <f>Migrationsartikel!S14</f>
        <v>100</v>
      </c>
      <c r="AL16">
        <f>Migrationsartikel!S14</f>
        <v>100</v>
      </c>
      <c r="AM16">
        <f>Migrationsartikel!S14</f>
        <v>100</v>
      </c>
      <c r="AN16" t="str">
        <f>Migrationsartikel!U14</f>
        <v>(PCE) Stück</v>
      </c>
      <c r="AO16" t="str">
        <f t="shared" si="1"/>
        <v>(PCE) Pièce</v>
      </c>
      <c r="AP16" t="str">
        <f t="shared" si="2"/>
        <v>(PCE) Pièce</v>
      </c>
      <c r="AQ16" s="31" t="s">
        <v>195</v>
      </c>
      <c r="AR16" s="47"/>
      <c r="AS16" s="47"/>
      <c r="AT16" s="31" t="s">
        <v>208</v>
      </c>
      <c r="AU16" s="47"/>
      <c r="AV16" s="47"/>
      <c r="AW16" t="str">
        <f>IF(Migrationsartikel!AB14="ja","true",FALSE)</f>
        <v>true</v>
      </c>
      <c r="AX16" t="str">
        <f>IF(Migrationsartikel!AC14="ja","true",FALSE)</f>
        <v>true</v>
      </c>
      <c r="AY16" t="str">
        <f>IF(Migrationsartikel!AD14="ja","true",FALSE)</f>
        <v>true</v>
      </c>
      <c r="AZ16" t="str">
        <f>IF(Migrationsartikel!AE14="ja","true",FALSE)</f>
        <v>true</v>
      </c>
      <c r="BA16" t="str">
        <f>IF(Migrationsartikel!AF14="ja","Denner Partner","")</f>
        <v/>
      </c>
      <c r="BB16" t="str">
        <f>IF(Migrationsartikel!AG14="ja","true","false")</f>
        <v>false</v>
      </c>
      <c r="BC16" t="s">
        <v>1923</v>
      </c>
      <c r="BD16" s="31" t="s">
        <v>235</v>
      </c>
      <c r="BE16" s="31" t="s">
        <v>233</v>
      </c>
    </row>
    <row r="17" spans="2:57" ht="21.75" customHeight="1" x14ac:dyDescent="0.45">
      <c r="B17" t="s">
        <v>115</v>
      </c>
      <c r="E17" s="31" t="s">
        <v>1443</v>
      </c>
      <c r="F17" t="str">
        <f>"Warengruppe&gt;&gt;"&amp;Migrationsartikel!V15&amp;"&gt;&gt;"&amp;Migrationsartikel!W15&amp;"&gt;&gt;"&amp;Migrationsartikel!X15</f>
        <v>Warengruppe&gt;&gt;Backwaren &amp; Convenience&gt;&gt;Brot und Backwaren&gt;&gt;Backwaren andere</v>
      </c>
      <c r="J17" s="31" t="s">
        <v>125</v>
      </c>
      <c r="M17" s="31" t="s">
        <v>137</v>
      </c>
      <c r="P17" s="31">
        <f>Migrationsartikel!B15</f>
        <v>713</v>
      </c>
      <c r="R17" t="str">
        <f>Migrationsartikel!F15&amp;" "&amp;Migrationsartikel!G15&amp;" "&amp;Migrationsartikel!H15</f>
        <v>Butterzopf  aus der Region 700g</v>
      </c>
      <c r="S17" t="str">
        <f>Migrationsartikel!J15&amp;" "&amp;Migrationsartikel!K15&amp;" "&amp;Migrationsartikel!L15</f>
        <v>Tresse  de la région 700g</v>
      </c>
      <c r="T17" t="str">
        <f>Migrationsartikel!N15&amp;" "&amp;Migrationsartikel!O15&amp;" "&amp;Migrationsartikel!P15</f>
        <v>Treccia  della regione 700g</v>
      </c>
      <c r="U17" t="str">
        <f>Migrationsartikel!F15</f>
        <v xml:space="preserve">Butterzopf </v>
      </c>
      <c r="V17" t="str">
        <f>Migrationsartikel!J15</f>
        <v xml:space="preserve">Tresse </v>
      </c>
      <c r="W17" t="str">
        <f>Migrationsartikel!N15</f>
        <v xml:space="preserve">Treccia </v>
      </c>
      <c r="X17" t="str">
        <f>Migrationsartikel!G15</f>
        <v>aus der Region</v>
      </c>
      <c r="Y17" t="str">
        <f>Migrationsartikel!K15</f>
        <v>de la région</v>
      </c>
      <c r="Z17" t="str">
        <f>Migrationsartikel!O15</f>
        <v>della regione</v>
      </c>
      <c r="AA17" s="31" t="str">
        <f>Migrationsartikel!H15</f>
        <v>700g</v>
      </c>
      <c r="AB17" s="31" t="str">
        <f>Migrationsartikel!L15</f>
        <v>700g</v>
      </c>
      <c r="AC17" s="31" t="str">
        <f>Migrationsartikel!P15</f>
        <v>700g</v>
      </c>
      <c r="AD17" t="str">
        <f>Migrationsartikel!I15</f>
        <v>Butterzopf 700g</v>
      </c>
      <c r="AE17" t="str">
        <f>Migrationsartikel!M15</f>
        <v>Tresse 700g</v>
      </c>
      <c r="AF17" t="str">
        <f>Migrationsartikel!Q15</f>
        <v>Treccia 700g</v>
      </c>
      <c r="AG17" s="45">
        <f>Migrationsartikel!R15</f>
        <v>0.7</v>
      </c>
      <c r="AH17" s="46" t="str">
        <f>Migrationsartikel!T15</f>
        <v>Gramm</v>
      </c>
      <c r="AI17" s="46" t="str">
        <f t="shared" si="0"/>
        <v>Gramm</v>
      </c>
      <c r="AJ17" s="46" t="s">
        <v>176</v>
      </c>
      <c r="AK17">
        <f>Migrationsartikel!S15</f>
        <v>100</v>
      </c>
      <c r="AL17">
        <f>Migrationsartikel!S15</f>
        <v>100</v>
      </c>
      <c r="AM17">
        <f>Migrationsartikel!S15</f>
        <v>100</v>
      </c>
      <c r="AN17" t="str">
        <f>Migrationsartikel!U15</f>
        <v>(PCE) Stück</v>
      </c>
      <c r="AO17" t="str">
        <f t="shared" si="1"/>
        <v>(PCE) Pièce</v>
      </c>
      <c r="AP17" t="str">
        <f t="shared" si="2"/>
        <v>(PCE) Pièce</v>
      </c>
      <c r="AQ17" s="31" t="s">
        <v>195</v>
      </c>
      <c r="AR17" s="47"/>
      <c r="AS17" s="47"/>
      <c r="AT17" s="31" t="s">
        <v>208</v>
      </c>
      <c r="AU17" s="47"/>
      <c r="AV17" s="47"/>
      <c r="AW17" t="str">
        <f>IF(Migrationsartikel!AB15="ja","true",FALSE)</f>
        <v>true</v>
      </c>
      <c r="AX17" t="str">
        <f>IF(Migrationsartikel!AC15="ja","true",FALSE)</f>
        <v>true</v>
      </c>
      <c r="AY17" t="str">
        <f>IF(Migrationsartikel!AD15="ja","true",FALSE)</f>
        <v>true</v>
      </c>
      <c r="AZ17" t="str">
        <f>IF(Migrationsartikel!AE15="ja","true",FALSE)</f>
        <v>true</v>
      </c>
      <c r="BA17" t="str">
        <f>IF(Migrationsartikel!AF15="ja","Denner Partner","")</f>
        <v/>
      </c>
      <c r="BB17" t="str">
        <f>IF(Migrationsartikel!AG15="ja","true","false")</f>
        <v>false</v>
      </c>
      <c r="BC17" t="s">
        <v>1923</v>
      </c>
      <c r="BD17" s="31" t="s">
        <v>235</v>
      </c>
      <c r="BE17" s="31" t="s">
        <v>233</v>
      </c>
    </row>
    <row r="18" spans="2:57" ht="21.75" customHeight="1" x14ac:dyDescent="0.45">
      <c r="B18" t="s">
        <v>115</v>
      </c>
      <c r="E18" s="31" t="s">
        <v>1444</v>
      </c>
      <c r="F18" t="str">
        <f>"Warengruppe&gt;&gt;"&amp;Migrationsartikel!V16&amp;"&gt;&gt;"&amp;Migrationsartikel!W16&amp;"&gt;&gt;"&amp;Migrationsartikel!X16</f>
        <v>Warengruppe&gt;&gt;Backwaren &amp; Convenience&gt;&gt;Brot und Backwaren&gt;&gt;Backwaren andere</v>
      </c>
      <c r="J18" s="31" t="s">
        <v>125</v>
      </c>
      <c r="L18"/>
      <c r="M18" s="31" t="s">
        <v>137</v>
      </c>
      <c r="P18" s="31">
        <f>Migrationsartikel!B16</f>
        <v>714</v>
      </c>
      <c r="R18" t="str">
        <f>Migrationsartikel!F16&amp;" "&amp;Migrationsartikel!G16&amp;" "&amp;Migrationsartikel!H16</f>
        <v>Ciabattina aus der Region 1Stk</v>
      </c>
      <c r="S18" t="str">
        <f>Migrationsartikel!J16&amp;" "&amp;Migrationsartikel!K16&amp;" "&amp;Migrationsartikel!L16</f>
        <v>Ciabattina de la région 1pce</v>
      </c>
      <c r="T18" t="str">
        <f>Migrationsartikel!N16&amp;" "&amp;Migrationsartikel!O16&amp;" "&amp;Migrationsartikel!P16</f>
        <v>Ciabattina della regione 1pz</v>
      </c>
      <c r="U18" t="str">
        <f>Migrationsartikel!F16</f>
        <v>Ciabattina</v>
      </c>
      <c r="V18" t="str">
        <f>Migrationsartikel!J16</f>
        <v>Ciabattina</v>
      </c>
      <c r="W18" t="str">
        <f>Migrationsartikel!N16</f>
        <v>Ciabattina</v>
      </c>
      <c r="X18" t="str">
        <f>Migrationsartikel!G16</f>
        <v>aus der Region</v>
      </c>
      <c r="Y18" t="str">
        <f>Migrationsartikel!K16</f>
        <v>de la région</v>
      </c>
      <c r="Z18" t="str">
        <f>Migrationsartikel!O16</f>
        <v>della regione</v>
      </c>
      <c r="AA18" s="31" t="str">
        <f>Migrationsartikel!H16</f>
        <v>1Stk</v>
      </c>
      <c r="AB18" s="31" t="str">
        <f>Migrationsartikel!L16</f>
        <v>1pce</v>
      </c>
      <c r="AC18" s="31" t="str">
        <f>Migrationsartikel!P16</f>
        <v>1pz</v>
      </c>
      <c r="AD18" t="str">
        <f>Migrationsartikel!I16</f>
        <v>Ciabattina</v>
      </c>
      <c r="AE18" t="str">
        <f>Migrationsartikel!M16</f>
        <v>Ciabattina</v>
      </c>
      <c r="AF18" t="str">
        <f>Migrationsartikel!Q16</f>
        <v>Ciabattina</v>
      </c>
      <c r="AG18" s="45">
        <f>Migrationsartikel!R16</f>
        <v>1</v>
      </c>
      <c r="AH18" s="46" t="str">
        <f>Migrationsartikel!T16</f>
        <v>Stück</v>
      </c>
      <c r="AI18" s="46" t="str">
        <f t="shared" si="0"/>
        <v>7</v>
      </c>
      <c r="AJ18" s="46" t="s">
        <v>176</v>
      </c>
      <c r="AK18">
        <f>Migrationsartikel!S16</f>
        <v>1</v>
      </c>
      <c r="AL18">
        <f>Migrationsartikel!S16</f>
        <v>1</v>
      </c>
      <c r="AM18">
        <f>Migrationsartikel!S16</f>
        <v>1</v>
      </c>
      <c r="AN18" t="str">
        <f>Migrationsartikel!U16</f>
        <v>(PCE) Stück</v>
      </c>
      <c r="AO18" t="str">
        <f t="shared" si="1"/>
        <v>(PCE) Pièce</v>
      </c>
      <c r="AP18" t="str">
        <f t="shared" si="2"/>
        <v>(PCE) Pièce</v>
      </c>
      <c r="AQ18" s="31" t="s">
        <v>195</v>
      </c>
      <c r="AR18" s="47"/>
      <c r="AS18" s="47"/>
      <c r="AT18" s="31" t="s">
        <v>208</v>
      </c>
      <c r="AU18" s="47"/>
      <c r="AV18" s="47"/>
      <c r="AW18" t="str">
        <f>IF(Migrationsartikel!AB16="ja","true",FALSE)</f>
        <v>true</v>
      </c>
      <c r="AX18" t="str">
        <f>IF(Migrationsartikel!AC16="ja","true",FALSE)</f>
        <v>true</v>
      </c>
      <c r="AY18" t="str">
        <f>IF(Migrationsartikel!AD16="ja","true",FALSE)</f>
        <v>true</v>
      </c>
      <c r="AZ18" t="str">
        <f>IF(Migrationsartikel!AE16="ja","true",FALSE)</f>
        <v>true</v>
      </c>
      <c r="BA18" t="str">
        <f>IF(Migrationsartikel!AF16="ja","Denner Partner","")</f>
        <v/>
      </c>
      <c r="BB18" t="str">
        <f>IF(Migrationsartikel!AG16="ja","true","false")</f>
        <v>false</v>
      </c>
      <c r="BC18" t="s">
        <v>1923</v>
      </c>
      <c r="BD18" s="31" t="s">
        <v>235</v>
      </c>
      <c r="BE18" s="31" t="s">
        <v>233</v>
      </c>
    </row>
    <row r="19" spans="2:57" ht="21.75" customHeight="1" x14ac:dyDescent="0.45">
      <c r="B19" t="s">
        <v>115</v>
      </c>
      <c r="E19" s="31" t="s">
        <v>1445</v>
      </c>
      <c r="F19" t="str">
        <f>"Warengruppe&gt;&gt;"&amp;Migrationsartikel!V17&amp;"&gt;&gt;"&amp;Migrationsartikel!W17&amp;"&gt;&gt;"&amp;Migrationsartikel!X17</f>
        <v>Warengruppe&gt;&gt;Backwaren &amp; Convenience&gt;&gt;Brot und Backwaren&gt;&gt;Backwaren andere</v>
      </c>
      <c r="J19" s="31" t="s">
        <v>125</v>
      </c>
      <c r="M19" s="31" t="s">
        <v>137</v>
      </c>
      <c r="P19" s="31">
        <f>Migrationsartikel!B17</f>
        <v>715</v>
      </c>
      <c r="R19" t="str">
        <f>Migrationsartikel!F17&amp;" "&amp;Migrationsartikel!G17&amp;" "&amp;Migrationsartikel!H17</f>
        <v>Flûtes aus der Region 1Stk</v>
      </c>
      <c r="S19" t="str">
        <f>Migrationsartikel!J17&amp;" "&amp;Migrationsartikel!K17&amp;" "&amp;Migrationsartikel!L17</f>
        <v>Flûtes  de la région 1pce</v>
      </c>
      <c r="T19" t="str">
        <f>Migrationsartikel!N17&amp;" "&amp;Migrationsartikel!O17&amp;" "&amp;Migrationsartikel!P17</f>
        <v>Flûtes della regione 1pz</v>
      </c>
      <c r="U19" t="str">
        <f>Migrationsartikel!F17</f>
        <v>Flûtes</v>
      </c>
      <c r="V19" t="str">
        <f>Migrationsartikel!J17</f>
        <v xml:space="preserve">Flûtes </v>
      </c>
      <c r="W19" t="str">
        <f>Migrationsartikel!N17</f>
        <v>Flûtes</v>
      </c>
      <c r="X19" t="str">
        <f>Migrationsartikel!G17</f>
        <v>aus der Region</v>
      </c>
      <c r="Y19" t="str">
        <f>Migrationsartikel!K17</f>
        <v>de la région</v>
      </c>
      <c r="Z19" t="str">
        <f>Migrationsartikel!O17</f>
        <v>della regione</v>
      </c>
      <c r="AA19" s="31" t="str">
        <f>Migrationsartikel!H17</f>
        <v>1Stk</v>
      </c>
      <c r="AB19" s="31" t="str">
        <f>Migrationsartikel!L17</f>
        <v>1pce</v>
      </c>
      <c r="AC19" s="31" t="str">
        <f>Migrationsartikel!P17</f>
        <v>1pz</v>
      </c>
      <c r="AD19" t="str">
        <f>Migrationsartikel!I17</f>
        <v>Flûtes</v>
      </c>
      <c r="AE19" t="str">
        <f>Migrationsartikel!M17</f>
        <v xml:space="preserve">Flûtes </v>
      </c>
      <c r="AF19" t="str">
        <f>Migrationsartikel!Q17</f>
        <v>Flûtes</v>
      </c>
      <c r="AG19" s="45">
        <f>Migrationsartikel!R17</f>
        <v>1</v>
      </c>
      <c r="AH19" s="46" t="str">
        <f>Migrationsartikel!T17</f>
        <v>Stück</v>
      </c>
      <c r="AI19" s="46" t="str">
        <f t="shared" si="0"/>
        <v>7</v>
      </c>
      <c r="AJ19" s="46" t="s">
        <v>176</v>
      </c>
      <c r="AK19">
        <f>Migrationsartikel!S17</f>
        <v>1</v>
      </c>
      <c r="AL19">
        <f>Migrationsartikel!S17</f>
        <v>1</v>
      </c>
      <c r="AM19">
        <f>Migrationsartikel!S17</f>
        <v>1</v>
      </c>
      <c r="AN19" t="str">
        <f>Migrationsartikel!U17</f>
        <v>(PCE) Stück</v>
      </c>
      <c r="AO19" t="str">
        <f t="shared" si="1"/>
        <v>(PCE) Pièce</v>
      </c>
      <c r="AP19" t="str">
        <f t="shared" si="2"/>
        <v>(PCE) Pièce</v>
      </c>
      <c r="AQ19" s="31" t="s">
        <v>195</v>
      </c>
      <c r="AR19" s="47"/>
      <c r="AS19" s="47"/>
      <c r="AT19" s="31" t="s">
        <v>208</v>
      </c>
      <c r="AU19" s="47"/>
      <c r="AV19" s="47"/>
      <c r="AW19" t="str">
        <f>IF(Migrationsartikel!AB17="ja","true",FALSE)</f>
        <v>true</v>
      </c>
      <c r="AX19" t="str">
        <f>IF(Migrationsartikel!AC17="ja","true",FALSE)</f>
        <v>true</v>
      </c>
      <c r="AY19" t="str">
        <f>IF(Migrationsartikel!AD17="ja","true",FALSE)</f>
        <v>true</v>
      </c>
      <c r="AZ19" t="str">
        <f>IF(Migrationsartikel!AE17="ja","true",FALSE)</f>
        <v>true</v>
      </c>
      <c r="BA19" t="str">
        <f>IF(Migrationsartikel!AF17="ja","Denner Partner","")</f>
        <v/>
      </c>
      <c r="BB19" t="str">
        <f>IF(Migrationsartikel!AG17="ja","true","false")</f>
        <v>false</v>
      </c>
      <c r="BC19" t="s">
        <v>1923</v>
      </c>
      <c r="BD19" s="31" t="s">
        <v>235</v>
      </c>
      <c r="BE19" s="31" t="s">
        <v>233</v>
      </c>
    </row>
    <row r="20" spans="2:57" ht="21.75" customHeight="1" x14ac:dyDescent="0.45">
      <c r="B20" t="s">
        <v>115</v>
      </c>
      <c r="E20" s="31" t="s">
        <v>1446</v>
      </c>
      <c r="F20" t="str">
        <f>"Warengruppe&gt;&gt;"&amp;Migrationsartikel!V18&amp;"&gt;&gt;"&amp;Migrationsartikel!W18&amp;"&gt;&gt;"&amp;Migrationsartikel!X18</f>
        <v>Warengruppe&gt;&gt;Backwaren &amp; Convenience&gt;&gt;Brot und Backwaren&gt;&gt;Backwaren andere</v>
      </c>
      <c r="J20" s="31" t="s">
        <v>125</v>
      </c>
      <c r="M20" s="31" t="s">
        <v>137</v>
      </c>
      <c r="P20" s="31">
        <f>Migrationsartikel!B18</f>
        <v>716</v>
      </c>
      <c r="R20" t="str">
        <f>Migrationsartikel!F18&amp;" "&amp;Migrationsartikel!G18&amp;" "&amp;Migrationsartikel!H18</f>
        <v>Focaccia aus der Region 1Stk</v>
      </c>
      <c r="S20" t="str">
        <f>Migrationsartikel!J18&amp;" "&amp;Migrationsartikel!K18&amp;" "&amp;Migrationsartikel!L18</f>
        <v>Focaccia de la région 1pce</v>
      </c>
      <c r="T20" t="str">
        <f>Migrationsartikel!N18&amp;" "&amp;Migrationsartikel!O18&amp;" "&amp;Migrationsartikel!P18</f>
        <v>Focaccia della regione 1pz</v>
      </c>
      <c r="U20" t="str">
        <f>Migrationsartikel!F18</f>
        <v>Focaccia</v>
      </c>
      <c r="V20" t="str">
        <f>Migrationsartikel!J18</f>
        <v>Focaccia</v>
      </c>
      <c r="W20" t="str">
        <f>Migrationsartikel!N18</f>
        <v>Focaccia</v>
      </c>
      <c r="X20" t="str">
        <f>Migrationsartikel!G18</f>
        <v>aus der Region</v>
      </c>
      <c r="Y20" t="str">
        <f>Migrationsartikel!K18</f>
        <v>de la région</v>
      </c>
      <c r="Z20" t="str">
        <f>Migrationsartikel!O18</f>
        <v>della regione</v>
      </c>
      <c r="AA20" s="31" t="str">
        <f>Migrationsartikel!H18</f>
        <v>1Stk</v>
      </c>
      <c r="AB20" s="31" t="str">
        <f>Migrationsartikel!L18</f>
        <v>1pce</v>
      </c>
      <c r="AC20" s="31" t="str">
        <f>Migrationsartikel!P18</f>
        <v>1pz</v>
      </c>
      <c r="AD20" t="str">
        <f>Migrationsartikel!I18</f>
        <v>Focaccia</v>
      </c>
      <c r="AE20" t="str">
        <f>Migrationsartikel!M18</f>
        <v>Focaccia</v>
      </c>
      <c r="AF20" t="str">
        <f>Migrationsartikel!Q18</f>
        <v>Focaccia</v>
      </c>
      <c r="AG20" s="45">
        <f>Migrationsartikel!R18</f>
        <v>1</v>
      </c>
      <c r="AH20" s="46" t="str">
        <f>Migrationsartikel!T18</f>
        <v>Stück</v>
      </c>
      <c r="AI20" s="46" t="str">
        <f t="shared" si="0"/>
        <v>7</v>
      </c>
      <c r="AJ20" s="46" t="s">
        <v>176</v>
      </c>
      <c r="AK20">
        <f>Migrationsartikel!S18</f>
        <v>1</v>
      </c>
      <c r="AL20">
        <f>Migrationsartikel!S18</f>
        <v>1</v>
      </c>
      <c r="AM20">
        <f>Migrationsartikel!S18</f>
        <v>1</v>
      </c>
      <c r="AN20" t="str">
        <f>Migrationsartikel!U18</f>
        <v>(PCE) Stück</v>
      </c>
      <c r="AO20" t="str">
        <f t="shared" si="1"/>
        <v>(PCE) Pièce</v>
      </c>
      <c r="AP20" t="str">
        <f t="shared" si="2"/>
        <v>(PCE) Pièce</v>
      </c>
      <c r="AQ20" s="31" t="s">
        <v>195</v>
      </c>
      <c r="AR20" s="47"/>
      <c r="AS20" s="47"/>
      <c r="AT20" s="31" t="s">
        <v>208</v>
      </c>
      <c r="AU20" s="47"/>
      <c r="AV20" s="47"/>
      <c r="AW20" t="str">
        <f>IF(Migrationsartikel!AB18="ja","true",FALSE)</f>
        <v>true</v>
      </c>
      <c r="AX20" t="str">
        <f>IF(Migrationsartikel!AC18="ja","true",FALSE)</f>
        <v>true</v>
      </c>
      <c r="AY20" t="str">
        <f>IF(Migrationsartikel!AD18="ja","true",FALSE)</f>
        <v>true</v>
      </c>
      <c r="AZ20" t="str">
        <f>IF(Migrationsartikel!AE18="ja","true",FALSE)</f>
        <v>true</v>
      </c>
      <c r="BA20" t="str">
        <f>IF(Migrationsartikel!AF18="ja","Denner Partner","")</f>
        <v/>
      </c>
      <c r="BB20" t="str">
        <f>IF(Migrationsartikel!AG18="ja","true","false")</f>
        <v>false</v>
      </c>
      <c r="BC20" t="s">
        <v>1923</v>
      </c>
      <c r="BD20" s="31" t="s">
        <v>235</v>
      </c>
      <c r="BE20" s="31" t="s">
        <v>233</v>
      </c>
    </row>
    <row r="21" spans="2:57" ht="21.75" customHeight="1" x14ac:dyDescent="0.45">
      <c r="B21" t="s">
        <v>115</v>
      </c>
      <c r="E21" s="31" t="s">
        <v>1447</v>
      </c>
      <c r="F21" t="str">
        <f>"Warengruppe&gt;&gt;"&amp;Migrationsartikel!V19&amp;"&gt;&gt;"&amp;Migrationsartikel!W19&amp;"&gt;&gt;"&amp;Migrationsartikel!X19</f>
        <v>Warengruppe&gt;&gt;Backwaren &amp; Convenience&gt;&gt;Brot und Backwaren&gt;&gt;Backwaren andere</v>
      </c>
      <c r="J21" s="31" t="s">
        <v>125</v>
      </c>
      <c r="M21" s="31" t="s">
        <v>137</v>
      </c>
      <c r="P21" s="31">
        <f>Migrationsartikel!B19</f>
        <v>717</v>
      </c>
      <c r="R21" t="str">
        <f>Migrationsartikel!F19&amp;" "&amp;Migrationsartikel!G19&amp;" "&amp;Migrationsartikel!H19</f>
        <v>Halbweissbrot aus der Region 500g</v>
      </c>
      <c r="S21" t="str">
        <f>Migrationsartikel!J19&amp;" "&amp;Migrationsartikel!K19&amp;" "&amp;Migrationsartikel!L19</f>
        <v>Pain mi-blanc de la région 500g</v>
      </c>
      <c r="T21" t="str">
        <f>Migrationsartikel!N19&amp;" "&amp;Migrationsartikel!O19&amp;" "&amp;Migrationsartikel!P19</f>
        <v>Pane semibianco della regione 500g</v>
      </c>
      <c r="U21" t="str">
        <f>Migrationsartikel!F19</f>
        <v>Halbweissbrot</v>
      </c>
      <c r="V21" t="str">
        <f>Migrationsartikel!J19</f>
        <v>Pain mi-blanc</v>
      </c>
      <c r="W21" t="str">
        <f>Migrationsartikel!N19</f>
        <v>Pane semibianco</v>
      </c>
      <c r="X21" t="str">
        <f>Migrationsartikel!G19</f>
        <v>aus der Region</v>
      </c>
      <c r="Y21" t="str">
        <f>Migrationsartikel!K19</f>
        <v>de la région</v>
      </c>
      <c r="Z21" t="str">
        <f>Migrationsartikel!O19</f>
        <v>della regione</v>
      </c>
      <c r="AA21" s="31" t="str">
        <f>Migrationsartikel!H19</f>
        <v>500g</v>
      </c>
      <c r="AB21" s="31" t="str">
        <f>Migrationsartikel!L19</f>
        <v>500g</v>
      </c>
      <c r="AC21" s="31" t="str">
        <f>Migrationsartikel!P19</f>
        <v>500g</v>
      </c>
      <c r="AD21" t="str">
        <f>Migrationsartikel!I19</f>
        <v>Halbweissbrot 500g</v>
      </c>
      <c r="AE21" t="str">
        <f>Migrationsartikel!M19</f>
        <v>Pain mi-blanc 500g</v>
      </c>
      <c r="AF21" t="str">
        <f>Migrationsartikel!Q19</f>
        <v>Pane semibianco 500g</v>
      </c>
      <c r="AG21" s="45">
        <f>Migrationsartikel!R19</f>
        <v>0.5</v>
      </c>
      <c r="AH21" s="46" t="str">
        <f>Migrationsartikel!T19</f>
        <v>Gramm</v>
      </c>
      <c r="AI21" s="46" t="str">
        <f t="shared" si="0"/>
        <v>Gramm</v>
      </c>
      <c r="AJ21" s="46" t="s">
        <v>176</v>
      </c>
      <c r="AK21">
        <f>Migrationsartikel!S19</f>
        <v>100</v>
      </c>
      <c r="AL21">
        <f>Migrationsartikel!S19</f>
        <v>100</v>
      </c>
      <c r="AM21">
        <f>Migrationsartikel!S19</f>
        <v>100</v>
      </c>
      <c r="AN21" t="str">
        <f>Migrationsartikel!U19</f>
        <v>(PCE) Stück</v>
      </c>
      <c r="AO21" t="str">
        <f t="shared" si="1"/>
        <v>(PCE) Pièce</v>
      </c>
      <c r="AP21" t="str">
        <f t="shared" si="2"/>
        <v>(PCE) Pièce</v>
      </c>
      <c r="AQ21" s="31" t="s">
        <v>195</v>
      </c>
      <c r="AR21" s="47"/>
      <c r="AS21" s="47"/>
      <c r="AT21" s="31" t="s">
        <v>208</v>
      </c>
      <c r="AU21" s="47"/>
      <c r="AV21" s="47"/>
      <c r="AW21" t="str">
        <f>IF(Migrationsartikel!AB19="ja","true",FALSE)</f>
        <v>true</v>
      </c>
      <c r="AX21" t="str">
        <f>IF(Migrationsartikel!AC19="ja","true",FALSE)</f>
        <v>true</v>
      </c>
      <c r="AY21" t="str">
        <f>IF(Migrationsartikel!AD19="ja","true",FALSE)</f>
        <v>true</v>
      </c>
      <c r="AZ21" t="str">
        <f>IF(Migrationsartikel!AE19="ja","true",FALSE)</f>
        <v>true</v>
      </c>
      <c r="BA21" t="str">
        <f>IF(Migrationsartikel!AF19="ja","Denner Partner","")</f>
        <v/>
      </c>
      <c r="BB21" t="str">
        <f>IF(Migrationsartikel!AG19="ja","true","false")</f>
        <v>false</v>
      </c>
      <c r="BC21" t="s">
        <v>1923</v>
      </c>
      <c r="BD21" s="31" t="s">
        <v>235</v>
      </c>
      <c r="BE21" s="31" t="s">
        <v>233</v>
      </c>
    </row>
    <row r="22" spans="2:57" ht="21.75" customHeight="1" x14ac:dyDescent="0.45">
      <c r="B22" t="s">
        <v>115</v>
      </c>
      <c r="E22" s="31" t="s">
        <v>1448</v>
      </c>
      <c r="F22" t="str">
        <f>"Warengruppe&gt;&gt;"&amp;Migrationsartikel!V20&amp;"&gt;&gt;"&amp;Migrationsartikel!W20&amp;"&gt;&gt;"&amp;Migrationsartikel!X20</f>
        <v>Warengruppe&gt;&gt;Backwaren &amp; Convenience&gt;&gt;Brot und Backwaren&gt;&gt;Backwaren andere</v>
      </c>
      <c r="J22" s="31" t="s">
        <v>125</v>
      </c>
      <c r="M22" s="31" t="s">
        <v>137</v>
      </c>
      <c r="P22" s="31">
        <f>Migrationsartikel!B20</f>
        <v>718</v>
      </c>
      <c r="R22" t="str">
        <f>Migrationsartikel!F20&amp;" "&amp;Migrationsartikel!G20&amp;" "&amp;Migrationsartikel!H20</f>
        <v>Halbweissbrot  aus der Region 1kg</v>
      </c>
      <c r="S22" t="str">
        <f>Migrationsartikel!J20&amp;" "&amp;Migrationsartikel!K20&amp;" "&amp;Migrationsartikel!L20</f>
        <v>Pain mi-blanc de la région 1kg</v>
      </c>
      <c r="T22" t="str">
        <f>Migrationsartikel!N20&amp;" "&amp;Migrationsartikel!O20&amp;" "&amp;Migrationsartikel!P20</f>
        <v>Pane semibianco della regione 1kg</v>
      </c>
      <c r="U22" t="str">
        <f>Migrationsartikel!F20</f>
        <v xml:space="preserve">Halbweissbrot </v>
      </c>
      <c r="V22" t="str">
        <f>Migrationsartikel!J20</f>
        <v>Pain mi-blanc</v>
      </c>
      <c r="W22" t="str">
        <f>Migrationsartikel!N20</f>
        <v>Pane semibianco</v>
      </c>
      <c r="X22" t="str">
        <f>Migrationsartikel!G20</f>
        <v>aus der Region</v>
      </c>
      <c r="Y22" t="str">
        <f>Migrationsartikel!K20</f>
        <v>de la région</v>
      </c>
      <c r="Z22" t="str">
        <f>Migrationsartikel!O20</f>
        <v>della regione</v>
      </c>
      <c r="AA22" s="31" t="str">
        <f>Migrationsartikel!H20</f>
        <v>1kg</v>
      </c>
      <c r="AB22" s="31" t="str">
        <f>Migrationsartikel!L20</f>
        <v>1kg</v>
      </c>
      <c r="AC22" s="31" t="str">
        <f>Migrationsartikel!P20</f>
        <v>1kg</v>
      </c>
      <c r="AD22" t="str">
        <f>Migrationsartikel!I20</f>
        <v>Halbweissbrot 1kg</v>
      </c>
      <c r="AE22" t="str">
        <f>Migrationsartikel!M20</f>
        <v>Pain mi-blanc 1kg</v>
      </c>
      <c r="AF22" t="str">
        <f>Migrationsartikel!Q20</f>
        <v>Pane semibianco 1kg</v>
      </c>
      <c r="AG22" s="45">
        <f>Migrationsartikel!R20</f>
        <v>1</v>
      </c>
      <c r="AH22" s="46" t="str">
        <f>Migrationsartikel!T20</f>
        <v>Gramm</v>
      </c>
      <c r="AI22" s="46" t="str">
        <f t="shared" si="0"/>
        <v>Gramm</v>
      </c>
      <c r="AJ22" s="46" t="s">
        <v>176</v>
      </c>
      <c r="AK22">
        <f>Migrationsartikel!S20</f>
        <v>100</v>
      </c>
      <c r="AL22">
        <f>Migrationsartikel!S20</f>
        <v>100</v>
      </c>
      <c r="AM22">
        <f>Migrationsartikel!S20</f>
        <v>100</v>
      </c>
      <c r="AN22" t="str">
        <f>Migrationsartikel!U20</f>
        <v>(PCE) Stück</v>
      </c>
      <c r="AO22" t="str">
        <f t="shared" si="1"/>
        <v>(PCE) Pièce</v>
      </c>
      <c r="AP22" t="str">
        <f t="shared" si="2"/>
        <v>(PCE) Pièce</v>
      </c>
      <c r="AQ22" s="31" t="s">
        <v>195</v>
      </c>
      <c r="AR22" s="47"/>
      <c r="AS22" s="47"/>
      <c r="AT22" s="31" t="s">
        <v>208</v>
      </c>
      <c r="AU22" s="47"/>
      <c r="AV22" s="47"/>
      <c r="AW22" t="str">
        <f>IF(Migrationsartikel!AB20="ja","true",FALSE)</f>
        <v>true</v>
      </c>
      <c r="AX22" t="str">
        <f>IF(Migrationsartikel!AC20="ja","true",FALSE)</f>
        <v>true</v>
      </c>
      <c r="AY22" t="str">
        <f>IF(Migrationsartikel!AD20="ja","true",FALSE)</f>
        <v>true</v>
      </c>
      <c r="AZ22" t="str">
        <f>IF(Migrationsartikel!AE20="ja","true",FALSE)</f>
        <v>true</v>
      </c>
      <c r="BA22" t="str">
        <f>IF(Migrationsartikel!AF20="ja","Denner Partner","")</f>
        <v/>
      </c>
      <c r="BB22" t="str">
        <f>IF(Migrationsartikel!AG20="ja","true","false")</f>
        <v>false</v>
      </c>
      <c r="BC22" t="s">
        <v>1923</v>
      </c>
      <c r="BD22" s="31" t="s">
        <v>235</v>
      </c>
      <c r="BE22" s="31" t="s">
        <v>233</v>
      </c>
    </row>
    <row r="23" spans="2:57" ht="21.75" customHeight="1" x14ac:dyDescent="0.45">
      <c r="B23" t="s">
        <v>115</v>
      </c>
      <c r="E23" s="31" t="s">
        <v>1449</v>
      </c>
      <c r="F23" t="str">
        <f>"Warengruppe&gt;&gt;"&amp;Migrationsartikel!V21&amp;"&gt;&gt;"&amp;Migrationsartikel!W21&amp;"&gt;&gt;"&amp;Migrationsartikel!X21</f>
        <v>Warengruppe&gt;&gt;Backwaren &amp; Convenience&gt;&gt;Brot und Backwaren&gt;&gt;Backwaren andere</v>
      </c>
      <c r="J23" s="31" t="s">
        <v>125</v>
      </c>
      <c r="M23" s="31" t="s">
        <v>137</v>
      </c>
      <c r="P23" s="31">
        <f>Migrationsartikel!B21</f>
        <v>719</v>
      </c>
      <c r="R23" t="str">
        <f>Migrationsartikel!F21&amp;" "&amp;Migrationsartikel!G21&amp;" "&amp;Migrationsartikel!H21</f>
        <v>Halbweissbrot  aus der Region 250g</v>
      </c>
      <c r="S23" t="str">
        <f>Migrationsartikel!J21&amp;" "&amp;Migrationsartikel!K21&amp;" "&amp;Migrationsartikel!L21</f>
        <v>Pain mi-blanc de la région 250g</v>
      </c>
      <c r="T23" t="str">
        <f>Migrationsartikel!N21&amp;" "&amp;Migrationsartikel!O21&amp;" "&amp;Migrationsartikel!P21</f>
        <v>Pane semibianco della regione 250g</v>
      </c>
      <c r="U23" t="str">
        <f>Migrationsartikel!F21</f>
        <v xml:space="preserve">Halbweissbrot </v>
      </c>
      <c r="V23" t="str">
        <f>Migrationsartikel!J21</f>
        <v>Pain mi-blanc</v>
      </c>
      <c r="W23" t="str">
        <f>Migrationsartikel!N21</f>
        <v>Pane semibianco</v>
      </c>
      <c r="X23" t="str">
        <f>Migrationsartikel!G21</f>
        <v>aus der Region</v>
      </c>
      <c r="Y23" t="str">
        <f>Migrationsartikel!K21</f>
        <v>de la région</v>
      </c>
      <c r="Z23" t="str">
        <f>Migrationsartikel!O21</f>
        <v>della regione</v>
      </c>
      <c r="AA23" s="31" t="str">
        <f>Migrationsartikel!H21</f>
        <v>250g</v>
      </c>
      <c r="AB23" s="31" t="str">
        <f>Migrationsartikel!L21</f>
        <v>250g</v>
      </c>
      <c r="AC23" s="31" t="str">
        <f>Migrationsartikel!P21</f>
        <v>250g</v>
      </c>
      <c r="AD23" t="str">
        <f>Migrationsartikel!I21</f>
        <v>Halbweissbrot 250g</v>
      </c>
      <c r="AE23" t="str">
        <f>Migrationsartikel!M21</f>
        <v>Pain mi-blanc 250g</v>
      </c>
      <c r="AF23" t="str">
        <f>Migrationsartikel!Q21</f>
        <v>Pane semibianco 250g</v>
      </c>
      <c r="AG23" s="45">
        <f>Migrationsartikel!R21</f>
        <v>0.25</v>
      </c>
      <c r="AH23" s="46" t="str">
        <f>Migrationsartikel!T21</f>
        <v>Gramm</v>
      </c>
      <c r="AI23" s="46" t="str">
        <f t="shared" si="0"/>
        <v>Gramm</v>
      </c>
      <c r="AJ23" s="46" t="s">
        <v>176</v>
      </c>
      <c r="AK23">
        <f>Migrationsartikel!S21</f>
        <v>100</v>
      </c>
      <c r="AL23">
        <f>Migrationsartikel!S21</f>
        <v>100</v>
      </c>
      <c r="AM23">
        <f>Migrationsartikel!S21</f>
        <v>100</v>
      </c>
      <c r="AN23" t="str">
        <f>Migrationsartikel!U21</f>
        <v>(PCE) Stück</v>
      </c>
      <c r="AO23" t="str">
        <f t="shared" si="1"/>
        <v>(PCE) Pièce</v>
      </c>
      <c r="AP23" t="str">
        <f t="shared" si="2"/>
        <v>(PCE) Pièce</v>
      </c>
      <c r="AQ23" s="31" t="s">
        <v>195</v>
      </c>
      <c r="AR23" s="47"/>
      <c r="AS23" s="47"/>
      <c r="AT23" s="31" t="s">
        <v>208</v>
      </c>
      <c r="AU23" s="47"/>
      <c r="AV23" s="47"/>
      <c r="AW23" t="str">
        <f>IF(Migrationsartikel!AB21="ja","true",FALSE)</f>
        <v>true</v>
      </c>
      <c r="AX23" t="str">
        <f>IF(Migrationsartikel!AC21="ja","true",FALSE)</f>
        <v>true</v>
      </c>
      <c r="AY23" t="str">
        <f>IF(Migrationsartikel!AD21="ja","true",FALSE)</f>
        <v>true</v>
      </c>
      <c r="AZ23" t="str">
        <f>IF(Migrationsartikel!AE21="ja","true",FALSE)</f>
        <v>true</v>
      </c>
      <c r="BA23" t="str">
        <f>IF(Migrationsartikel!AF21="ja","Denner Partner","")</f>
        <v/>
      </c>
      <c r="BB23" t="str">
        <f>IF(Migrationsartikel!AG21="ja","true","false")</f>
        <v>false</v>
      </c>
      <c r="BC23" t="s">
        <v>1923</v>
      </c>
      <c r="BD23" s="31" t="s">
        <v>235</v>
      </c>
      <c r="BE23" s="31" t="s">
        <v>233</v>
      </c>
    </row>
    <row r="24" spans="2:57" ht="21.75" customHeight="1" x14ac:dyDescent="0.45">
      <c r="B24" t="s">
        <v>115</v>
      </c>
      <c r="E24" s="31" t="s">
        <v>1450</v>
      </c>
      <c r="F24" t="str">
        <f>"Warengruppe&gt;&gt;"&amp;Migrationsartikel!V22&amp;"&gt;&gt;"&amp;Migrationsartikel!W22&amp;"&gt;&gt;"&amp;Migrationsartikel!X22</f>
        <v>Warengruppe&gt;&gt;Backwaren &amp; Convenience&gt;&gt;Brot und Backwaren&gt;&gt;Backwaren andere</v>
      </c>
      <c r="J24" s="31" t="s">
        <v>125</v>
      </c>
      <c r="M24" s="31" t="s">
        <v>137</v>
      </c>
      <c r="P24" s="31">
        <f>Migrationsartikel!B22</f>
        <v>720</v>
      </c>
      <c r="R24" t="str">
        <f>Migrationsartikel!F22&amp;" "&amp;Migrationsartikel!G22&amp;" "&amp;Migrationsartikel!H22</f>
        <v>Laugenbrötli  aus der Region 1Stk</v>
      </c>
      <c r="S24" t="str">
        <f>Migrationsartikel!J22&amp;" "&amp;Migrationsartikel!K22&amp;" "&amp;Migrationsartikel!L22</f>
        <v>Petits pains sils  de la région 1pce</v>
      </c>
      <c r="T24" t="str">
        <f>Migrationsartikel!N22&amp;" "&amp;Migrationsartikel!O22&amp;" "&amp;Migrationsartikel!P22</f>
        <v>Panino di sils  della regione 1pz</v>
      </c>
      <c r="U24" t="str">
        <f>Migrationsartikel!F22</f>
        <v xml:space="preserve">Laugenbrötli </v>
      </c>
      <c r="V24" t="str">
        <f>Migrationsartikel!J22</f>
        <v xml:space="preserve">Petits pains sils </v>
      </c>
      <c r="W24" t="str">
        <f>Migrationsartikel!N22</f>
        <v xml:space="preserve">Panino di sils </v>
      </c>
      <c r="X24" t="str">
        <f>Migrationsartikel!G22</f>
        <v>aus der Region</v>
      </c>
      <c r="Y24" t="str">
        <f>Migrationsartikel!K22</f>
        <v>de la région</v>
      </c>
      <c r="Z24" t="str">
        <f>Migrationsartikel!O22</f>
        <v>della regione</v>
      </c>
      <c r="AA24" s="31" t="str">
        <f>Migrationsartikel!H22</f>
        <v>1Stk</v>
      </c>
      <c r="AB24" s="31" t="str">
        <f>Migrationsartikel!L22</f>
        <v>1pce</v>
      </c>
      <c r="AC24" s="31" t="str">
        <f>Migrationsartikel!P22</f>
        <v>1pz</v>
      </c>
      <c r="AD24" t="str">
        <f>Migrationsartikel!I22</f>
        <v xml:space="preserve">Laugenbrötli </v>
      </c>
      <c r="AE24" t="str">
        <f>Migrationsartikel!M22</f>
        <v xml:space="preserve">Petits pains sils </v>
      </c>
      <c r="AF24" t="str">
        <f>Migrationsartikel!Q22</f>
        <v xml:space="preserve">Panino di sils </v>
      </c>
      <c r="AG24" s="45">
        <f>Migrationsartikel!R22</f>
        <v>1</v>
      </c>
      <c r="AH24" s="46" t="str">
        <f>Migrationsartikel!T22</f>
        <v>Stück</v>
      </c>
      <c r="AI24" s="46" t="str">
        <f t="shared" si="0"/>
        <v>7</v>
      </c>
      <c r="AJ24" s="46" t="s">
        <v>176</v>
      </c>
      <c r="AK24">
        <f>Migrationsartikel!S22</f>
        <v>1</v>
      </c>
      <c r="AL24">
        <f>Migrationsartikel!S22</f>
        <v>1</v>
      </c>
      <c r="AM24">
        <f>Migrationsartikel!S22</f>
        <v>1</v>
      </c>
      <c r="AN24" t="str">
        <f>Migrationsartikel!U22</f>
        <v>(PCE) Stück</v>
      </c>
      <c r="AO24" t="str">
        <f t="shared" si="1"/>
        <v>(PCE) Pièce</v>
      </c>
      <c r="AP24" t="str">
        <f t="shared" si="2"/>
        <v>(PCE) Pièce</v>
      </c>
      <c r="AQ24" s="31" t="s">
        <v>195</v>
      </c>
      <c r="AR24" s="47"/>
      <c r="AS24" s="47"/>
      <c r="AT24" s="31" t="s">
        <v>208</v>
      </c>
      <c r="AU24" s="47"/>
      <c r="AV24" s="47"/>
      <c r="AW24" t="str">
        <f>IF(Migrationsartikel!AB22="ja","true",FALSE)</f>
        <v>true</v>
      </c>
      <c r="AX24" t="str">
        <f>IF(Migrationsartikel!AC22="ja","true",FALSE)</f>
        <v>true</v>
      </c>
      <c r="AY24" t="str">
        <f>IF(Migrationsartikel!AD22="ja","true",FALSE)</f>
        <v>true</v>
      </c>
      <c r="AZ24" t="str">
        <f>IF(Migrationsartikel!AE22="ja","true",FALSE)</f>
        <v>true</v>
      </c>
      <c r="BA24" t="str">
        <f>IF(Migrationsartikel!AF22="ja","Denner Partner","")</f>
        <v/>
      </c>
      <c r="BB24" t="str">
        <f>IF(Migrationsartikel!AG22="ja","true","false")</f>
        <v>false</v>
      </c>
      <c r="BC24" t="s">
        <v>1923</v>
      </c>
      <c r="BD24" s="31" t="s">
        <v>235</v>
      </c>
      <c r="BE24" s="31" t="s">
        <v>233</v>
      </c>
    </row>
    <row r="25" spans="2:57" ht="21.75" customHeight="1" x14ac:dyDescent="0.45">
      <c r="B25" t="s">
        <v>115</v>
      </c>
      <c r="E25" s="31" t="s">
        <v>1451</v>
      </c>
      <c r="F25" t="str">
        <f>"Warengruppe&gt;&gt;"&amp;Migrationsartikel!V23&amp;"&gt;&gt;"&amp;Migrationsartikel!W23&amp;"&gt;&gt;"&amp;Migrationsartikel!X23</f>
        <v>Warengruppe&gt;&gt;Backwaren &amp; Convenience&gt;&gt;Brot und Backwaren&gt;&gt;Backwaren andere</v>
      </c>
      <c r="J25" s="31" t="s">
        <v>125</v>
      </c>
      <c r="M25" s="31" t="s">
        <v>137</v>
      </c>
      <c r="P25" s="31">
        <f>Migrationsartikel!B23</f>
        <v>721</v>
      </c>
      <c r="R25" t="str">
        <f>Migrationsartikel!F23&amp;" "&amp;Migrationsartikel!G23&amp;" "&amp;Migrationsartikel!H23</f>
        <v>Laugengipfel  aus der Region 1Stk</v>
      </c>
      <c r="S25" t="str">
        <f>Migrationsartikel!J23&amp;" "&amp;Migrationsartikel!K23&amp;" "&amp;Migrationsartikel!L23</f>
        <v>Croissant sils  de la région 1pce</v>
      </c>
      <c r="T25" t="str">
        <f>Migrationsartikel!N23&amp;" "&amp;Migrationsartikel!O23&amp;" "&amp;Migrationsartikel!P23</f>
        <v>Cornetto di sils della regione 1pz</v>
      </c>
      <c r="U25" t="str">
        <f>Migrationsartikel!F23</f>
        <v xml:space="preserve">Laugengipfel </v>
      </c>
      <c r="V25" t="str">
        <f>Migrationsartikel!J23</f>
        <v xml:space="preserve">Croissant sils </v>
      </c>
      <c r="W25" t="str">
        <f>Migrationsartikel!N23</f>
        <v>Cornetto di sils</v>
      </c>
      <c r="X25" t="str">
        <f>Migrationsartikel!G23</f>
        <v>aus der Region</v>
      </c>
      <c r="Y25" t="str">
        <f>Migrationsartikel!K23</f>
        <v>de la région</v>
      </c>
      <c r="Z25" t="str">
        <f>Migrationsartikel!O23</f>
        <v>della regione</v>
      </c>
      <c r="AA25" s="31" t="str">
        <f>Migrationsartikel!H23</f>
        <v>1Stk</v>
      </c>
      <c r="AB25" s="31" t="str">
        <f>Migrationsartikel!L23</f>
        <v>1pce</v>
      </c>
      <c r="AC25" s="31" t="str">
        <f>Migrationsartikel!P23</f>
        <v>1pz</v>
      </c>
      <c r="AD25" t="str">
        <f>Migrationsartikel!I23</f>
        <v xml:space="preserve">Laugengipfel </v>
      </c>
      <c r="AE25" t="str">
        <f>Migrationsartikel!M23</f>
        <v xml:space="preserve">Croissant sils </v>
      </c>
      <c r="AF25" t="str">
        <f>Migrationsartikel!Q23</f>
        <v>Cornetto di sils</v>
      </c>
      <c r="AG25" s="45">
        <f>Migrationsartikel!R23</f>
        <v>1</v>
      </c>
      <c r="AH25" s="46" t="str">
        <f>Migrationsartikel!T23</f>
        <v>Stück</v>
      </c>
      <c r="AI25" s="46" t="str">
        <f t="shared" si="0"/>
        <v>7</v>
      </c>
      <c r="AJ25" s="46" t="s">
        <v>176</v>
      </c>
      <c r="AK25">
        <f>Migrationsartikel!S23</f>
        <v>1</v>
      </c>
      <c r="AL25">
        <f>Migrationsartikel!S23</f>
        <v>1</v>
      </c>
      <c r="AM25">
        <f>Migrationsartikel!S23</f>
        <v>1</v>
      </c>
      <c r="AN25" t="str">
        <f>Migrationsartikel!U23</f>
        <v>(PCE) Stück</v>
      </c>
      <c r="AO25" t="str">
        <f t="shared" si="1"/>
        <v>(PCE) Pièce</v>
      </c>
      <c r="AP25" t="str">
        <f t="shared" si="2"/>
        <v>(PCE) Pièce</v>
      </c>
      <c r="AQ25" s="31" t="s">
        <v>195</v>
      </c>
      <c r="AR25" s="47"/>
      <c r="AS25" s="47"/>
      <c r="AT25" s="31" t="s">
        <v>208</v>
      </c>
      <c r="AU25" s="47"/>
      <c r="AV25" s="47"/>
      <c r="AW25" t="str">
        <f>IF(Migrationsartikel!AB23="ja","true",FALSE)</f>
        <v>true</v>
      </c>
      <c r="AX25" t="str">
        <f>IF(Migrationsartikel!AC23="ja","true",FALSE)</f>
        <v>true</v>
      </c>
      <c r="AY25" t="str">
        <f>IF(Migrationsartikel!AD23="ja","true",FALSE)</f>
        <v>true</v>
      </c>
      <c r="AZ25" t="str">
        <f>IF(Migrationsartikel!AE23="ja","true",FALSE)</f>
        <v>true</v>
      </c>
      <c r="BA25" t="str">
        <f>IF(Migrationsartikel!AF23="ja","Denner Partner","")</f>
        <v/>
      </c>
      <c r="BB25" t="str">
        <f>IF(Migrationsartikel!AG23="ja","true","false")</f>
        <v>false</v>
      </c>
      <c r="BC25" t="s">
        <v>1923</v>
      </c>
      <c r="BD25" s="31" t="s">
        <v>235</v>
      </c>
      <c r="BE25" s="31" t="s">
        <v>233</v>
      </c>
    </row>
    <row r="26" spans="2:57" ht="21.75" customHeight="1" x14ac:dyDescent="0.45">
      <c r="B26" t="s">
        <v>115</v>
      </c>
      <c r="E26" s="31" t="s">
        <v>1452</v>
      </c>
      <c r="F26" t="str">
        <f>"Warengruppe&gt;&gt;"&amp;Migrationsartikel!V24&amp;"&gt;&gt;"&amp;Migrationsartikel!W24&amp;"&gt;&gt;"&amp;Migrationsartikel!X24</f>
        <v>Warengruppe&gt;&gt;Backwaren &amp; Convenience&gt;&gt;Brot und Backwaren&gt;&gt;Backwaren andere</v>
      </c>
      <c r="J26" s="31" t="s">
        <v>125</v>
      </c>
      <c r="M26" s="31" t="s">
        <v>137</v>
      </c>
      <c r="P26" s="31">
        <f>Migrationsartikel!B24</f>
        <v>722</v>
      </c>
      <c r="R26" t="str">
        <f>Migrationsartikel!F24&amp;" "&amp;Migrationsartikel!G24&amp;" "&amp;Migrationsartikel!H24</f>
        <v>Mandelgipfel  aus der Region 1Stk</v>
      </c>
      <c r="S26" t="str">
        <f>Migrationsartikel!J24&amp;" "&amp;Migrationsartikel!K24&amp;" "&amp;Migrationsartikel!L24</f>
        <v>Croissant aux amandes  de la région 1pce</v>
      </c>
      <c r="T26" t="str">
        <f>Migrationsartikel!N24&amp;" "&amp;Migrationsartikel!O24&amp;" "&amp;Migrationsartikel!P24</f>
        <v>Cornetto alle mandorle della regione 1pz</v>
      </c>
      <c r="U26" t="str">
        <f>Migrationsartikel!F24</f>
        <v xml:space="preserve">Mandelgipfel </v>
      </c>
      <c r="V26" t="str">
        <f>Migrationsartikel!J24</f>
        <v xml:space="preserve">Croissant aux amandes </v>
      </c>
      <c r="W26" t="str">
        <f>Migrationsartikel!N24</f>
        <v>Cornetto alle mandorle</v>
      </c>
      <c r="X26" t="str">
        <f>Migrationsartikel!G24</f>
        <v>aus der Region</v>
      </c>
      <c r="Y26" t="str">
        <f>Migrationsartikel!K24</f>
        <v>de la région</v>
      </c>
      <c r="Z26" t="str">
        <f>Migrationsartikel!O24</f>
        <v>della regione</v>
      </c>
      <c r="AA26" s="31" t="str">
        <f>Migrationsartikel!H24</f>
        <v>1Stk</v>
      </c>
      <c r="AB26" s="31" t="str">
        <f>Migrationsartikel!L24</f>
        <v>1pce</v>
      </c>
      <c r="AC26" s="31" t="str">
        <f>Migrationsartikel!P24</f>
        <v>1pz</v>
      </c>
      <c r="AD26" t="str">
        <f>Migrationsartikel!I24</f>
        <v xml:space="preserve">Mandelgipfel </v>
      </c>
      <c r="AE26" t="str">
        <f>Migrationsartikel!M24</f>
        <v xml:space="preserve">Croissant aux amandes </v>
      </c>
      <c r="AF26" t="str">
        <f>Migrationsartikel!Q24</f>
        <v>Cornetto alle mandorle</v>
      </c>
      <c r="AG26" s="45">
        <f>Migrationsartikel!R24</f>
        <v>1</v>
      </c>
      <c r="AH26" s="46" t="str">
        <f>Migrationsartikel!T24</f>
        <v>Stück</v>
      </c>
      <c r="AI26" s="46" t="str">
        <f t="shared" si="0"/>
        <v>7</v>
      </c>
      <c r="AJ26" s="46" t="s">
        <v>176</v>
      </c>
      <c r="AK26">
        <f>Migrationsartikel!S24</f>
        <v>1</v>
      </c>
      <c r="AL26">
        <f>Migrationsartikel!S24</f>
        <v>1</v>
      </c>
      <c r="AM26">
        <f>Migrationsartikel!S24</f>
        <v>1</v>
      </c>
      <c r="AN26" t="str">
        <f>Migrationsartikel!U24</f>
        <v>(PCE) Stück</v>
      </c>
      <c r="AO26" t="str">
        <f t="shared" si="1"/>
        <v>(PCE) Pièce</v>
      </c>
      <c r="AP26" t="str">
        <f t="shared" si="2"/>
        <v>(PCE) Pièce</v>
      </c>
      <c r="AQ26" s="31" t="s">
        <v>195</v>
      </c>
      <c r="AR26" s="47"/>
      <c r="AS26" s="47"/>
      <c r="AT26" s="31" t="s">
        <v>208</v>
      </c>
      <c r="AU26" s="47"/>
      <c r="AV26" s="47"/>
      <c r="AW26" t="str">
        <f>IF(Migrationsartikel!AB24="ja","true",FALSE)</f>
        <v>true</v>
      </c>
      <c r="AX26" t="str">
        <f>IF(Migrationsartikel!AC24="ja","true",FALSE)</f>
        <v>true</v>
      </c>
      <c r="AY26" t="str">
        <f>IF(Migrationsartikel!AD24="ja","true",FALSE)</f>
        <v>true</v>
      </c>
      <c r="AZ26" t="str">
        <f>IF(Migrationsartikel!AE24="ja","true",FALSE)</f>
        <v>true</v>
      </c>
      <c r="BA26" t="str">
        <f>IF(Migrationsartikel!AF24="ja","Denner Partner","")</f>
        <v/>
      </c>
      <c r="BB26" t="str">
        <f>IF(Migrationsartikel!AG24="ja","true","false")</f>
        <v>false</v>
      </c>
      <c r="BC26" t="s">
        <v>1923</v>
      </c>
      <c r="BD26" s="31" t="s">
        <v>235</v>
      </c>
      <c r="BE26" s="31" t="s">
        <v>233</v>
      </c>
    </row>
    <row r="27" spans="2:57" ht="21.75" customHeight="1" x14ac:dyDescent="0.45">
      <c r="B27" t="s">
        <v>115</v>
      </c>
      <c r="E27" s="31" t="s">
        <v>1453</v>
      </c>
      <c r="F27" t="str">
        <f>"Warengruppe&gt;&gt;"&amp;Migrationsartikel!V25&amp;"&gt;&gt;"&amp;Migrationsartikel!W25&amp;"&gt;&gt;"&amp;Migrationsartikel!X25</f>
        <v>Warengruppe&gt;&gt;Backwaren &amp; Convenience&gt;&gt;Brot und Backwaren&gt;&gt;Backwaren andere</v>
      </c>
      <c r="J27" s="31" t="s">
        <v>125</v>
      </c>
      <c r="M27" s="31" t="s">
        <v>137</v>
      </c>
      <c r="P27" s="31">
        <f>Migrationsartikel!B25</f>
        <v>723</v>
      </c>
      <c r="R27" t="str">
        <f>Migrationsartikel!F25&amp;" "&amp;Migrationsartikel!G25&amp;" "&amp;Migrationsartikel!H25</f>
        <v>Mehrkorngipfel  aus der Region 1Stk</v>
      </c>
      <c r="S27" t="str">
        <f>Migrationsartikel!J25&amp;" "&amp;Migrationsartikel!K25&amp;" "&amp;Migrationsartikel!L25</f>
        <v>Croissant multicér. de la région 1pce</v>
      </c>
      <c r="T27" t="str">
        <f>Migrationsartikel!N25&amp;" "&amp;Migrationsartikel!O25&amp;" "&amp;Migrationsartikel!P25</f>
        <v>Cornetto ai cereali della regione 1pz</v>
      </c>
      <c r="U27" t="str">
        <f>Migrationsartikel!F25</f>
        <v xml:space="preserve">Mehrkorngipfel </v>
      </c>
      <c r="V27" t="str">
        <f>Migrationsartikel!J25</f>
        <v>Croissant multicér.</v>
      </c>
      <c r="W27" t="str">
        <f>Migrationsartikel!N25</f>
        <v>Cornetto ai cereali</v>
      </c>
      <c r="X27" t="str">
        <f>Migrationsartikel!G25</f>
        <v>aus der Region</v>
      </c>
      <c r="Y27" t="str">
        <f>Migrationsartikel!K25</f>
        <v>de la région</v>
      </c>
      <c r="Z27" t="str">
        <f>Migrationsartikel!O25</f>
        <v>della regione</v>
      </c>
      <c r="AA27" s="31" t="str">
        <f>Migrationsartikel!H25</f>
        <v>1Stk</v>
      </c>
      <c r="AB27" s="31" t="str">
        <f>Migrationsartikel!L25</f>
        <v>1pce</v>
      </c>
      <c r="AC27" s="31" t="str">
        <f>Migrationsartikel!P25</f>
        <v>1pz</v>
      </c>
      <c r="AD27" t="str">
        <f>Migrationsartikel!I25</f>
        <v xml:space="preserve">Mehrkorngipfel </v>
      </c>
      <c r="AE27" t="str">
        <f>Migrationsartikel!M25</f>
        <v>Croissant multicér.</v>
      </c>
      <c r="AF27" t="str">
        <f>Migrationsartikel!Q25</f>
        <v>Cornetto ai cereali</v>
      </c>
      <c r="AG27" s="45">
        <f>Migrationsartikel!R25</f>
        <v>1</v>
      </c>
      <c r="AH27" s="46" t="str">
        <f>Migrationsartikel!T25</f>
        <v>Stück</v>
      </c>
      <c r="AI27" s="46" t="str">
        <f t="shared" si="0"/>
        <v>7</v>
      </c>
      <c r="AJ27" s="46" t="s">
        <v>176</v>
      </c>
      <c r="AK27">
        <f>Migrationsartikel!S25</f>
        <v>1</v>
      </c>
      <c r="AL27">
        <f>Migrationsartikel!S25</f>
        <v>1</v>
      </c>
      <c r="AM27">
        <f>Migrationsartikel!S25</f>
        <v>1</v>
      </c>
      <c r="AN27" t="str">
        <f>Migrationsartikel!U25</f>
        <v>(PCE) Stück</v>
      </c>
      <c r="AO27" t="str">
        <f t="shared" si="1"/>
        <v>(PCE) Pièce</v>
      </c>
      <c r="AP27" t="str">
        <f t="shared" si="2"/>
        <v>(PCE) Pièce</v>
      </c>
      <c r="AQ27" s="31" t="s">
        <v>195</v>
      </c>
      <c r="AR27" s="47"/>
      <c r="AS27" s="47"/>
      <c r="AT27" s="31" t="s">
        <v>208</v>
      </c>
      <c r="AU27" s="47"/>
      <c r="AV27" s="47"/>
      <c r="AW27" t="str">
        <f>IF(Migrationsartikel!AB25="ja","true",FALSE)</f>
        <v>true</v>
      </c>
      <c r="AX27" t="str">
        <f>IF(Migrationsartikel!AC25="ja","true",FALSE)</f>
        <v>true</v>
      </c>
      <c r="AY27" t="str">
        <f>IF(Migrationsartikel!AD25="ja","true",FALSE)</f>
        <v>true</v>
      </c>
      <c r="AZ27" t="str">
        <f>IF(Migrationsartikel!AE25="ja","true",FALSE)</f>
        <v>true</v>
      </c>
      <c r="BA27" t="str">
        <f>IF(Migrationsartikel!AF25="ja","Denner Partner","")</f>
        <v/>
      </c>
      <c r="BB27" t="str">
        <f>IF(Migrationsartikel!AG25="ja","true","false")</f>
        <v>false</v>
      </c>
      <c r="BC27" t="s">
        <v>1923</v>
      </c>
      <c r="BD27" s="31" t="s">
        <v>235</v>
      </c>
      <c r="BE27" s="31" t="s">
        <v>233</v>
      </c>
    </row>
    <row r="28" spans="2:57" ht="21.75" customHeight="1" x14ac:dyDescent="0.45">
      <c r="B28" t="s">
        <v>115</v>
      </c>
      <c r="E28" s="31" t="s">
        <v>1454</v>
      </c>
      <c r="F28" t="str">
        <f>"Warengruppe&gt;&gt;"&amp;Migrationsartikel!V26&amp;"&gt;&gt;"&amp;Migrationsartikel!W26&amp;"&gt;&gt;"&amp;Migrationsartikel!X26</f>
        <v>Warengruppe&gt;&gt;Backwaren &amp; Convenience&gt;&gt;Brot und Backwaren&gt;&gt;Backwaren andere</v>
      </c>
      <c r="J28" s="31" t="s">
        <v>125</v>
      </c>
      <c r="M28" s="31" t="s">
        <v>137</v>
      </c>
      <c r="P28" s="31">
        <f>Migrationsartikel!B26</f>
        <v>724</v>
      </c>
      <c r="R28" t="str">
        <f>Migrationsartikel!F26&amp;" "&amp;Migrationsartikel!G26&amp;" "&amp;Migrationsartikel!H26</f>
        <v>Meringues  aus der Region 1Stk</v>
      </c>
      <c r="S28" t="str">
        <f>Migrationsartikel!J26&amp;" "&amp;Migrationsartikel!K26&amp;" "&amp;Migrationsartikel!L26</f>
        <v>Meringues régional de la région 1pce</v>
      </c>
      <c r="T28" s="31" t="str">
        <f>Migrationsartikel!N26&amp;" "&amp;Migrationsartikel!O26&amp;" "&amp;Migrationsartikel!P26</f>
        <v>Meringhe  della regione 1pz</v>
      </c>
      <c r="U28" t="str">
        <f>Migrationsartikel!F26</f>
        <v xml:space="preserve">Meringues </v>
      </c>
      <c r="V28" t="str">
        <f>Migrationsartikel!J26</f>
        <v>Meringues régional</v>
      </c>
      <c r="W28" t="str">
        <f>Migrationsartikel!N26</f>
        <v xml:space="preserve">Meringhe </v>
      </c>
      <c r="X28" t="str">
        <f>Migrationsartikel!G26</f>
        <v>aus der Region</v>
      </c>
      <c r="Y28" t="str">
        <f>Migrationsartikel!K26</f>
        <v>de la région</v>
      </c>
      <c r="Z28" t="str">
        <f>Migrationsartikel!O26</f>
        <v>della regione</v>
      </c>
      <c r="AA28" s="31" t="str">
        <f>Migrationsartikel!H26</f>
        <v>1Stk</v>
      </c>
      <c r="AB28" s="31" t="str">
        <f>Migrationsartikel!L26</f>
        <v>1pce</v>
      </c>
      <c r="AC28" s="31" t="str">
        <f>Migrationsartikel!P26</f>
        <v>1pz</v>
      </c>
      <c r="AD28" t="str">
        <f>Migrationsartikel!I26</f>
        <v xml:space="preserve">Meringues </v>
      </c>
      <c r="AE28" t="str">
        <f>Migrationsartikel!M26</f>
        <v>Meringues</v>
      </c>
      <c r="AF28" t="str">
        <f>Migrationsartikel!Q26</f>
        <v xml:space="preserve">Meringhe </v>
      </c>
      <c r="AG28" s="45">
        <f>Migrationsartikel!R26</f>
        <v>1</v>
      </c>
      <c r="AH28" s="46" t="str">
        <f>Migrationsartikel!T26</f>
        <v>Stück</v>
      </c>
      <c r="AI28" s="46" t="str">
        <f t="shared" si="0"/>
        <v>7</v>
      </c>
      <c r="AJ28" s="46" t="s">
        <v>176</v>
      </c>
      <c r="AK28">
        <f>Migrationsartikel!S26</f>
        <v>1</v>
      </c>
      <c r="AL28">
        <f>Migrationsartikel!S26</f>
        <v>1</v>
      </c>
      <c r="AM28">
        <f>Migrationsartikel!S26</f>
        <v>1</v>
      </c>
      <c r="AN28" t="str">
        <f>Migrationsartikel!U26</f>
        <v>(PCE) Stück</v>
      </c>
      <c r="AO28" t="str">
        <f t="shared" si="1"/>
        <v>(PCE) Pièce</v>
      </c>
      <c r="AP28" t="str">
        <f t="shared" si="2"/>
        <v>(PCE) Pièce</v>
      </c>
      <c r="AQ28" s="31" t="s">
        <v>195</v>
      </c>
      <c r="AR28" s="47"/>
      <c r="AS28" s="47"/>
      <c r="AT28" s="31" t="s">
        <v>208</v>
      </c>
      <c r="AU28" s="47"/>
      <c r="AV28" s="47"/>
      <c r="AW28" t="str">
        <f>IF(Migrationsartikel!AB26="ja","true",FALSE)</f>
        <v>true</v>
      </c>
      <c r="AX28" t="str">
        <f>IF(Migrationsartikel!AC26="ja","true",FALSE)</f>
        <v>true</v>
      </c>
      <c r="AY28" t="str">
        <f>IF(Migrationsartikel!AD26="ja","true",FALSE)</f>
        <v>true</v>
      </c>
      <c r="AZ28" t="str">
        <f>IF(Migrationsartikel!AE26="ja","true",FALSE)</f>
        <v>true</v>
      </c>
      <c r="BA28" t="str">
        <f>IF(Migrationsartikel!AF26="ja","Denner Partner","")</f>
        <v/>
      </c>
      <c r="BB28" t="str">
        <f>IF(Migrationsartikel!AG26="ja","true","false")</f>
        <v>false</v>
      </c>
      <c r="BC28" t="s">
        <v>1923</v>
      </c>
      <c r="BD28" s="31" t="s">
        <v>235</v>
      </c>
      <c r="BE28" s="31" t="s">
        <v>233</v>
      </c>
    </row>
    <row r="29" spans="2:57" ht="21.75" customHeight="1" x14ac:dyDescent="0.45">
      <c r="B29" t="s">
        <v>115</v>
      </c>
      <c r="E29" s="31" t="s">
        <v>1455</v>
      </c>
      <c r="F29" t="str">
        <f>"Warengruppe&gt;&gt;"&amp;Migrationsartikel!V27&amp;"&gt;&gt;"&amp;Migrationsartikel!W27&amp;"&gt;&gt;"&amp;Migrationsartikel!X27</f>
        <v>Warengruppe&gt;&gt;Backwaren &amp; Convenience&gt;&gt;Brot und Backwaren&gt;&gt;Backwaren andere</v>
      </c>
      <c r="J29" s="31" t="s">
        <v>125</v>
      </c>
      <c r="M29" s="31" t="s">
        <v>137</v>
      </c>
      <c r="P29" s="31">
        <f>Migrationsartikel!B27</f>
        <v>725</v>
      </c>
      <c r="R29" t="str">
        <f>Migrationsartikel!F27&amp;" "&amp;Migrationsartikel!G27&amp;" "&amp;Migrationsartikel!H27</f>
        <v>Nussgipfel  aus der Region 1Stk</v>
      </c>
      <c r="S29" t="str">
        <f>Migrationsartikel!J27&amp;" "&amp;Migrationsartikel!K27&amp;" "&amp;Migrationsartikel!L27</f>
        <v>Croissant aux noix de la région 1pce</v>
      </c>
      <c r="T29" t="str">
        <f>Migrationsartikel!N27&amp;" "&amp;Migrationsartikel!O27&amp;" "&amp;Migrationsartikel!P27</f>
        <v>Cornetto alle noci della regione 1pz</v>
      </c>
      <c r="U29" t="str">
        <f>Migrationsartikel!F27</f>
        <v xml:space="preserve">Nussgipfel </v>
      </c>
      <c r="V29" t="str">
        <f>Migrationsartikel!J27</f>
        <v>Croissant aux noix</v>
      </c>
      <c r="W29" t="str">
        <f>Migrationsartikel!N27</f>
        <v>Cornetto alle noci</v>
      </c>
      <c r="X29" t="str">
        <f>Migrationsartikel!G27</f>
        <v>aus der Region</v>
      </c>
      <c r="Y29" t="str">
        <f>Migrationsartikel!K27</f>
        <v>de la région</v>
      </c>
      <c r="Z29" t="str">
        <f>Migrationsartikel!O27</f>
        <v>della regione</v>
      </c>
      <c r="AA29" s="31" t="str">
        <f>Migrationsartikel!H27</f>
        <v>1Stk</v>
      </c>
      <c r="AB29" s="31" t="str">
        <f>Migrationsartikel!L27</f>
        <v>1pce</v>
      </c>
      <c r="AC29" s="31" t="str">
        <f>Migrationsartikel!P27</f>
        <v>1pz</v>
      </c>
      <c r="AD29" t="str">
        <f>Migrationsartikel!I27</f>
        <v xml:space="preserve">Nussgipfel </v>
      </c>
      <c r="AE29" t="str">
        <f>Migrationsartikel!M27</f>
        <v>Croissant aux noix</v>
      </c>
      <c r="AF29" t="str">
        <f>Migrationsartikel!Q27</f>
        <v>Cornetto alle noci</v>
      </c>
      <c r="AG29" s="45">
        <f>Migrationsartikel!R27</f>
        <v>1</v>
      </c>
      <c r="AH29" s="46" t="str">
        <f>Migrationsartikel!T27</f>
        <v>Stück</v>
      </c>
      <c r="AI29" s="46" t="str">
        <f t="shared" si="0"/>
        <v>7</v>
      </c>
      <c r="AJ29" s="46" t="s">
        <v>176</v>
      </c>
      <c r="AK29">
        <f>Migrationsartikel!S27</f>
        <v>1</v>
      </c>
      <c r="AL29">
        <f>Migrationsartikel!S27</f>
        <v>1</v>
      </c>
      <c r="AM29">
        <f>Migrationsartikel!S27</f>
        <v>1</v>
      </c>
      <c r="AN29" t="str">
        <f>Migrationsartikel!U27</f>
        <v>(PCE) Stück</v>
      </c>
      <c r="AO29" t="str">
        <f t="shared" si="1"/>
        <v>(PCE) Pièce</v>
      </c>
      <c r="AP29" t="str">
        <f t="shared" si="2"/>
        <v>(PCE) Pièce</v>
      </c>
      <c r="AQ29" s="31" t="s">
        <v>195</v>
      </c>
      <c r="AR29" s="47"/>
      <c r="AS29" s="47"/>
      <c r="AT29" s="31" t="s">
        <v>208</v>
      </c>
      <c r="AU29" s="47"/>
      <c r="AV29" s="47"/>
      <c r="AW29" t="str">
        <f>IF(Migrationsartikel!AB27="ja","true",FALSE)</f>
        <v>true</v>
      </c>
      <c r="AX29" t="str">
        <f>IF(Migrationsartikel!AC27="ja","true",FALSE)</f>
        <v>true</v>
      </c>
      <c r="AY29" t="str">
        <f>IF(Migrationsartikel!AD27="ja","true",FALSE)</f>
        <v>true</v>
      </c>
      <c r="AZ29" t="str">
        <f>IF(Migrationsartikel!AE27="ja","true",FALSE)</f>
        <v>true</v>
      </c>
      <c r="BA29" t="str">
        <f>IF(Migrationsartikel!AF27="ja","Denner Partner","")</f>
        <v/>
      </c>
      <c r="BB29" t="str">
        <f>IF(Migrationsartikel!AG27="ja","true","false")</f>
        <v>false</v>
      </c>
      <c r="BC29" t="s">
        <v>1923</v>
      </c>
      <c r="BD29" s="31" t="s">
        <v>235</v>
      </c>
      <c r="BE29" s="31" t="s">
        <v>233</v>
      </c>
    </row>
    <row r="30" spans="2:57" ht="21.75" customHeight="1" x14ac:dyDescent="0.45">
      <c r="B30" t="s">
        <v>115</v>
      </c>
      <c r="E30" s="31" t="s">
        <v>1456</v>
      </c>
      <c r="F30" t="str">
        <f>"Warengruppe&gt;&gt;"&amp;Migrationsartikel!V28&amp;"&gt;&gt;"&amp;Migrationsartikel!W28&amp;"&gt;&gt;"&amp;Migrationsartikel!X28</f>
        <v>Warengruppe&gt;&gt;Backwaren &amp; Convenience&gt;&gt;Brot und Backwaren&gt;&gt;Backwaren andere</v>
      </c>
      <c r="J30" s="31" t="s">
        <v>125</v>
      </c>
      <c r="M30" s="31" t="s">
        <v>137</v>
      </c>
      <c r="P30" s="31">
        <f>Migrationsartikel!B28</f>
        <v>726</v>
      </c>
      <c r="R30" t="str">
        <f>Migrationsartikel!F28&amp;" "&amp;Migrationsartikel!G28&amp;" "&amp;Migrationsartikel!H28</f>
        <v>Nuss-Stange  aus der Region 1Stk</v>
      </c>
      <c r="S30" t="str">
        <f>Migrationsartikel!J28&amp;" "&amp;Migrationsartikel!K28&amp;" "&amp;Migrationsartikel!L28</f>
        <v>Bâton aux noix de la région 1pce</v>
      </c>
      <c r="T30" t="str">
        <f>Migrationsartikel!N28&amp;" "&amp;Migrationsartikel!O28&amp;" "&amp;Migrationsartikel!P28</f>
        <v>Bastoncino alle noci della regione 1pz</v>
      </c>
      <c r="U30" t="str">
        <f>Migrationsartikel!F28</f>
        <v xml:space="preserve">Nuss-Stange </v>
      </c>
      <c r="V30" t="str">
        <f>Migrationsartikel!J28</f>
        <v>Bâton aux noix</v>
      </c>
      <c r="W30" t="str">
        <f>Migrationsartikel!N28</f>
        <v>Bastoncino alle noci</v>
      </c>
      <c r="X30" t="str">
        <f>Migrationsartikel!G28</f>
        <v>aus der Region</v>
      </c>
      <c r="Y30" t="str">
        <f>Migrationsartikel!K28</f>
        <v>de la région</v>
      </c>
      <c r="Z30" t="str">
        <f>Migrationsartikel!O28</f>
        <v>della regione</v>
      </c>
      <c r="AA30" s="31" t="str">
        <f>Migrationsartikel!H28</f>
        <v>1Stk</v>
      </c>
      <c r="AB30" s="31" t="str">
        <f>Migrationsartikel!L28</f>
        <v>1pce</v>
      </c>
      <c r="AC30" s="31" t="str">
        <f>Migrationsartikel!P28</f>
        <v>1pz</v>
      </c>
      <c r="AD30" t="str">
        <f>Migrationsartikel!I28</f>
        <v xml:space="preserve">Nuss-Stange </v>
      </c>
      <c r="AE30" t="str">
        <f>Migrationsartikel!M28</f>
        <v>Bâton aux noix</v>
      </c>
      <c r="AF30" t="str">
        <f>Migrationsartikel!Q28</f>
        <v>Bastoncino alle noci</v>
      </c>
      <c r="AG30" s="45">
        <f>Migrationsartikel!R28</f>
        <v>1</v>
      </c>
      <c r="AH30" s="46" t="str">
        <f>Migrationsartikel!T28</f>
        <v>Stück</v>
      </c>
      <c r="AI30" s="46" t="str">
        <f t="shared" si="0"/>
        <v>7</v>
      </c>
      <c r="AJ30" s="46" t="s">
        <v>176</v>
      </c>
      <c r="AK30">
        <f>Migrationsartikel!S28</f>
        <v>1</v>
      </c>
      <c r="AL30">
        <f>Migrationsartikel!S28</f>
        <v>1</v>
      </c>
      <c r="AM30">
        <f>Migrationsartikel!S28</f>
        <v>1</v>
      </c>
      <c r="AN30" t="str">
        <f>Migrationsartikel!U28</f>
        <v>(PCE) Stück</v>
      </c>
      <c r="AO30" t="str">
        <f t="shared" si="1"/>
        <v>(PCE) Pièce</v>
      </c>
      <c r="AP30" t="str">
        <f t="shared" si="2"/>
        <v>(PCE) Pièce</v>
      </c>
      <c r="AQ30" s="31" t="s">
        <v>195</v>
      </c>
      <c r="AR30" s="47"/>
      <c r="AS30" s="47"/>
      <c r="AT30" s="31" t="s">
        <v>208</v>
      </c>
      <c r="AU30" s="47"/>
      <c r="AV30" s="47"/>
      <c r="AW30" t="str">
        <f>IF(Migrationsartikel!AB28="ja","true",FALSE)</f>
        <v>true</v>
      </c>
      <c r="AX30" t="str">
        <f>IF(Migrationsartikel!AC28="ja","true",FALSE)</f>
        <v>true</v>
      </c>
      <c r="AY30" t="str">
        <f>IF(Migrationsartikel!AD28="ja","true",FALSE)</f>
        <v>true</v>
      </c>
      <c r="AZ30" t="str">
        <f>IF(Migrationsartikel!AE28="ja","true",FALSE)</f>
        <v>true</v>
      </c>
      <c r="BA30" t="str">
        <f>IF(Migrationsartikel!AF28="ja","Denner Partner","")</f>
        <v/>
      </c>
      <c r="BB30" t="str">
        <f>IF(Migrationsartikel!AG28="ja","true","false")</f>
        <v>false</v>
      </c>
      <c r="BC30" t="s">
        <v>1923</v>
      </c>
      <c r="BD30" s="31" t="s">
        <v>235</v>
      </c>
      <c r="BE30" s="31" t="s">
        <v>233</v>
      </c>
    </row>
    <row r="31" spans="2:57" ht="21.75" customHeight="1" x14ac:dyDescent="0.45">
      <c r="B31" t="s">
        <v>115</v>
      </c>
      <c r="E31" s="31" t="s">
        <v>1457</v>
      </c>
      <c r="F31" t="str">
        <f>"Warengruppe&gt;&gt;"&amp;Migrationsartikel!V29&amp;"&gt;&gt;"&amp;Migrationsartikel!W29&amp;"&gt;&gt;"&amp;Migrationsartikel!X29</f>
        <v>Warengruppe&gt;&gt;Backwaren &amp; Convenience&gt;&gt;Brot und Backwaren&gt;&gt;Backwaren andere</v>
      </c>
      <c r="J31" s="31" t="s">
        <v>125</v>
      </c>
      <c r="M31" s="31" t="s">
        <v>137</v>
      </c>
      <c r="P31" s="31">
        <f>Migrationsartikel!B29</f>
        <v>727</v>
      </c>
      <c r="R31" t="str">
        <f>Migrationsartikel!F29&amp;" "&amp;Migrationsartikel!G29&amp;" "&amp;Migrationsartikel!H29</f>
        <v>Pizza aus der Region 1Stk</v>
      </c>
      <c r="S31" t="str">
        <f>Migrationsartikel!J29&amp;" "&amp;Migrationsartikel!K29&amp;" "&amp;Migrationsartikel!L29</f>
        <v>Pizza  de la région 1pce</v>
      </c>
      <c r="T31" t="str">
        <f>Migrationsartikel!N29&amp;" "&amp;Migrationsartikel!O29&amp;" "&amp;Migrationsartikel!P29</f>
        <v>Pizza  della regione 1pz</v>
      </c>
      <c r="U31" t="str">
        <f>Migrationsartikel!F29</f>
        <v>Pizza</v>
      </c>
      <c r="V31" t="str">
        <f>Migrationsartikel!J29</f>
        <v xml:space="preserve">Pizza </v>
      </c>
      <c r="W31" t="str">
        <f>Migrationsartikel!N29</f>
        <v xml:space="preserve">Pizza </v>
      </c>
      <c r="X31" t="str">
        <f>Migrationsartikel!G29</f>
        <v>aus der Region</v>
      </c>
      <c r="Y31" t="str">
        <f>Migrationsartikel!K29</f>
        <v>de la région</v>
      </c>
      <c r="Z31" t="str">
        <f>Migrationsartikel!O29</f>
        <v>della regione</v>
      </c>
      <c r="AA31" s="31" t="str">
        <f>Migrationsartikel!H29</f>
        <v>1Stk</v>
      </c>
      <c r="AB31" s="31" t="str">
        <f>Migrationsartikel!L29</f>
        <v>1pce</v>
      </c>
      <c r="AC31" s="31" t="str">
        <f>Migrationsartikel!P29</f>
        <v>1pz</v>
      </c>
      <c r="AD31" t="str">
        <f>Migrationsartikel!I29</f>
        <v>Pizza</v>
      </c>
      <c r="AE31" t="str">
        <f>Migrationsartikel!M29</f>
        <v xml:space="preserve">Pizza </v>
      </c>
      <c r="AF31" t="str">
        <f>Migrationsartikel!Q29</f>
        <v xml:space="preserve">Pizza </v>
      </c>
      <c r="AG31" s="45">
        <f>Migrationsartikel!R29</f>
        <v>1</v>
      </c>
      <c r="AH31" s="46" t="str">
        <f>Migrationsartikel!T29</f>
        <v>Stück</v>
      </c>
      <c r="AI31" s="46" t="str">
        <f t="shared" si="0"/>
        <v>7</v>
      </c>
      <c r="AJ31" s="46" t="s">
        <v>176</v>
      </c>
      <c r="AK31">
        <f>Migrationsartikel!S29</f>
        <v>1</v>
      </c>
      <c r="AL31">
        <f>Migrationsartikel!S29</f>
        <v>1</v>
      </c>
      <c r="AM31">
        <f>Migrationsartikel!S29</f>
        <v>1</v>
      </c>
      <c r="AN31" t="str">
        <f>Migrationsartikel!U29</f>
        <v>(PCE) Stück</v>
      </c>
      <c r="AO31" t="str">
        <f t="shared" si="1"/>
        <v>(PCE) Pièce</v>
      </c>
      <c r="AP31" t="str">
        <f t="shared" si="2"/>
        <v>(PCE) Pièce</v>
      </c>
      <c r="AQ31" s="31" t="s">
        <v>195</v>
      </c>
      <c r="AR31" s="47"/>
      <c r="AS31" s="47"/>
      <c r="AT31" s="31" t="s">
        <v>208</v>
      </c>
      <c r="AU31" s="47"/>
      <c r="AV31" s="47"/>
      <c r="AW31" t="str">
        <f>IF(Migrationsartikel!AB29="ja","true",FALSE)</f>
        <v>true</v>
      </c>
      <c r="AX31" t="str">
        <f>IF(Migrationsartikel!AC29="ja","true",FALSE)</f>
        <v>true</v>
      </c>
      <c r="AY31" t="str">
        <f>IF(Migrationsartikel!AD29="ja","true",FALSE)</f>
        <v>true</v>
      </c>
      <c r="AZ31" t="str">
        <f>IF(Migrationsartikel!AE29="ja","true",FALSE)</f>
        <v>true</v>
      </c>
      <c r="BA31" t="str">
        <f>IF(Migrationsartikel!AF29="ja","Denner Partner","")</f>
        <v/>
      </c>
      <c r="BB31" t="str">
        <f>IF(Migrationsartikel!AG29="ja","true","false")</f>
        <v>false</v>
      </c>
      <c r="BC31" t="s">
        <v>1923</v>
      </c>
      <c r="BD31" s="31" t="s">
        <v>235</v>
      </c>
      <c r="BE31" s="31" t="s">
        <v>233</v>
      </c>
    </row>
    <row r="32" spans="2:57" ht="21.75" customHeight="1" x14ac:dyDescent="0.45">
      <c r="B32" t="s">
        <v>115</v>
      </c>
      <c r="E32" s="31" t="s">
        <v>1458</v>
      </c>
      <c r="F32" t="str">
        <f>"Warengruppe&gt;&gt;"&amp;Migrationsartikel!V30&amp;"&gt;&gt;"&amp;Migrationsartikel!W30&amp;"&gt;&gt;"&amp;Migrationsartikel!X30</f>
        <v>Warengruppe&gt;&gt;Backwaren &amp; Convenience&gt;&gt;Brot und Backwaren&gt;&gt;Backwaren andere</v>
      </c>
      <c r="J32" s="31" t="s">
        <v>125</v>
      </c>
      <c r="M32" s="31" t="s">
        <v>137</v>
      </c>
      <c r="P32" s="31">
        <f>Migrationsartikel!B30</f>
        <v>728</v>
      </c>
      <c r="R32" t="str">
        <f>Migrationsartikel!F30&amp;" "&amp;Migrationsartikel!G30&amp;" "&amp;Migrationsartikel!H30</f>
        <v>Ruchbrot aus der Region 1kg</v>
      </c>
      <c r="S32" t="str">
        <f>Migrationsartikel!J30&amp;" "&amp;Migrationsartikel!K30&amp;" "&amp;Migrationsartikel!L30</f>
        <v>Pain bis  de la région 1kg</v>
      </c>
      <c r="T32" t="str">
        <f>Migrationsartikel!N30&amp;" "&amp;Migrationsartikel!O30&amp;" "&amp;Migrationsartikel!P30</f>
        <v>Pane bigio  della regione 1kg</v>
      </c>
      <c r="U32" t="str">
        <f>Migrationsartikel!F30</f>
        <v>Ruchbrot</v>
      </c>
      <c r="V32" t="str">
        <f>Migrationsartikel!J30</f>
        <v xml:space="preserve">Pain bis </v>
      </c>
      <c r="W32" t="str">
        <f>Migrationsartikel!N30</f>
        <v xml:space="preserve">Pane bigio </v>
      </c>
      <c r="X32" t="str">
        <f>Migrationsartikel!G30</f>
        <v>aus der Region</v>
      </c>
      <c r="Y32" t="str">
        <f>Migrationsartikel!K30</f>
        <v>de la région</v>
      </c>
      <c r="Z32" t="str">
        <f>Migrationsartikel!O30</f>
        <v>della regione</v>
      </c>
      <c r="AA32" s="31" t="str">
        <f>Migrationsartikel!H30</f>
        <v>1kg</v>
      </c>
      <c r="AB32" s="31" t="str">
        <f>Migrationsartikel!L30</f>
        <v>1kg</v>
      </c>
      <c r="AC32" s="31" t="str">
        <f>Migrationsartikel!P30</f>
        <v>1kg</v>
      </c>
      <c r="AD32" t="str">
        <f>Migrationsartikel!I30</f>
        <v>Ruchbrot 1kg</v>
      </c>
      <c r="AE32" t="str">
        <f>Migrationsartikel!M30</f>
        <v>Pain bis 1kg</v>
      </c>
      <c r="AF32" t="str">
        <f>Migrationsartikel!Q30</f>
        <v>Pane bigio 1kg</v>
      </c>
      <c r="AG32" s="45">
        <f>Migrationsartikel!R30</f>
        <v>1</v>
      </c>
      <c r="AH32" s="46" t="str">
        <f>Migrationsartikel!T30</f>
        <v>Gramm</v>
      </c>
      <c r="AI32" s="46" t="str">
        <f t="shared" si="0"/>
        <v>Gramm</v>
      </c>
      <c r="AJ32" s="46" t="s">
        <v>176</v>
      </c>
      <c r="AK32">
        <f>Migrationsartikel!S30</f>
        <v>100</v>
      </c>
      <c r="AL32">
        <f>Migrationsartikel!S30</f>
        <v>100</v>
      </c>
      <c r="AM32">
        <f>Migrationsartikel!S30</f>
        <v>100</v>
      </c>
      <c r="AN32" t="str">
        <f>Migrationsartikel!U30</f>
        <v>(PCE) Stück</v>
      </c>
      <c r="AO32" t="str">
        <f t="shared" si="1"/>
        <v>(PCE) Pièce</v>
      </c>
      <c r="AP32" t="str">
        <f t="shared" si="2"/>
        <v>(PCE) Pièce</v>
      </c>
      <c r="AQ32" s="31" t="s">
        <v>195</v>
      </c>
      <c r="AR32" s="47"/>
      <c r="AS32" s="47"/>
      <c r="AT32" s="31" t="s">
        <v>208</v>
      </c>
      <c r="AU32" s="47"/>
      <c r="AV32" s="47"/>
      <c r="AW32" t="str">
        <f>IF(Migrationsartikel!AB30="ja","true",FALSE)</f>
        <v>true</v>
      </c>
      <c r="AX32" t="str">
        <f>IF(Migrationsartikel!AC30="ja","true",FALSE)</f>
        <v>true</v>
      </c>
      <c r="AY32" t="str">
        <f>IF(Migrationsartikel!AD30="ja","true",FALSE)</f>
        <v>true</v>
      </c>
      <c r="AZ32" t="str">
        <f>IF(Migrationsartikel!AE30="ja","true",FALSE)</f>
        <v>true</v>
      </c>
      <c r="BA32" t="str">
        <f>IF(Migrationsartikel!AF30="ja","Denner Partner","")</f>
        <v/>
      </c>
      <c r="BB32" t="str">
        <f>IF(Migrationsartikel!AG30="ja","true","false")</f>
        <v>false</v>
      </c>
      <c r="BC32" t="s">
        <v>1923</v>
      </c>
      <c r="BD32" s="31" t="s">
        <v>235</v>
      </c>
      <c r="BE32" s="31" t="s">
        <v>233</v>
      </c>
    </row>
    <row r="33" spans="2:57" ht="21.75" customHeight="1" x14ac:dyDescent="0.45">
      <c r="B33" t="s">
        <v>115</v>
      </c>
      <c r="E33" s="31" t="s">
        <v>1459</v>
      </c>
      <c r="F33" t="str">
        <f>"Warengruppe&gt;&gt;"&amp;Migrationsartikel!V31&amp;"&gt;&gt;"&amp;Migrationsartikel!W31&amp;"&gt;&gt;"&amp;Migrationsartikel!X31</f>
        <v>Warengruppe&gt;&gt;Backwaren &amp; Convenience&gt;&gt;Brot und Backwaren&gt;&gt;Backwaren andere</v>
      </c>
      <c r="J33" s="31" t="s">
        <v>125</v>
      </c>
      <c r="M33" s="31" t="s">
        <v>137</v>
      </c>
      <c r="P33" s="31">
        <f>Migrationsartikel!B31</f>
        <v>729</v>
      </c>
      <c r="R33" t="str">
        <f>Migrationsartikel!F31&amp;" "&amp;Migrationsartikel!G31&amp;" "&amp;Migrationsartikel!H31</f>
        <v>Ruchbrot aus der Region 500g</v>
      </c>
      <c r="S33" t="str">
        <f>Migrationsartikel!J31&amp;" "&amp;Migrationsartikel!K31&amp;" "&amp;Migrationsartikel!L31</f>
        <v>Pain bis  de la région 500g</v>
      </c>
      <c r="T33" t="str">
        <f>Migrationsartikel!N31&amp;" "&amp;Migrationsartikel!O31&amp;" "&amp;Migrationsartikel!P31</f>
        <v>Pane bigio della regione 500g</v>
      </c>
      <c r="U33" t="str">
        <f>Migrationsartikel!F31</f>
        <v>Ruchbrot</v>
      </c>
      <c r="V33" t="str">
        <f>Migrationsartikel!J31</f>
        <v xml:space="preserve">Pain bis </v>
      </c>
      <c r="W33" t="str">
        <f>Migrationsartikel!N31</f>
        <v>Pane bigio</v>
      </c>
      <c r="X33" t="str">
        <f>Migrationsartikel!G31</f>
        <v>aus der Region</v>
      </c>
      <c r="Y33" t="str">
        <f>Migrationsartikel!K31</f>
        <v>de la région</v>
      </c>
      <c r="Z33" t="str">
        <f>Migrationsartikel!O31</f>
        <v>della regione</v>
      </c>
      <c r="AA33" s="31" t="str">
        <f>Migrationsartikel!H31</f>
        <v>500g</v>
      </c>
      <c r="AB33" s="31" t="str">
        <f>Migrationsartikel!L31</f>
        <v>500g</v>
      </c>
      <c r="AC33" s="31" t="str">
        <f>Migrationsartikel!P31</f>
        <v>500g</v>
      </c>
      <c r="AD33" t="str">
        <f>Migrationsartikel!I31</f>
        <v>Ruchbrot 500g</v>
      </c>
      <c r="AE33" t="str">
        <f>Migrationsartikel!M31</f>
        <v>Pain bis 500g</v>
      </c>
      <c r="AF33" t="str">
        <f>Migrationsartikel!Q31</f>
        <v>Pane bigio 500g</v>
      </c>
      <c r="AG33" s="45">
        <f>Migrationsartikel!R31</f>
        <v>0.5</v>
      </c>
      <c r="AH33" s="46" t="str">
        <f>Migrationsartikel!T31</f>
        <v>Gramm</v>
      </c>
      <c r="AI33" s="46" t="str">
        <f t="shared" si="0"/>
        <v>Gramm</v>
      </c>
      <c r="AJ33" s="46" t="s">
        <v>176</v>
      </c>
      <c r="AK33">
        <f>Migrationsartikel!S31</f>
        <v>100</v>
      </c>
      <c r="AL33">
        <f>Migrationsartikel!S31</f>
        <v>100</v>
      </c>
      <c r="AM33">
        <f>Migrationsartikel!S31</f>
        <v>100</v>
      </c>
      <c r="AN33" t="str">
        <f>Migrationsartikel!U31</f>
        <v>(PCE) Stück</v>
      </c>
      <c r="AO33" t="str">
        <f t="shared" si="1"/>
        <v>(PCE) Pièce</v>
      </c>
      <c r="AP33" t="str">
        <f t="shared" si="2"/>
        <v>(PCE) Pièce</v>
      </c>
      <c r="AQ33" s="31" t="s">
        <v>195</v>
      </c>
      <c r="AR33" s="47"/>
      <c r="AS33" s="47"/>
      <c r="AT33" s="31" t="s">
        <v>208</v>
      </c>
      <c r="AU33" s="47"/>
      <c r="AV33" s="47"/>
      <c r="AW33" t="str">
        <f>IF(Migrationsartikel!AB31="ja","true",FALSE)</f>
        <v>true</v>
      </c>
      <c r="AX33" t="str">
        <f>IF(Migrationsartikel!AC31="ja","true",FALSE)</f>
        <v>true</v>
      </c>
      <c r="AY33" t="str">
        <f>IF(Migrationsartikel!AD31="ja","true",FALSE)</f>
        <v>true</v>
      </c>
      <c r="AZ33" t="str">
        <f>IF(Migrationsartikel!AE31="ja","true",FALSE)</f>
        <v>true</v>
      </c>
      <c r="BA33" t="str">
        <f>IF(Migrationsartikel!AF31="ja","Denner Partner","")</f>
        <v/>
      </c>
      <c r="BB33" t="str">
        <f>IF(Migrationsartikel!AG31="ja","true","false")</f>
        <v>false</v>
      </c>
      <c r="BC33" t="s">
        <v>1923</v>
      </c>
      <c r="BD33" s="31" t="s">
        <v>235</v>
      </c>
      <c r="BE33" s="31" t="s">
        <v>233</v>
      </c>
    </row>
    <row r="34" spans="2:57" ht="21.75" customHeight="1" x14ac:dyDescent="0.45">
      <c r="B34" t="s">
        <v>115</v>
      </c>
      <c r="E34" s="31" t="s">
        <v>1460</v>
      </c>
      <c r="F34" t="str">
        <f>"Warengruppe&gt;&gt;"&amp;Migrationsartikel!V32&amp;"&gt;&gt;"&amp;Migrationsartikel!W32&amp;"&gt;&gt;"&amp;Migrationsartikel!X32</f>
        <v>Warengruppe&gt;&gt;Backwaren &amp; Convenience&gt;&gt;Brot und Backwaren&gt;&gt;Backwaren andere</v>
      </c>
      <c r="J34" s="31" t="s">
        <v>125</v>
      </c>
      <c r="M34" s="31" t="s">
        <v>137</v>
      </c>
      <c r="P34" s="31">
        <f>Migrationsartikel!B32</f>
        <v>730</v>
      </c>
      <c r="R34" t="str">
        <f>Migrationsartikel!F32&amp;" "&amp;Migrationsartikel!G32&amp;" "&amp;Migrationsartikel!H32</f>
        <v>Ruchbrot  aus der Region 250g</v>
      </c>
      <c r="S34" t="str">
        <f>Migrationsartikel!J32&amp;" "&amp;Migrationsartikel!K32&amp;" "&amp;Migrationsartikel!L32</f>
        <v>Pain bis  de la région 250g</v>
      </c>
      <c r="T34" t="str">
        <f>Migrationsartikel!N32&amp;" "&amp;Migrationsartikel!O32&amp;" "&amp;Migrationsartikel!P32</f>
        <v>Pane bigio della regione 250g</v>
      </c>
      <c r="U34" t="str">
        <f>Migrationsartikel!F32</f>
        <v xml:space="preserve">Ruchbrot </v>
      </c>
      <c r="V34" t="str">
        <f>Migrationsartikel!J32</f>
        <v xml:space="preserve">Pain bis </v>
      </c>
      <c r="W34" t="str">
        <f>Migrationsartikel!N32</f>
        <v>Pane bigio</v>
      </c>
      <c r="X34" t="str">
        <f>Migrationsartikel!G32</f>
        <v>aus der Region</v>
      </c>
      <c r="Y34" t="str">
        <f>Migrationsartikel!K32</f>
        <v>de la région</v>
      </c>
      <c r="Z34" t="str">
        <f>Migrationsartikel!O32</f>
        <v>della regione</v>
      </c>
      <c r="AA34" s="31" t="str">
        <f>Migrationsartikel!H32</f>
        <v>250g</v>
      </c>
      <c r="AB34" s="31" t="str">
        <f>Migrationsartikel!L32</f>
        <v>250g</v>
      </c>
      <c r="AC34" s="31" t="str">
        <f>Migrationsartikel!P32</f>
        <v>250g</v>
      </c>
      <c r="AD34" t="str">
        <f>Migrationsartikel!I32</f>
        <v>Ruchbrot 250g</v>
      </c>
      <c r="AE34" t="str">
        <f>Migrationsartikel!M32</f>
        <v>Pain bis 250g</v>
      </c>
      <c r="AF34" t="str">
        <f>Migrationsartikel!Q32</f>
        <v>Pane bigio 250g</v>
      </c>
      <c r="AG34" s="45">
        <f>Migrationsartikel!R32</f>
        <v>0.25</v>
      </c>
      <c r="AH34" s="46" t="str">
        <f>Migrationsartikel!T32</f>
        <v>Gramm</v>
      </c>
      <c r="AI34" s="46" t="str">
        <f t="shared" si="0"/>
        <v>Gramm</v>
      </c>
      <c r="AJ34" s="46" t="s">
        <v>176</v>
      </c>
      <c r="AK34">
        <f>Migrationsartikel!S32</f>
        <v>100</v>
      </c>
      <c r="AL34">
        <f>Migrationsartikel!S32</f>
        <v>100</v>
      </c>
      <c r="AM34">
        <f>Migrationsartikel!S32</f>
        <v>100</v>
      </c>
      <c r="AN34" t="str">
        <f>Migrationsartikel!U32</f>
        <v>(PCE) Stück</v>
      </c>
      <c r="AO34" t="str">
        <f t="shared" si="1"/>
        <v>(PCE) Pièce</v>
      </c>
      <c r="AP34" t="str">
        <f t="shared" si="2"/>
        <v>(PCE) Pièce</v>
      </c>
      <c r="AQ34" s="31" t="s">
        <v>195</v>
      </c>
      <c r="AR34" s="47"/>
      <c r="AS34" s="47"/>
      <c r="AT34" s="31" t="s">
        <v>208</v>
      </c>
      <c r="AU34" s="47"/>
      <c r="AV34" s="47"/>
      <c r="AW34" t="str">
        <f>IF(Migrationsartikel!AB32="ja","true",FALSE)</f>
        <v>true</v>
      </c>
      <c r="AX34" t="str">
        <f>IF(Migrationsartikel!AC32="ja","true",FALSE)</f>
        <v>true</v>
      </c>
      <c r="AY34" t="str">
        <f>IF(Migrationsartikel!AD32="ja","true",FALSE)</f>
        <v>true</v>
      </c>
      <c r="AZ34" t="str">
        <f>IF(Migrationsartikel!AE32="ja","true",FALSE)</f>
        <v>true</v>
      </c>
      <c r="BA34" t="str">
        <f>IF(Migrationsartikel!AF32="ja","Denner Partner","")</f>
        <v/>
      </c>
      <c r="BB34" t="str">
        <f>IF(Migrationsartikel!AG32="ja","true","false")</f>
        <v>false</v>
      </c>
      <c r="BC34" t="s">
        <v>1923</v>
      </c>
      <c r="BD34" s="31" t="s">
        <v>235</v>
      </c>
      <c r="BE34" s="31" t="s">
        <v>233</v>
      </c>
    </row>
    <row r="35" spans="2:57" ht="21.75" customHeight="1" x14ac:dyDescent="0.45">
      <c r="B35" t="s">
        <v>115</v>
      </c>
      <c r="E35" s="31" t="s">
        <v>1461</v>
      </c>
      <c r="F35" t="str">
        <f>"Warengruppe&gt;&gt;"&amp;Migrationsartikel!V33&amp;"&gt;&gt;"&amp;Migrationsartikel!W33&amp;"&gt;&gt;"&amp;Migrationsartikel!X33</f>
        <v>Warengruppe&gt;&gt;Backwaren &amp; Convenience&gt;&gt;Brot und Backwaren&gt;&gt;Backwaren andere</v>
      </c>
      <c r="J35" s="31" t="s">
        <v>125</v>
      </c>
      <c r="M35" s="31" t="s">
        <v>137</v>
      </c>
      <c r="P35" s="31">
        <f>Migrationsartikel!B33</f>
        <v>731</v>
      </c>
      <c r="R35" t="str">
        <f>Migrationsartikel!F33&amp;" "&amp;Migrationsartikel!G33&amp;" "&amp;Migrationsartikel!H33</f>
        <v>Sandwich aus der Region 1Stk</v>
      </c>
      <c r="S35" t="str">
        <f>Migrationsartikel!J33&amp;" "&amp;Migrationsartikel!K33&amp;" "&amp;Migrationsartikel!L33</f>
        <v>Sandwich de la région 1pce</v>
      </c>
      <c r="T35" t="str">
        <f>Migrationsartikel!N33&amp;" "&amp;Migrationsartikel!O33&amp;" "&amp;Migrationsartikel!P33</f>
        <v>Panino della regione 1pz</v>
      </c>
      <c r="U35" t="str">
        <f>Migrationsartikel!F33</f>
        <v>Sandwich</v>
      </c>
      <c r="V35" t="str">
        <f>Migrationsartikel!J33</f>
        <v>Sandwich</v>
      </c>
      <c r="W35" t="str">
        <f>Migrationsartikel!N33</f>
        <v>Panino</v>
      </c>
      <c r="X35" t="str">
        <f>Migrationsartikel!G33</f>
        <v>aus der Region</v>
      </c>
      <c r="Y35" t="str">
        <f>Migrationsartikel!K33</f>
        <v>de la région</v>
      </c>
      <c r="Z35" t="str">
        <f>Migrationsartikel!O33</f>
        <v>della regione</v>
      </c>
      <c r="AA35" s="31" t="str">
        <f>Migrationsartikel!H33</f>
        <v>1Stk</v>
      </c>
      <c r="AB35" s="31" t="str">
        <f>Migrationsartikel!L33</f>
        <v>1pce</v>
      </c>
      <c r="AC35" s="31" t="str">
        <f>Migrationsartikel!P33</f>
        <v>1pz</v>
      </c>
      <c r="AD35" t="str">
        <f>Migrationsartikel!I33</f>
        <v>Sandwich</v>
      </c>
      <c r="AE35" t="str">
        <f>Migrationsartikel!M33</f>
        <v>Sandwich</v>
      </c>
      <c r="AF35" t="str">
        <f>Migrationsartikel!Q33</f>
        <v>Panino</v>
      </c>
      <c r="AG35" s="45">
        <f>Migrationsartikel!R33</f>
        <v>1</v>
      </c>
      <c r="AH35" s="46" t="str">
        <f>Migrationsartikel!T33</f>
        <v>Stück</v>
      </c>
      <c r="AI35" s="46" t="str">
        <f t="shared" si="0"/>
        <v>7</v>
      </c>
      <c r="AJ35" s="46" t="s">
        <v>176</v>
      </c>
      <c r="AK35">
        <f>Migrationsartikel!S33</f>
        <v>1</v>
      </c>
      <c r="AL35">
        <f>Migrationsartikel!S33</f>
        <v>1</v>
      </c>
      <c r="AM35">
        <f>Migrationsartikel!S33</f>
        <v>1</v>
      </c>
      <c r="AN35" t="str">
        <f>Migrationsartikel!U33</f>
        <v>(PCE) Stück</v>
      </c>
      <c r="AO35" t="str">
        <f t="shared" si="1"/>
        <v>(PCE) Pièce</v>
      </c>
      <c r="AP35" t="str">
        <f t="shared" si="2"/>
        <v>(PCE) Pièce</v>
      </c>
      <c r="AQ35" s="31" t="s">
        <v>195</v>
      </c>
      <c r="AR35" s="47"/>
      <c r="AS35" s="47"/>
      <c r="AT35" s="31" t="s">
        <v>208</v>
      </c>
      <c r="AU35" s="47"/>
      <c r="AV35" s="47"/>
      <c r="AW35" t="str">
        <f>IF(Migrationsartikel!AB33="ja","true",FALSE)</f>
        <v>true</v>
      </c>
      <c r="AX35" t="str">
        <f>IF(Migrationsartikel!AC33="ja","true",FALSE)</f>
        <v>true</v>
      </c>
      <c r="AY35" t="str">
        <f>IF(Migrationsartikel!AD33="ja","true",FALSE)</f>
        <v>true</v>
      </c>
      <c r="AZ35" t="str">
        <f>IF(Migrationsartikel!AE33="ja","true",FALSE)</f>
        <v>true</v>
      </c>
      <c r="BA35" t="str">
        <f>IF(Migrationsartikel!AF33="ja","Denner Partner","")</f>
        <v/>
      </c>
      <c r="BB35" t="str">
        <f>IF(Migrationsartikel!AG33="ja","true","false")</f>
        <v>false</v>
      </c>
      <c r="BC35" t="s">
        <v>1923</v>
      </c>
      <c r="BD35" s="31" t="s">
        <v>235</v>
      </c>
      <c r="BE35" s="31" t="s">
        <v>233</v>
      </c>
    </row>
    <row r="36" spans="2:57" ht="21.75" customHeight="1" x14ac:dyDescent="0.45">
      <c r="B36" t="s">
        <v>115</v>
      </c>
      <c r="E36" s="31" t="s">
        <v>1462</v>
      </c>
      <c r="F36" t="str">
        <f>"Warengruppe&gt;&gt;"&amp;Migrationsartikel!V34&amp;"&gt;&gt;"&amp;Migrationsartikel!W34&amp;"&gt;&gt;"&amp;Migrationsartikel!X34</f>
        <v>Warengruppe&gt;&gt;Backwaren &amp; Convenience&gt;&gt;Brot und Backwaren&gt;&gt;Backwaren andere</v>
      </c>
      <c r="J36" s="31" t="s">
        <v>125</v>
      </c>
      <c r="M36" s="31" t="s">
        <v>137</v>
      </c>
      <c r="P36" s="31">
        <f>Migrationsartikel!B34</f>
        <v>732</v>
      </c>
      <c r="R36" t="str">
        <f>Migrationsartikel!F34&amp;" "&amp;Migrationsartikel!G34&amp;" "&amp;Migrationsartikel!H34</f>
        <v>Sandwichbrötli gross aus der Region 1Stk</v>
      </c>
      <c r="S36" t="str">
        <f>Migrationsartikel!J34&amp;" "&amp;Migrationsartikel!K34&amp;" "&amp;Migrationsartikel!L34</f>
        <v>Pain sandwich grand de la région 1pce</v>
      </c>
      <c r="T36" t="str">
        <f>Migrationsartikel!N34&amp;" "&amp;Migrationsartikel!O34&amp;" "&amp;Migrationsartikel!P34</f>
        <v>Pane per panino grande della regione 1pz</v>
      </c>
      <c r="U36" t="str">
        <f>Migrationsartikel!F34</f>
        <v>Sandwichbrötli gross</v>
      </c>
      <c r="V36" t="str">
        <f>Migrationsartikel!J34</f>
        <v>Pain sandwich grand</v>
      </c>
      <c r="W36" t="str">
        <f>Migrationsartikel!N34</f>
        <v>Pane per panino grande</v>
      </c>
      <c r="X36" t="str">
        <f>Migrationsartikel!G34</f>
        <v>aus der Region</v>
      </c>
      <c r="Y36" t="str">
        <f>Migrationsartikel!K34</f>
        <v>de la région</v>
      </c>
      <c r="Z36" t="str">
        <f>Migrationsartikel!O34</f>
        <v>della regione</v>
      </c>
      <c r="AA36" s="31" t="str">
        <f>Migrationsartikel!H34</f>
        <v>1Stk</v>
      </c>
      <c r="AB36" s="31" t="str">
        <f>Migrationsartikel!L34</f>
        <v>1pce</v>
      </c>
      <c r="AC36" s="31" t="str">
        <f>Migrationsartikel!P34</f>
        <v>1pz</v>
      </c>
      <c r="AD36" t="str">
        <f>Migrationsartikel!I34</f>
        <v>Sandwichbrötli gross</v>
      </c>
      <c r="AE36" t="str">
        <f>Migrationsartikel!M34</f>
        <v>Pain sandwich grand</v>
      </c>
      <c r="AF36" t="str">
        <f>Migrationsartikel!Q34</f>
        <v>Pane per panino grande</v>
      </c>
      <c r="AG36" s="45">
        <f>Migrationsartikel!R34</f>
        <v>1</v>
      </c>
      <c r="AH36" s="46" t="str">
        <f>Migrationsartikel!T34</f>
        <v>Stück</v>
      </c>
      <c r="AI36" s="46" t="str">
        <f t="shared" si="0"/>
        <v>7</v>
      </c>
      <c r="AJ36" s="46" t="s">
        <v>176</v>
      </c>
      <c r="AK36">
        <f>Migrationsartikel!S34</f>
        <v>1</v>
      </c>
      <c r="AL36">
        <f>Migrationsartikel!S34</f>
        <v>1</v>
      </c>
      <c r="AM36">
        <f>Migrationsartikel!S34</f>
        <v>1</v>
      </c>
      <c r="AN36" t="str">
        <f>Migrationsartikel!U34</f>
        <v>(PCE) Stück</v>
      </c>
      <c r="AO36" t="str">
        <f t="shared" si="1"/>
        <v>(PCE) Pièce</v>
      </c>
      <c r="AP36" t="str">
        <f t="shared" si="2"/>
        <v>(PCE) Pièce</v>
      </c>
      <c r="AQ36" s="31" t="s">
        <v>195</v>
      </c>
      <c r="AR36" s="47"/>
      <c r="AS36" s="47"/>
      <c r="AT36" s="31" t="s">
        <v>208</v>
      </c>
      <c r="AU36" s="47"/>
      <c r="AV36" s="47"/>
      <c r="AW36" t="str">
        <f>IF(Migrationsartikel!AB34="ja","true",FALSE)</f>
        <v>true</v>
      </c>
      <c r="AX36" t="str">
        <f>IF(Migrationsartikel!AC34="ja","true",FALSE)</f>
        <v>true</v>
      </c>
      <c r="AY36" t="str">
        <f>IF(Migrationsartikel!AD34="ja","true",FALSE)</f>
        <v>true</v>
      </c>
      <c r="AZ36" t="str">
        <f>IF(Migrationsartikel!AE34="ja","true",FALSE)</f>
        <v>true</v>
      </c>
      <c r="BA36" t="str">
        <f>IF(Migrationsartikel!AF34="ja","Denner Partner","")</f>
        <v/>
      </c>
      <c r="BB36" t="str">
        <f>IF(Migrationsartikel!AG34="ja","true","false")</f>
        <v>false</v>
      </c>
      <c r="BC36" t="s">
        <v>1923</v>
      </c>
      <c r="BD36" s="31" t="s">
        <v>235</v>
      </c>
      <c r="BE36" s="31" t="s">
        <v>233</v>
      </c>
    </row>
    <row r="37" spans="2:57" ht="21.75" customHeight="1" x14ac:dyDescent="0.45">
      <c r="B37" t="s">
        <v>115</v>
      </c>
      <c r="E37" s="31" t="s">
        <v>1463</v>
      </c>
      <c r="F37" t="str">
        <f>"Warengruppe&gt;&gt;"&amp;Migrationsartikel!V35&amp;"&gt;&gt;"&amp;Migrationsartikel!W35&amp;"&gt;&gt;"&amp;Migrationsartikel!X35</f>
        <v>Warengruppe&gt;&gt;Backwaren &amp; Convenience&gt;&gt;Brot und Backwaren&gt;&gt;Backwaren andere</v>
      </c>
      <c r="J37" s="31" t="s">
        <v>125</v>
      </c>
      <c r="M37" s="31" t="s">
        <v>137</v>
      </c>
      <c r="P37" s="31">
        <f>Migrationsartikel!B35</f>
        <v>733</v>
      </c>
      <c r="R37" t="str">
        <f>Migrationsartikel!F35&amp;" "&amp;Migrationsartikel!G35&amp;" "&amp;Migrationsartikel!H35</f>
        <v>Sandwichbrötli klein aus der Region 1Stk</v>
      </c>
      <c r="S37" t="str">
        <f>Migrationsartikel!J35&amp;" "&amp;Migrationsartikel!K35&amp;" "&amp;Migrationsartikel!L35</f>
        <v>Pain sandwich petit de la région 1pce</v>
      </c>
      <c r="T37" t="str">
        <f>Migrationsartikel!N35&amp;" "&amp;Migrationsartikel!O35&amp;" "&amp;Migrationsartikel!P35</f>
        <v>Pane per panino picc. della regione 1pz</v>
      </c>
      <c r="U37" t="str">
        <f>Migrationsartikel!F35</f>
        <v>Sandwichbrötli klein</v>
      </c>
      <c r="V37" t="str">
        <f>Migrationsartikel!J35</f>
        <v>Pain sandwich petit</v>
      </c>
      <c r="W37" t="str">
        <f>Migrationsartikel!N35</f>
        <v>Pane per panino picc.</v>
      </c>
      <c r="X37" t="str">
        <f>Migrationsartikel!G35</f>
        <v>aus der Region</v>
      </c>
      <c r="Y37" t="str">
        <f>Migrationsartikel!K35</f>
        <v>de la région</v>
      </c>
      <c r="Z37" t="str">
        <f>Migrationsartikel!O35</f>
        <v>della regione</v>
      </c>
      <c r="AA37" s="31" t="str">
        <f>Migrationsartikel!H35</f>
        <v>1Stk</v>
      </c>
      <c r="AB37" s="31" t="str">
        <f>Migrationsartikel!L35</f>
        <v>1pce</v>
      </c>
      <c r="AC37" s="31" t="str">
        <f>Migrationsartikel!P35</f>
        <v>1pz</v>
      </c>
      <c r="AD37" t="str">
        <f>Migrationsartikel!I35</f>
        <v>Sandwichbrötli klein</v>
      </c>
      <c r="AE37" t="str">
        <f>Migrationsartikel!M35</f>
        <v>Pain sandwich petit</v>
      </c>
      <c r="AF37" t="str">
        <f>Migrationsartikel!Q35</f>
        <v>Pane per panino picc.</v>
      </c>
      <c r="AG37" s="45">
        <f>Migrationsartikel!R35</f>
        <v>1</v>
      </c>
      <c r="AH37" s="46" t="str">
        <f>Migrationsartikel!T35</f>
        <v>Stück</v>
      </c>
      <c r="AI37" s="46" t="str">
        <f t="shared" si="0"/>
        <v>7</v>
      </c>
      <c r="AJ37" s="46" t="s">
        <v>176</v>
      </c>
      <c r="AK37">
        <f>Migrationsartikel!S35</f>
        <v>1</v>
      </c>
      <c r="AL37">
        <f>Migrationsartikel!S35</f>
        <v>1</v>
      </c>
      <c r="AM37">
        <f>Migrationsartikel!S35</f>
        <v>1</v>
      </c>
      <c r="AN37" t="str">
        <f>Migrationsartikel!U35</f>
        <v>(PCE) Stück</v>
      </c>
      <c r="AO37" t="str">
        <f t="shared" si="1"/>
        <v>(PCE) Pièce</v>
      </c>
      <c r="AP37" t="str">
        <f t="shared" si="2"/>
        <v>(PCE) Pièce</v>
      </c>
      <c r="AQ37" s="31" t="s">
        <v>195</v>
      </c>
      <c r="AR37" s="47"/>
      <c r="AS37" s="47"/>
      <c r="AT37" s="31" t="s">
        <v>208</v>
      </c>
      <c r="AU37" s="47"/>
      <c r="AV37" s="47"/>
      <c r="AW37" t="str">
        <f>IF(Migrationsartikel!AB35="ja","true",FALSE)</f>
        <v>true</v>
      </c>
      <c r="AX37" t="str">
        <f>IF(Migrationsartikel!AC35="ja","true",FALSE)</f>
        <v>true</v>
      </c>
      <c r="AY37" t="str">
        <f>IF(Migrationsartikel!AD35="ja","true",FALSE)</f>
        <v>true</v>
      </c>
      <c r="AZ37" t="str">
        <f>IF(Migrationsartikel!AE35="ja","true",FALSE)</f>
        <v>true</v>
      </c>
      <c r="BA37" t="str">
        <f>IF(Migrationsartikel!AF35="ja","Denner Partner","")</f>
        <v/>
      </c>
      <c r="BB37" t="str">
        <f>IF(Migrationsartikel!AG35="ja","true","false")</f>
        <v>false</v>
      </c>
      <c r="BC37" t="s">
        <v>1923</v>
      </c>
      <c r="BD37" s="31" t="s">
        <v>235</v>
      </c>
      <c r="BE37" s="31" t="s">
        <v>233</v>
      </c>
    </row>
    <row r="38" spans="2:57" ht="21.75" customHeight="1" x14ac:dyDescent="0.45">
      <c r="B38" t="s">
        <v>115</v>
      </c>
      <c r="E38" s="31" t="s">
        <v>1464</v>
      </c>
      <c r="F38" t="str">
        <f>"Warengruppe&gt;&gt;"&amp;Migrationsartikel!V36&amp;"&gt;&gt;"&amp;Migrationsartikel!W36&amp;"&gt;&gt;"&amp;Migrationsartikel!X36</f>
        <v>Warengruppe&gt;&gt;Backwaren &amp; Convenience&gt;&gt;Brot und Backwaren&gt;&gt;Backwaren andere</v>
      </c>
      <c r="J38" s="31" t="s">
        <v>125</v>
      </c>
      <c r="M38" s="31" t="s">
        <v>137</v>
      </c>
      <c r="P38" s="31">
        <f>Migrationsartikel!B36</f>
        <v>734</v>
      </c>
      <c r="R38" t="str">
        <f>Migrationsartikel!F36&amp;" "&amp;Migrationsartikel!G36&amp;" "&amp;Migrationsartikel!H36</f>
        <v>Schinkengipfel aus der Region 1Stk</v>
      </c>
      <c r="S38" t="str">
        <f>Migrationsartikel!J36&amp;" "&amp;Migrationsartikel!K36&amp;" "&amp;Migrationsartikel!L36</f>
        <v>Croissant au jambon  de la région 1pce</v>
      </c>
      <c r="T38" t="str">
        <f>Migrationsartikel!N36&amp;" "&amp;Migrationsartikel!O36&amp;" "&amp;Migrationsartikel!P36</f>
        <v>Cornetto al prosciutto della regione 1pz</v>
      </c>
      <c r="U38" t="str">
        <f>Migrationsartikel!F36</f>
        <v>Schinkengipfel</v>
      </c>
      <c r="V38" t="str">
        <f>Migrationsartikel!J36</f>
        <v xml:space="preserve">Croissant au jambon </v>
      </c>
      <c r="W38" t="str">
        <f>Migrationsartikel!N36</f>
        <v>Cornetto al prosciutto</v>
      </c>
      <c r="X38" t="str">
        <f>Migrationsartikel!G36</f>
        <v>aus der Region</v>
      </c>
      <c r="Y38" t="str">
        <f>Migrationsartikel!K36</f>
        <v>de la région</v>
      </c>
      <c r="Z38" t="str">
        <f>Migrationsartikel!O36</f>
        <v>della regione</v>
      </c>
      <c r="AA38" s="31" t="str">
        <f>Migrationsartikel!H36</f>
        <v>1Stk</v>
      </c>
      <c r="AB38" s="31" t="str">
        <f>Migrationsartikel!L36</f>
        <v>1pce</v>
      </c>
      <c r="AC38" s="31" t="str">
        <f>Migrationsartikel!P36</f>
        <v>1pz</v>
      </c>
      <c r="AD38" t="str">
        <f>Migrationsartikel!I36</f>
        <v>Schinkengipfel</v>
      </c>
      <c r="AE38" t="str">
        <f>Migrationsartikel!M36</f>
        <v xml:space="preserve">Croissant au jambon </v>
      </c>
      <c r="AF38" t="str">
        <f>Migrationsartikel!Q36</f>
        <v>Cornetto al prosciutto</v>
      </c>
      <c r="AG38" s="45">
        <f>Migrationsartikel!R36</f>
        <v>1</v>
      </c>
      <c r="AH38" s="46" t="str">
        <f>Migrationsartikel!T36</f>
        <v>Stück</v>
      </c>
      <c r="AI38" s="46" t="str">
        <f t="shared" si="0"/>
        <v>7</v>
      </c>
      <c r="AJ38" s="46" t="s">
        <v>176</v>
      </c>
      <c r="AK38">
        <f>Migrationsartikel!S36</f>
        <v>1</v>
      </c>
      <c r="AL38">
        <f>Migrationsartikel!S36</f>
        <v>1</v>
      </c>
      <c r="AM38">
        <f>Migrationsartikel!S36</f>
        <v>1</v>
      </c>
      <c r="AN38" t="str">
        <f>Migrationsartikel!U36</f>
        <v>(PCE) Stück</v>
      </c>
      <c r="AO38" t="str">
        <f t="shared" si="1"/>
        <v>(PCE) Pièce</v>
      </c>
      <c r="AP38" t="str">
        <f t="shared" si="2"/>
        <v>(PCE) Pièce</v>
      </c>
      <c r="AQ38" s="31" t="s">
        <v>195</v>
      </c>
      <c r="AR38" s="47"/>
      <c r="AS38" s="47"/>
      <c r="AT38" s="31" t="s">
        <v>208</v>
      </c>
      <c r="AU38" s="47"/>
      <c r="AV38" s="47"/>
      <c r="AW38" t="str">
        <f>IF(Migrationsartikel!AB36="ja","true",FALSE)</f>
        <v>true</v>
      </c>
      <c r="AX38" t="str">
        <f>IF(Migrationsartikel!AC36="ja","true",FALSE)</f>
        <v>true</v>
      </c>
      <c r="AY38" t="str">
        <f>IF(Migrationsartikel!AD36="ja","true",FALSE)</f>
        <v>true</v>
      </c>
      <c r="AZ38" t="str">
        <f>IF(Migrationsartikel!AE36="ja","true",FALSE)</f>
        <v>true</v>
      </c>
      <c r="BA38" t="str">
        <f>IF(Migrationsartikel!AF36="ja","Denner Partner","")</f>
        <v/>
      </c>
      <c r="BB38" t="str">
        <f>IF(Migrationsartikel!AG36="ja","true","false")</f>
        <v>false</v>
      </c>
      <c r="BC38" t="s">
        <v>1923</v>
      </c>
      <c r="BD38" s="31" t="s">
        <v>235</v>
      </c>
      <c r="BE38" s="31" t="s">
        <v>233</v>
      </c>
    </row>
    <row r="39" spans="2:57" ht="21.75" customHeight="1" x14ac:dyDescent="0.45">
      <c r="B39" t="s">
        <v>115</v>
      </c>
      <c r="E39" s="31" t="s">
        <v>1465</v>
      </c>
      <c r="F39" t="str">
        <f>"Warengruppe&gt;&gt;"&amp;Migrationsartikel!V37&amp;"&gt;&gt;"&amp;Migrationsartikel!W37&amp;"&gt;&gt;"&amp;Migrationsartikel!X37</f>
        <v>Warengruppe&gt;&gt;Backwaren &amp; Convenience&gt;&gt;Brot und Backwaren&gt;&gt;Backwaren andere</v>
      </c>
      <c r="J39" s="31" t="s">
        <v>125</v>
      </c>
      <c r="M39" s="31" t="s">
        <v>137</v>
      </c>
      <c r="P39" s="31">
        <f>Migrationsartikel!B37</f>
        <v>735</v>
      </c>
      <c r="R39" t="str">
        <f>Migrationsartikel!F37&amp;" "&amp;Migrationsartikel!G37&amp;" "&amp;Migrationsartikel!H37</f>
        <v>Schoggibrötli  aus der Region 1Stk</v>
      </c>
      <c r="S39" t="str">
        <f>Migrationsartikel!J37&amp;" "&amp;Migrationsartikel!K37&amp;" "&amp;Migrationsartikel!L37</f>
        <v>Pain au chocolat  de la région 1pce</v>
      </c>
      <c r="T39" t="str">
        <f>Migrationsartikel!N37&amp;" "&amp;Migrationsartikel!O37&amp;" "&amp;Migrationsartikel!P37</f>
        <v>Panino al cioccolato  della regione 1pz</v>
      </c>
      <c r="U39" t="str">
        <f>Migrationsartikel!F37</f>
        <v xml:space="preserve">Schoggibrötli </v>
      </c>
      <c r="V39" t="str">
        <f>Migrationsartikel!J37</f>
        <v xml:space="preserve">Pain au chocolat </v>
      </c>
      <c r="W39" t="str">
        <f>Migrationsartikel!N37</f>
        <v xml:space="preserve">Panino al cioccolato </v>
      </c>
      <c r="X39" t="str">
        <f>Migrationsartikel!G37</f>
        <v>aus der Region</v>
      </c>
      <c r="Y39" t="str">
        <f>Migrationsartikel!K37</f>
        <v>de la région</v>
      </c>
      <c r="Z39" t="str">
        <f>Migrationsartikel!O37</f>
        <v>della regione</v>
      </c>
      <c r="AA39" s="31" t="str">
        <f>Migrationsartikel!H37</f>
        <v>1Stk</v>
      </c>
      <c r="AB39" s="31" t="str">
        <f>Migrationsartikel!L37</f>
        <v>1pce</v>
      </c>
      <c r="AC39" s="31" t="str">
        <f>Migrationsartikel!P37</f>
        <v>1pz</v>
      </c>
      <c r="AD39" t="str">
        <f>Migrationsartikel!I37</f>
        <v xml:space="preserve">Schoggibrötli </v>
      </c>
      <c r="AE39" t="str">
        <f>Migrationsartikel!M37</f>
        <v xml:space="preserve">Pain au chocolat </v>
      </c>
      <c r="AF39" t="str">
        <f>Migrationsartikel!Q37</f>
        <v xml:space="preserve">Panino al cioccolato </v>
      </c>
      <c r="AG39" s="45">
        <f>Migrationsartikel!R37</f>
        <v>1</v>
      </c>
      <c r="AH39" s="46" t="str">
        <f>Migrationsartikel!T37</f>
        <v>Stück</v>
      </c>
      <c r="AI39" s="46" t="str">
        <f t="shared" si="0"/>
        <v>7</v>
      </c>
      <c r="AJ39" s="46" t="s">
        <v>176</v>
      </c>
      <c r="AK39">
        <f>Migrationsartikel!S37</f>
        <v>1</v>
      </c>
      <c r="AL39">
        <f>Migrationsartikel!S37</f>
        <v>1</v>
      </c>
      <c r="AM39">
        <f>Migrationsartikel!S37</f>
        <v>1</v>
      </c>
      <c r="AN39" t="str">
        <f>Migrationsartikel!U37</f>
        <v>(PCE) Stück</v>
      </c>
      <c r="AO39" t="str">
        <f t="shared" si="1"/>
        <v>(PCE) Pièce</v>
      </c>
      <c r="AP39" t="str">
        <f t="shared" si="2"/>
        <v>(PCE) Pièce</v>
      </c>
      <c r="AQ39" s="31" t="s">
        <v>195</v>
      </c>
      <c r="AR39" s="47"/>
      <c r="AS39" s="47"/>
      <c r="AT39" s="31" t="s">
        <v>208</v>
      </c>
      <c r="AU39" s="47"/>
      <c r="AV39" s="47"/>
      <c r="AW39" t="str">
        <f>IF(Migrationsartikel!AB37="ja","true",FALSE)</f>
        <v>true</v>
      </c>
      <c r="AX39" t="str">
        <f>IF(Migrationsartikel!AC37="ja","true",FALSE)</f>
        <v>true</v>
      </c>
      <c r="AY39" t="str">
        <f>IF(Migrationsartikel!AD37="ja","true",FALSE)</f>
        <v>true</v>
      </c>
      <c r="AZ39" t="str">
        <f>IF(Migrationsartikel!AE37="ja","true",FALSE)</f>
        <v>true</v>
      </c>
      <c r="BA39" t="str">
        <f>IF(Migrationsartikel!AF37="ja","Denner Partner","")</f>
        <v/>
      </c>
      <c r="BB39" t="str">
        <f>IF(Migrationsartikel!AG37="ja","true","false")</f>
        <v>false</v>
      </c>
      <c r="BC39" t="s">
        <v>1923</v>
      </c>
      <c r="BD39" s="31" t="s">
        <v>235</v>
      </c>
      <c r="BE39" s="31" t="s">
        <v>233</v>
      </c>
    </row>
    <row r="40" spans="2:57" ht="21.75" customHeight="1" x14ac:dyDescent="0.45">
      <c r="B40" t="s">
        <v>115</v>
      </c>
      <c r="E40" s="31" t="s">
        <v>1466</v>
      </c>
      <c r="F40" t="str">
        <f>"Warengruppe&gt;&gt;"&amp;Migrationsartikel!V38&amp;"&gt;&gt;"&amp;Migrationsartikel!W38&amp;"&gt;&gt;"&amp;Migrationsartikel!X38</f>
        <v>Warengruppe&gt;&gt;Backwaren &amp; Convenience&gt;&gt;Brot und Backwaren&gt;&gt;Backwaren andere</v>
      </c>
      <c r="J40" s="31" t="s">
        <v>125</v>
      </c>
      <c r="M40" s="31" t="s">
        <v>137</v>
      </c>
      <c r="P40" s="31">
        <f>Migrationsartikel!B38</f>
        <v>736</v>
      </c>
      <c r="R40" t="str">
        <f>Migrationsartikel!F38&amp;" "&amp;Migrationsartikel!G38&amp;" "&amp;Migrationsartikel!H38</f>
        <v>Schoggigipfel  aus der Region 1Stk</v>
      </c>
      <c r="S40" t="str">
        <f>Migrationsartikel!J38&amp;" "&amp;Migrationsartikel!K38&amp;" "&amp;Migrationsartikel!L38</f>
        <v>Croissant au chocolat  de la région 1pce</v>
      </c>
      <c r="T40" t="str">
        <f>Migrationsartikel!N38&amp;" "&amp;Migrationsartikel!O38&amp;" "&amp;Migrationsartikel!P38</f>
        <v>Cornetto al cioccolato della regione 1pz</v>
      </c>
      <c r="U40" t="str">
        <f>Migrationsartikel!F38</f>
        <v xml:space="preserve">Schoggigipfel </v>
      </c>
      <c r="V40" t="str">
        <f>Migrationsartikel!J38</f>
        <v xml:space="preserve">Croissant au chocolat </v>
      </c>
      <c r="W40" t="str">
        <f>Migrationsartikel!N38</f>
        <v>Cornetto al cioccolato</v>
      </c>
      <c r="X40" t="str">
        <f>Migrationsartikel!G38</f>
        <v>aus der Region</v>
      </c>
      <c r="Y40" t="str">
        <f>Migrationsartikel!K38</f>
        <v>de la région</v>
      </c>
      <c r="Z40" t="str">
        <f>Migrationsartikel!O38</f>
        <v>della regione</v>
      </c>
      <c r="AA40" s="31" t="str">
        <f>Migrationsartikel!H38</f>
        <v>1Stk</v>
      </c>
      <c r="AB40" s="31" t="str">
        <f>Migrationsartikel!L38</f>
        <v>1pce</v>
      </c>
      <c r="AC40" s="31" t="str">
        <f>Migrationsartikel!P38</f>
        <v>1pz</v>
      </c>
      <c r="AD40" t="str">
        <f>Migrationsartikel!I38</f>
        <v xml:space="preserve">Schoggigipfel </v>
      </c>
      <c r="AE40" t="str">
        <f>Migrationsartikel!M38</f>
        <v xml:space="preserve">Croissant au chocolat </v>
      </c>
      <c r="AF40" t="str">
        <f>Migrationsartikel!Q38</f>
        <v>Cornetto al cioccolato</v>
      </c>
      <c r="AG40" s="45">
        <f>Migrationsartikel!R38</f>
        <v>1</v>
      </c>
      <c r="AH40" s="46" t="str">
        <f>Migrationsartikel!T38</f>
        <v>Stück</v>
      </c>
      <c r="AI40" s="46" t="str">
        <f t="shared" si="0"/>
        <v>7</v>
      </c>
      <c r="AJ40" s="46" t="s">
        <v>176</v>
      </c>
      <c r="AK40">
        <f>Migrationsartikel!S38</f>
        <v>1</v>
      </c>
      <c r="AL40">
        <f>Migrationsartikel!S38</f>
        <v>1</v>
      </c>
      <c r="AM40">
        <f>Migrationsartikel!S38</f>
        <v>1</v>
      </c>
      <c r="AN40" t="str">
        <f>Migrationsartikel!U38</f>
        <v>(PCE) Stück</v>
      </c>
      <c r="AO40" t="str">
        <f t="shared" si="1"/>
        <v>(PCE) Pièce</v>
      </c>
      <c r="AP40" t="str">
        <f t="shared" si="2"/>
        <v>(PCE) Pièce</v>
      </c>
      <c r="AQ40" s="31" t="s">
        <v>195</v>
      </c>
      <c r="AR40" s="47"/>
      <c r="AS40" s="47"/>
      <c r="AT40" s="31" t="s">
        <v>208</v>
      </c>
      <c r="AU40" s="47"/>
      <c r="AV40" s="47"/>
      <c r="AW40" t="str">
        <f>IF(Migrationsartikel!AB38="ja","true",FALSE)</f>
        <v>true</v>
      </c>
      <c r="AX40" t="str">
        <f>IF(Migrationsartikel!AC38="ja","true",FALSE)</f>
        <v>true</v>
      </c>
      <c r="AY40" t="str">
        <f>IF(Migrationsartikel!AD38="ja","true",FALSE)</f>
        <v>true</v>
      </c>
      <c r="AZ40" t="str">
        <f>IF(Migrationsartikel!AE38="ja","true",FALSE)</f>
        <v>true</v>
      </c>
      <c r="BA40" t="str">
        <f>IF(Migrationsartikel!AF38="ja","Denner Partner","")</f>
        <v/>
      </c>
      <c r="BB40" t="str">
        <f>IF(Migrationsartikel!AG38="ja","true","false")</f>
        <v>false</v>
      </c>
      <c r="BC40" t="s">
        <v>1923</v>
      </c>
      <c r="BD40" s="31" t="s">
        <v>235</v>
      </c>
      <c r="BE40" s="31" t="s">
        <v>233</v>
      </c>
    </row>
    <row r="41" spans="2:57" ht="21.75" customHeight="1" x14ac:dyDescent="0.45">
      <c r="B41" t="s">
        <v>115</v>
      </c>
      <c r="E41" s="31" t="s">
        <v>1467</v>
      </c>
      <c r="F41" t="str">
        <f>"Warengruppe&gt;&gt;"&amp;Migrationsartikel!V39&amp;"&gt;&gt;"&amp;Migrationsartikel!W39&amp;"&gt;&gt;"&amp;Migrationsartikel!X39</f>
        <v>Warengruppe&gt;&gt;Backwaren &amp; Convenience&gt;&gt;Brot und Backwaren&gt;&gt;Backwaren andere</v>
      </c>
      <c r="J41" s="31" t="s">
        <v>125</v>
      </c>
      <c r="M41" s="31" t="s">
        <v>137</v>
      </c>
      <c r="P41" s="31">
        <f>Migrationsartikel!B39</f>
        <v>737</v>
      </c>
      <c r="R41" t="str">
        <f>Migrationsartikel!F39&amp;" "&amp;Migrationsartikel!G39&amp;" "&amp;Migrationsartikel!H39</f>
        <v>Schraubenbrötli  aus der Region 1Stk</v>
      </c>
      <c r="S41" t="str">
        <f>Migrationsartikel!J39&amp;" "&amp;Migrationsartikel!K39&amp;" "&amp;Migrationsartikel!L39</f>
        <v>Petit pain torsadé de la région 1pce</v>
      </c>
      <c r="T41" t="str">
        <f>Migrationsartikel!N39&amp;" "&amp;Migrationsartikel!O39&amp;" "&amp;Migrationsartikel!P39</f>
        <v>Panino torciglione della regione 1pz</v>
      </c>
      <c r="U41" t="str">
        <f>Migrationsartikel!F39</f>
        <v xml:space="preserve">Schraubenbrötli </v>
      </c>
      <c r="V41" t="str">
        <f>Migrationsartikel!J39</f>
        <v>Petit pain torsadé</v>
      </c>
      <c r="W41" t="str">
        <f>Migrationsartikel!N39</f>
        <v>Panino torciglione</v>
      </c>
      <c r="X41" t="str">
        <f>Migrationsartikel!G39</f>
        <v>aus der Region</v>
      </c>
      <c r="Y41" t="str">
        <f>Migrationsartikel!K39</f>
        <v>de la région</v>
      </c>
      <c r="Z41" t="str">
        <f>Migrationsartikel!O39</f>
        <v>della regione</v>
      </c>
      <c r="AA41" s="31" t="str">
        <f>Migrationsartikel!H39</f>
        <v>1Stk</v>
      </c>
      <c r="AB41" s="31" t="str">
        <f>Migrationsartikel!L39</f>
        <v>1pce</v>
      </c>
      <c r="AC41" s="31" t="str">
        <f>Migrationsartikel!P39</f>
        <v>1pz</v>
      </c>
      <c r="AD41" t="str">
        <f>Migrationsartikel!I39</f>
        <v xml:space="preserve">Schraubenbrötli </v>
      </c>
      <c r="AE41" t="str">
        <f>Migrationsartikel!M39</f>
        <v>Petit pain torsadé</v>
      </c>
      <c r="AF41" t="str">
        <f>Migrationsartikel!Q39</f>
        <v>Panino torciglione</v>
      </c>
      <c r="AG41" s="45">
        <f>Migrationsartikel!R39</f>
        <v>1</v>
      </c>
      <c r="AH41" s="46" t="str">
        <f>Migrationsartikel!T39</f>
        <v>Stück</v>
      </c>
      <c r="AI41" s="46" t="str">
        <f t="shared" si="0"/>
        <v>7</v>
      </c>
      <c r="AJ41" s="46" t="s">
        <v>176</v>
      </c>
      <c r="AK41">
        <f>Migrationsartikel!S39</f>
        <v>1</v>
      </c>
      <c r="AL41">
        <f>Migrationsartikel!S39</f>
        <v>1</v>
      </c>
      <c r="AM41">
        <f>Migrationsartikel!S39</f>
        <v>1</v>
      </c>
      <c r="AN41" t="str">
        <f>Migrationsartikel!U39</f>
        <v>(PCE) Stück</v>
      </c>
      <c r="AO41" t="str">
        <f t="shared" si="1"/>
        <v>(PCE) Pièce</v>
      </c>
      <c r="AP41" t="str">
        <f t="shared" si="2"/>
        <v>(PCE) Pièce</v>
      </c>
      <c r="AQ41" s="31" t="s">
        <v>195</v>
      </c>
      <c r="AR41" s="47"/>
      <c r="AS41" s="47"/>
      <c r="AT41" s="31" t="s">
        <v>208</v>
      </c>
      <c r="AU41" s="47"/>
      <c r="AV41" s="47"/>
      <c r="AW41" t="str">
        <f>IF(Migrationsartikel!AB39="ja","true",FALSE)</f>
        <v>true</v>
      </c>
      <c r="AX41" t="str">
        <f>IF(Migrationsartikel!AC39="ja","true",FALSE)</f>
        <v>true</v>
      </c>
      <c r="AY41" t="str">
        <f>IF(Migrationsartikel!AD39="ja","true",FALSE)</f>
        <v>true</v>
      </c>
      <c r="AZ41" t="str">
        <f>IF(Migrationsartikel!AE39="ja","true",FALSE)</f>
        <v>true</v>
      </c>
      <c r="BA41" t="str">
        <f>IF(Migrationsartikel!AF39="ja","Denner Partner","")</f>
        <v/>
      </c>
      <c r="BB41" t="str">
        <f>IF(Migrationsartikel!AG39="ja","true","false")</f>
        <v>false</v>
      </c>
      <c r="BC41" t="s">
        <v>1923</v>
      </c>
      <c r="BD41" s="31" t="s">
        <v>235</v>
      </c>
      <c r="BE41" s="31" t="s">
        <v>233</v>
      </c>
    </row>
    <row r="42" spans="2:57" ht="21.75" customHeight="1" x14ac:dyDescent="0.45">
      <c r="B42" t="s">
        <v>115</v>
      </c>
      <c r="E42" s="31" t="s">
        <v>1468</v>
      </c>
      <c r="F42" t="str">
        <f>"Warengruppe&gt;&gt;"&amp;Migrationsartikel!V40&amp;"&gt;&gt;"&amp;Migrationsartikel!W40&amp;"&gt;&gt;"&amp;Migrationsartikel!X40</f>
        <v>Warengruppe&gt;&gt;Backwaren &amp; Convenience&gt;&gt;Brot und Backwaren&gt;&gt;Backwaren andere</v>
      </c>
      <c r="J42" s="31" t="s">
        <v>125</v>
      </c>
      <c r="M42" s="31" t="s">
        <v>137</v>
      </c>
      <c r="P42" s="31">
        <f>Migrationsartikel!B40</f>
        <v>738</v>
      </c>
      <c r="R42" t="str">
        <f>Migrationsartikel!F40&amp;" "&amp;Migrationsartikel!G40&amp;" "&amp;Migrationsartikel!H40</f>
        <v>Semmeli  aus der Region 1Stk</v>
      </c>
      <c r="S42" t="str">
        <f>Migrationsartikel!J40&amp;" "&amp;Migrationsartikel!K40&amp;" "&amp;Migrationsartikel!L40</f>
        <v>Ballon régional de la région 1pce</v>
      </c>
      <c r="T42" t="str">
        <f>Migrationsartikel!N40&amp;" "&amp;Migrationsartikel!O40&amp;" "&amp;Migrationsartikel!P40</f>
        <v>Michetta della regione 1pz</v>
      </c>
      <c r="U42" t="str">
        <f>Migrationsartikel!F40</f>
        <v xml:space="preserve">Semmeli </v>
      </c>
      <c r="V42" t="str">
        <f>Migrationsartikel!J40</f>
        <v>Ballon régional</v>
      </c>
      <c r="W42" t="str">
        <f>Migrationsartikel!N40</f>
        <v>Michetta</v>
      </c>
      <c r="X42" t="str">
        <f>Migrationsartikel!G40</f>
        <v>aus der Region</v>
      </c>
      <c r="Y42" t="str">
        <f>Migrationsartikel!K40</f>
        <v>de la région</v>
      </c>
      <c r="Z42" t="str">
        <f>Migrationsartikel!O40</f>
        <v>della regione</v>
      </c>
      <c r="AA42" s="31" t="str">
        <f>Migrationsartikel!H40</f>
        <v>1Stk</v>
      </c>
      <c r="AB42" s="31" t="str">
        <f>Migrationsartikel!L40</f>
        <v>1pce</v>
      </c>
      <c r="AC42" s="31" t="str">
        <f>Migrationsartikel!P40</f>
        <v>1pz</v>
      </c>
      <c r="AD42" t="str">
        <f>Migrationsartikel!I40</f>
        <v xml:space="preserve">Semmeli </v>
      </c>
      <c r="AE42" t="str">
        <f>Migrationsartikel!M40</f>
        <v>Ballon régional</v>
      </c>
      <c r="AF42" t="str">
        <f>Migrationsartikel!Q40</f>
        <v>Michetta</v>
      </c>
      <c r="AG42" s="45">
        <f>Migrationsartikel!R40</f>
        <v>1</v>
      </c>
      <c r="AH42" s="46" t="str">
        <f>Migrationsartikel!T40</f>
        <v>Stück</v>
      </c>
      <c r="AI42" s="46" t="str">
        <f t="shared" si="0"/>
        <v>7</v>
      </c>
      <c r="AJ42" s="46" t="s">
        <v>176</v>
      </c>
      <c r="AK42">
        <f>Migrationsartikel!S40</f>
        <v>1</v>
      </c>
      <c r="AL42">
        <f>Migrationsartikel!S40</f>
        <v>1</v>
      </c>
      <c r="AM42">
        <f>Migrationsartikel!S40</f>
        <v>1</v>
      </c>
      <c r="AN42" t="str">
        <f>Migrationsartikel!U40</f>
        <v>(PCE) Stück</v>
      </c>
      <c r="AO42" t="str">
        <f t="shared" si="1"/>
        <v>(PCE) Pièce</v>
      </c>
      <c r="AP42" t="str">
        <f t="shared" si="2"/>
        <v>(PCE) Pièce</v>
      </c>
      <c r="AQ42" s="31" t="s">
        <v>195</v>
      </c>
      <c r="AR42" s="47"/>
      <c r="AS42" s="47"/>
      <c r="AT42" s="31" t="s">
        <v>208</v>
      </c>
      <c r="AU42" s="47"/>
      <c r="AV42" s="47"/>
      <c r="AW42" t="str">
        <f>IF(Migrationsartikel!AB40="ja","true",FALSE)</f>
        <v>true</v>
      </c>
      <c r="AX42" t="str">
        <f>IF(Migrationsartikel!AC40="ja","true",FALSE)</f>
        <v>true</v>
      </c>
      <c r="AY42" t="str">
        <f>IF(Migrationsartikel!AD40="ja","true",FALSE)</f>
        <v>true</v>
      </c>
      <c r="AZ42" t="str">
        <f>IF(Migrationsartikel!AE40="ja","true",FALSE)</f>
        <v>true</v>
      </c>
      <c r="BA42" t="str">
        <f>IF(Migrationsartikel!AF40="ja","Denner Partner","")</f>
        <v/>
      </c>
      <c r="BB42" t="str">
        <f>IF(Migrationsartikel!AG40="ja","true","false")</f>
        <v>false</v>
      </c>
      <c r="BC42" t="s">
        <v>1923</v>
      </c>
      <c r="BD42" s="31" t="s">
        <v>235</v>
      </c>
      <c r="BE42" s="31" t="s">
        <v>233</v>
      </c>
    </row>
    <row r="43" spans="2:57" ht="21.75" customHeight="1" x14ac:dyDescent="0.45">
      <c r="B43" t="s">
        <v>115</v>
      </c>
      <c r="E43" s="31" t="s">
        <v>1469</v>
      </c>
      <c r="F43" t="str">
        <f>"Warengruppe&gt;&gt;"&amp;Migrationsartikel!V41&amp;"&gt;&gt;"&amp;Migrationsartikel!W41&amp;"&gt;&gt;"&amp;Migrationsartikel!X41</f>
        <v>Warengruppe&gt;&gt;Backwaren &amp; Convenience&gt;&gt;Brot und Backwaren&gt;&gt;Backwaren andere</v>
      </c>
      <c r="J43" s="31" t="s">
        <v>125</v>
      </c>
      <c r="M43" s="31" t="s">
        <v>137</v>
      </c>
      <c r="P43" s="31">
        <f>Migrationsartikel!B41</f>
        <v>739</v>
      </c>
      <c r="R43" t="str">
        <f>Migrationsartikel!F41&amp;" "&amp;Migrationsartikel!G41&amp;" "&amp;Migrationsartikel!H41</f>
        <v>St. Gallerbrot  aus der Region 250g</v>
      </c>
      <c r="S43" t="str">
        <f>Migrationsartikel!J41&amp;" "&amp;Migrationsartikel!K41&amp;" "&amp;Migrationsartikel!L41</f>
        <v>Pain St-Gall de la région 250g</v>
      </c>
      <c r="T43" t="str">
        <f>Migrationsartikel!N41&amp;" "&amp;Migrationsartikel!O41&amp;" "&amp;Migrationsartikel!P41</f>
        <v>Pane di San Gallo della regione 250g</v>
      </c>
      <c r="U43" t="str">
        <f>Migrationsartikel!F41</f>
        <v xml:space="preserve">St. Gallerbrot </v>
      </c>
      <c r="V43" t="str">
        <f>Migrationsartikel!J41</f>
        <v>Pain St-Gall</v>
      </c>
      <c r="W43" t="str">
        <f>Migrationsartikel!N41</f>
        <v>Pane di San Gallo</v>
      </c>
      <c r="X43" t="str">
        <f>Migrationsartikel!G41</f>
        <v>aus der Region</v>
      </c>
      <c r="Y43" t="str">
        <f>Migrationsartikel!K41</f>
        <v>de la région</v>
      </c>
      <c r="Z43" t="str">
        <f>Migrationsartikel!O41</f>
        <v>della regione</v>
      </c>
      <c r="AA43" s="31" t="str">
        <f>Migrationsartikel!H41</f>
        <v>250g</v>
      </c>
      <c r="AB43" s="31" t="str">
        <f>Migrationsartikel!L41</f>
        <v>250g</v>
      </c>
      <c r="AC43" s="31" t="str">
        <f>Migrationsartikel!P41</f>
        <v>250g</v>
      </c>
      <c r="AD43" t="str">
        <f>Migrationsartikel!I41</f>
        <v>St. Gallerbrot 250g</v>
      </c>
      <c r="AE43" t="str">
        <f>Migrationsartikel!M41</f>
        <v>Pain St-Gall 250g</v>
      </c>
      <c r="AF43" t="str">
        <f>Migrationsartikel!Q41</f>
        <v>Pane di San Gallo 250g</v>
      </c>
      <c r="AG43" s="45">
        <f>Migrationsartikel!R41</f>
        <v>0.25</v>
      </c>
      <c r="AH43" s="46" t="str">
        <f>Migrationsartikel!T41</f>
        <v>Gramm</v>
      </c>
      <c r="AI43" s="46" t="str">
        <f t="shared" si="0"/>
        <v>Gramm</v>
      </c>
      <c r="AJ43" s="46" t="s">
        <v>176</v>
      </c>
      <c r="AK43">
        <f>Migrationsartikel!S41</f>
        <v>1</v>
      </c>
      <c r="AL43">
        <f>Migrationsartikel!S41</f>
        <v>1</v>
      </c>
      <c r="AM43">
        <f>Migrationsartikel!S41</f>
        <v>1</v>
      </c>
      <c r="AN43" t="str">
        <f>Migrationsartikel!U41</f>
        <v>(PCE) Stück</v>
      </c>
      <c r="AO43" t="str">
        <f t="shared" si="1"/>
        <v>(PCE) Pièce</v>
      </c>
      <c r="AP43" t="str">
        <f t="shared" si="2"/>
        <v>(PCE) Pièce</v>
      </c>
      <c r="AQ43" s="31" t="s">
        <v>195</v>
      </c>
      <c r="AR43" s="47"/>
      <c r="AS43" s="47"/>
      <c r="AT43" s="31" t="s">
        <v>208</v>
      </c>
      <c r="AU43" s="47"/>
      <c r="AV43" s="47"/>
      <c r="AW43" t="str">
        <f>IF(Migrationsartikel!AB41="ja","true",FALSE)</f>
        <v>true</v>
      </c>
      <c r="AX43" t="str">
        <f>IF(Migrationsartikel!AC41="ja","true",FALSE)</f>
        <v>true</v>
      </c>
      <c r="AY43" t="str">
        <f>IF(Migrationsartikel!AD41="ja","true",FALSE)</f>
        <v>true</v>
      </c>
      <c r="AZ43" t="str">
        <f>IF(Migrationsartikel!AE41="ja","true",FALSE)</f>
        <v>true</v>
      </c>
      <c r="BA43" t="str">
        <f>IF(Migrationsartikel!AF41="ja","Denner Partner","")</f>
        <v/>
      </c>
      <c r="BB43" t="str">
        <f>IF(Migrationsartikel!AG41="ja","true","false")</f>
        <v>false</v>
      </c>
      <c r="BC43" t="s">
        <v>1923</v>
      </c>
      <c r="BD43" s="31" t="s">
        <v>235</v>
      </c>
      <c r="BE43" s="31" t="s">
        <v>233</v>
      </c>
    </row>
    <row r="44" spans="2:57" ht="21.75" customHeight="1" x14ac:dyDescent="0.45">
      <c r="B44" t="s">
        <v>115</v>
      </c>
      <c r="E44" s="31" t="s">
        <v>1470</v>
      </c>
      <c r="F44" t="str">
        <f>"Warengruppe&gt;&gt;"&amp;Migrationsartikel!V42&amp;"&gt;&gt;"&amp;Migrationsartikel!W42&amp;"&gt;&gt;"&amp;Migrationsartikel!X42</f>
        <v>Warengruppe&gt;&gt;Backwaren &amp; Convenience&gt;&gt;Brot und Backwaren&gt;&gt;Backwaren andere</v>
      </c>
      <c r="J44" s="31" t="s">
        <v>125</v>
      </c>
      <c r="M44" s="31" t="s">
        <v>137</v>
      </c>
      <c r="P44" s="31">
        <f>Migrationsartikel!B42</f>
        <v>740</v>
      </c>
      <c r="R44" t="str">
        <f>Migrationsartikel!F42&amp;" "&amp;Migrationsartikel!G42&amp;" "&amp;Migrationsartikel!H42</f>
        <v>St. Gallerbrot  aus der Region 500g</v>
      </c>
      <c r="S44" t="str">
        <f>Migrationsartikel!J42&amp;" "&amp;Migrationsartikel!K42&amp;" "&amp;Migrationsartikel!L42</f>
        <v>Pain St-Gall de la région 500g</v>
      </c>
      <c r="T44" t="str">
        <f>Migrationsartikel!N42&amp;" "&amp;Migrationsartikel!O42&amp;" "&amp;Migrationsartikel!P42</f>
        <v>Pane di San Gallo della regione 500g</v>
      </c>
      <c r="U44" t="str">
        <f>Migrationsartikel!F42</f>
        <v xml:space="preserve">St. Gallerbrot </v>
      </c>
      <c r="V44" t="str">
        <f>Migrationsartikel!J42</f>
        <v>Pain St-Gall</v>
      </c>
      <c r="W44" t="str">
        <f>Migrationsartikel!N42</f>
        <v>Pane di San Gallo</v>
      </c>
      <c r="X44" t="str">
        <f>Migrationsartikel!G42</f>
        <v>aus der Region</v>
      </c>
      <c r="Y44" t="str">
        <f>Migrationsartikel!K42</f>
        <v>de la région</v>
      </c>
      <c r="Z44" t="str">
        <f>Migrationsartikel!O42</f>
        <v>della regione</v>
      </c>
      <c r="AA44" s="31" t="str">
        <f>Migrationsartikel!H42</f>
        <v>500g</v>
      </c>
      <c r="AB44" s="31" t="str">
        <f>Migrationsartikel!L42</f>
        <v>500g</v>
      </c>
      <c r="AC44" s="31" t="str">
        <f>Migrationsartikel!P42</f>
        <v>500g</v>
      </c>
      <c r="AD44" t="str">
        <f>Migrationsartikel!I42</f>
        <v>St. Gallerbrot 500g</v>
      </c>
      <c r="AE44" t="str">
        <f>Migrationsartikel!M42</f>
        <v>Pain St-Gall 500g</v>
      </c>
      <c r="AF44" t="str">
        <f>Migrationsartikel!Q42</f>
        <v>Pane di San Gallo 500g</v>
      </c>
      <c r="AG44" s="45">
        <f>Migrationsartikel!R42</f>
        <v>0.5</v>
      </c>
      <c r="AH44" s="46" t="str">
        <f>Migrationsartikel!T42</f>
        <v>Gramm</v>
      </c>
      <c r="AI44" s="46" t="str">
        <f t="shared" si="0"/>
        <v>Gramm</v>
      </c>
      <c r="AJ44" s="46" t="s">
        <v>176</v>
      </c>
      <c r="AK44">
        <f>Migrationsartikel!S42</f>
        <v>1</v>
      </c>
      <c r="AL44">
        <f>Migrationsartikel!S42</f>
        <v>1</v>
      </c>
      <c r="AM44">
        <f>Migrationsartikel!S42</f>
        <v>1</v>
      </c>
      <c r="AN44" t="str">
        <f>Migrationsartikel!U42</f>
        <v>(PCE) Stück</v>
      </c>
      <c r="AO44" t="str">
        <f t="shared" si="1"/>
        <v>(PCE) Pièce</v>
      </c>
      <c r="AP44" t="str">
        <f t="shared" si="2"/>
        <v>(PCE) Pièce</v>
      </c>
      <c r="AQ44" s="31" t="s">
        <v>195</v>
      </c>
      <c r="AR44" s="47"/>
      <c r="AS44" s="47"/>
      <c r="AT44" s="31" t="s">
        <v>208</v>
      </c>
      <c r="AU44" s="47"/>
      <c r="AV44" s="47"/>
      <c r="AW44" t="str">
        <f>IF(Migrationsartikel!AB42="ja","true",FALSE)</f>
        <v>true</v>
      </c>
      <c r="AX44" t="str">
        <f>IF(Migrationsartikel!AC42="ja","true",FALSE)</f>
        <v>true</v>
      </c>
      <c r="AY44" t="str">
        <f>IF(Migrationsartikel!AD42="ja","true",FALSE)</f>
        <v>true</v>
      </c>
      <c r="AZ44" t="str">
        <f>IF(Migrationsartikel!AE42="ja","true",FALSE)</f>
        <v>true</v>
      </c>
      <c r="BA44" t="str">
        <f>IF(Migrationsartikel!AF42="ja","Denner Partner","")</f>
        <v/>
      </c>
      <c r="BB44" t="str">
        <f>IF(Migrationsartikel!AG42="ja","true","false")</f>
        <v>false</v>
      </c>
      <c r="BC44" t="s">
        <v>1923</v>
      </c>
      <c r="BD44" s="31" t="s">
        <v>235</v>
      </c>
      <c r="BE44" s="31" t="s">
        <v>233</v>
      </c>
    </row>
    <row r="45" spans="2:57" ht="21.75" customHeight="1" x14ac:dyDescent="0.45">
      <c r="B45" t="s">
        <v>115</v>
      </c>
      <c r="E45" s="31" t="s">
        <v>1471</v>
      </c>
      <c r="F45" t="str">
        <f>"Warengruppe&gt;&gt;"&amp;Migrationsartikel!V43&amp;"&gt;&gt;"&amp;Migrationsartikel!W43&amp;"&gt;&gt;"&amp;Migrationsartikel!X43</f>
        <v>Warengruppe&gt;&gt;Backwaren &amp; Convenience&gt;&gt;Brot und Backwaren&gt;&gt;Backwaren andere</v>
      </c>
      <c r="J45" s="31" t="s">
        <v>125</v>
      </c>
      <c r="M45" s="31" t="s">
        <v>137</v>
      </c>
      <c r="P45" s="31">
        <f>Migrationsartikel!B43</f>
        <v>741</v>
      </c>
      <c r="R45" t="str">
        <f>Migrationsartikel!F43&amp;" "&amp;Migrationsartikel!G43&amp;" "&amp;Migrationsartikel!H43</f>
        <v>Tessinerbrot  aus der Region 400g</v>
      </c>
      <c r="S45" t="str">
        <f>Migrationsartikel!J43&amp;" "&amp;Migrationsartikel!K43&amp;" "&amp;Migrationsartikel!L43</f>
        <v>Pain tessinois  de la région 400g</v>
      </c>
      <c r="T45" t="str">
        <f>Migrationsartikel!N43&amp;" "&amp;Migrationsartikel!O43&amp;" "&amp;Migrationsartikel!P43</f>
        <v>Pane ticinese della regione 400g</v>
      </c>
      <c r="U45" t="str">
        <f>Migrationsartikel!F43</f>
        <v xml:space="preserve">Tessinerbrot </v>
      </c>
      <c r="V45" t="str">
        <f>Migrationsartikel!J43</f>
        <v xml:space="preserve">Pain tessinois </v>
      </c>
      <c r="W45" t="str">
        <f>Migrationsartikel!N43</f>
        <v>Pane ticinese</v>
      </c>
      <c r="X45" t="str">
        <f>Migrationsartikel!G43</f>
        <v>aus der Region</v>
      </c>
      <c r="Y45" t="str">
        <f>Migrationsartikel!K43</f>
        <v>de la région</v>
      </c>
      <c r="Z45" t="str">
        <f>Migrationsartikel!O43</f>
        <v>della regione</v>
      </c>
      <c r="AA45" s="31" t="str">
        <f>Migrationsartikel!H43</f>
        <v>400g</v>
      </c>
      <c r="AB45" s="31" t="str">
        <f>Migrationsartikel!L43</f>
        <v>400g</v>
      </c>
      <c r="AC45" s="31" t="str">
        <f>Migrationsartikel!P43</f>
        <v>400g</v>
      </c>
      <c r="AD45" t="str">
        <f>Migrationsartikel!I43</f>
        <v>Tessinerbrot 400g</v>
      </c>
      <c r="AE45" t="str">
        <f>Migrationsartikel!M43</f>
        <v>Pain tessinois 400g</v>
      </c>
      <c r="AF45" t="str">
        <f>Migrationsartikel!Q43</f>
        <v>Pane ticinese 400g</v>
      </c>
      <c r="AG45" s="45">
        <f>Migrationsartikel!R43</f>
        <v>0.4</v>
      </c>
      <c r="AH45" s="46" t="str">
        <f>Migrationsartikel!T43</f>
        <v>Gramm</v>
      </c>
      <c r="AI45" s="46" t="str">
        <f t="shared" si="0"/>
        <v>Gramm</v>
      </c>
      <c r="AJ45" s="46" t="s">
        <v>176</v>
      </c>
      <c r="AK45">
        <f>Migrationsartikel!S43</f>
        <v>1</v>
      </c>
      <c r="AL45">
        <f>Migrationsartikel!S43</f>
        <v>1</v>
      </c>
      <c r="AM45">
        <f>Migrationsartikel!S43</f>
        <v>1</v>
      </c>
      <c r="AN45" t="str">
        <f>Migrationsartikel!U43</f>
        <v>(PCE) Stück</v>
      </c>
      <c r="AO45" t="str">
        <f t="shared" si="1"/>
        <v>(PCE) Pièce</v>
      </c>
      <c r="AP45" t="str">
        <f t="shared" si="2"/>
        <v>(PCE) Pièce</v>
      </c>
      <c r="AQ45" s="31" t="s">
        <v>195</v>
      </c>
      <c r="AR45" s="47"/>
      <c r="AS45" s="47"/>
      <c r="AT45" s="31" t="s">
        <v>208</v>
      </c>
      <c r="AU45" s="47"/>
      <c r="AV45" s="47"/>
      <c r="AW45" t="str">
        <f>IF(Migrationsartikel!AB43="ja","true",FALSE)</f>
        <v>true</v>
      </c>
      <c r="AX45" t="str">
        <f>IF(Migrationsartikel!AC43="ja","true",FALSE)</f>
        <v>true</v>
      </c>
      <c r="AY45" t="str">
        <f>IF(Migrationsartikel!AD43="ja","true",FALSE)</f>
        <v>true</v>
      </c>
      <c r="AZ45" t="str">
        <f>IF(Migrationsartikel!AE43="ja","true",FALSE)</f>
        <v>true</v>
      </c>
      <c r="BA45" t="str">
        <f>IF(Migrationsartikel!AF43="ja","Denner Partner","")</f>
        <v/>
      </c>
      <c r="BB45" t="str">
        <f>IF(Migrationsartikel!AG43="ja","true","false")</f>
        <v>false</v>
      </c>
      <c r="BC45" t="s">
        <v>1923</v>
      </c>
      <c r="BD45" s="31" t="s">
        <v>235</v>
      </c>
      <c r="BE45" s="31" t="s">
        <v>233</v>
      </c>
    </row>
    <row r="46" spans="2:57" ht="21.75" customHeight="1" x14ac:dyDescent="0.45">
      <c r="B46" t="s">
        <v>115</v>
      </c>
      <c r="E46" s="31" t="s">
        <v>1472</v>
      </c>
      <c r="F46" t="str">
        <f>"Warengruppe&gt;&gt;"&amp;Migrationsartikel!V44&amp;"&gt;&gt;"&amp;Migrationsartikel!W44&amp;"&gt;&gt;"&amp;Migrationsartikel!X44</f>
        <v>Warengruppe&gt;&gt;Backwaren &amp; Convenience&gt;&gt;Brot und Backwaren&gt;&gt;Backwaren andere</v>
      </c>
      <c r="J46" s="31" t="s">
        <v>125</v>
      </c>
      <c r="M46" s="31" t="s">
        <v>137</v>
      </c>
      <c r="P46" s="31">
        <f>Migrationsartikel!B44</f>
        <v>742</v>
      </c>
      <c r="R46" t="str">
        <f>Migrationsartikel!F44&amp;" "&amp;Migrationsartikel!G44&amp;" "&amp;Migrationsartikel!H44</f>
        <v>Vanillebrötli  aus der Region 1Stk</v>
      </c>
      <c r="S46" t="str">
        <f>Migrationsartikel!J44&amp;" "&amp;Migrationsartikel!K44&amp;" "&amp;Migrationsartikel!L44</f>
        <v>Petit pain vanille  de la région 1pce</v>
      </c>
      <c r="T46" t="str">
        <f>Migrationsartikel!N44&amp;" "&amp;Migrationsartikel!O44&amp;" "&amp;Migrationsartikel!P44</f>
        <v>Panino alla vaniglia  della regione 1pz</v>
      </c>
      <c r="U46" t="str">
        <f>Migrationsartikel!F44</f>
        <v xml:space="preserve">Vanillebrötli </v>
      </c>
      <c r="V46" t="str">
        <f>Migrationsartikel!J44</f>
        <v xml:space="preserve">Petit pain vanille </v>
      </c>
      <c r="W46" t="str">
        <f>Migrationsartikel!N44</f>
        <v xml:space="preserve">Panino alla vaniglia </v>
      </c>
      <c r="X46" t="str">
        <f>Migrationsartikel!G44</f>
        <v>aus der Region</v>
      </c>
      <c r="Y46" t="str">
        <f>Migrationsartikel!K44</f>
        <v>de la région</v>
      </c>
      <c r="Z46" t="str">
        <f>Migrationsartikel!O44</f>
        <v>della regione</v>
      </c>
      <c r="AA46" s="31" t="str">
        <f>Migrationsartikel!H44</f>
        <v>1Stk</v>
      </c>
      <c r="AB46" s="31" t="str">
        <f>Migrationsartikel!L44</f>
        <v>1pce</v>
      </c>
      <c r="AC46" s="31" t="str">
        <f>Migrationsartikel!P44</f>
        <v>1pz</v>
      </c>
      <c r="AD46" t="str">
        <f>Migrationsartikel!I44</f>
        <v xml:space="preserve">Vanillebrötli </v>
      </c>
      <c r="AE46" t="str">
        <f>Migrationsartikel!M44</f>
        <v xml:space="preserve">Petit pain vanille </v>
      </c>
      <c r="AF46" t="str">
        <f>Migrationsartikel!Q44</f>
        <v xml:space="preserve">Panino alla vaniglia </v>
      </c>
      <c r="AG46" s="45">
        <f>Migrationsartikel!R44</f>
        <v>1</v>
      </c>
      <c r="AH46" s="46" t="str">
        <f>Migrationsartikel!T44</f>
        <v>Stück</v>
      </c>
      <c r="AI46" s="46" t="str">
        <f t="shared" si="0"/>
        <v>7</v>
      </c>
      <c r="AJ46" s="46" t="s">
        <v>176</v>
      </c>
      <c r="AK46">
        <f>Migrationsartikel!S44</f>
        <v>1</v>
      </c>
      <c r="AL46">
        <f>Migrationsartikel!S44</f>
        <v>1</v>
      </c>
      <c r="AM46">
        <f>Migrationsartikel!S44</f>
        <v>1</v>
      </c>
      <c r="AN46" t="str">
        <f>Migrationsartikel!U44</f>
        <v>(PCE) Stück</v>
      </c>
      <c r="AO46" t="str">
        <f t="shared" si="1"/>
        <v>(PCE) Pièce</v>
      </c>
      <c r="AP46" t="str">
        <f t="shared" si="2"/>
        <v>(PCE) Pièce</v>
      </c>
      <c r="AQ46" s="31" t="s">
        <v>195</v>
      </c>
      <c r="AR46" s="47"/>
      <c r="AS46" s="47"/>
      <c r="AT46" s="31" t="s">
        <v>208</v>
      </c>
      <c r="AU46" s="47"/>
      <c r="AV46" s="47"/>
      <c r="AW46" t="str">
        <f>IF(Migrationsartikel!AB44="ja","true",FALSE)</f>
        <v>true</v>
      </c>
      <c r="AX46" t="str">
        <f>IF(Migrationsartikel!AC44="ja","true",FALSE)</f>
        <v>true</v>
      </c>
      <c r="AY46" t="str">
        <f>IF(Migrationsartikel!AD44="ja","true",FALSE)</f>
        <v>true</v>
      </c>
      <c r="AZ46" t="str">
        <f>IF(Migrationsartikel!AE44="ja","true",FALSE)</f>
        <v>true</v>
      </c>
      <c r="BA46" t="str">
        <f>IF(Migrationsartikel!AF44="ja","Denner Partner","")</f>
        <v/>
      </c>
      <c r="BB46" t="str">
        <f>IF(Migrationsartikel!AG44="ja","true","false")</f>
        <v>false</v>
      </c>
      <c r="BC46" t="s">
        <v>1923</v>
      </c>
      <c r="BD46" s="31" t="s">
        <v>235</v>
      </c>
      <c r="BE46" s="31" t="s">
        <v>233</v>
      </c>
    </row>
    <row r="47" spans="2:57" ht="21.75" customHeight="1" x14ac:dyDescent="0.45">
      <c r="B47" t="s">
        <v>115</v>
      </c>
      <c r="E47" s="31" t="s">
        <v>1473</v>
      </c>
      <c r="F47" t="str">
        <f>"Warengruppe&gt;&gt;"&amp;Migrationsartikel!V45&amp;"&gt;&gt;"&amp;Migrationsartikel!W45&amp;"&gt;&gt;"&amp;Migrationsartikel!X45</f>
        <v>Warengruppe&gt;&gt;Backwaren &amp; Convenience&gt;&gt;Brot und Backwaren&gt;&gt;Backwaren andere</v>
      </c>
      <c r="J47" s="31" t="s">
        <v>125</v>
      </c>
      <c r="M47" s="31" t="s">
        <v>137</v>
      </c>
      <c r="P47" s="31">
        <f>Migrationsartikel!B45</f>
        <v>743</v>
      </c>
      <c r="R47" t="str">
        <f>Migrationsartikel!F45&amp;" "&amp;Migrationsartikel!G45&amp;" "&amp;Migrationsartikel!H45</f>
        <v>Vanillegipfel  aus der Region 1Stk</v>
      </c>
      <c r="S47" t="str">
        <f>Migrationsartikel!J45&amp;" "&amp;Migrationsartikel!K45&amp;" "&amp;Migrationsartikel!L45</f>
        <v>Croissant vanille  de la région 1pce</v>
      </c>
      <c r="T47" t="str">
        <f>Migrationsartikel!N45&amp;" "&amp;Migrationsartikel!O45&amp;" "&amp;Migrationsartikel!P45</f>
        <v>Cornetto alla vaniglia della regione 1pz</v>
      </c>
      <c r="U47" t="str">
        <f>Migrationsartikel!F45</f>
        <v xml:space="preserve">Vanillegipfel </v>
      </c>
      <c r="V47" t="str">
        <f>Migrationsartikel!J45</f>
        <v xml:space="preserve">Croissant vanille </v>
      </c>
      <c r="W47" t="str">
        <f>Migrationsartikel!N45</f>
        <v>Cornetto alla vaniglia</v>
      </c>
      <c r="X47" t="str">
        <f>Migrationsartikel!G45</f>
        <v>aus der Region</v>
      </c>
      <c r="Y47" t="str">
        <f>Migrationsartikel!K45</f>
        <v>de la région</v>
      </c>
      <c r="Z47" t="str">
        <f>Migrationsartikel!O45</f>
        <v>della regione</v>
      </c>
      <c r="AA47" s="31" t="str">
        <f>Migrationsartikel!H45</f>
        <v>1Stk</v>
      </c>
      <c r="AB47" s="31" t="str">
        <f>Migrationsartikel!L45</f>
        <v>1pce</v>
      </c>
      <c r="AC47" s="31" t="str">
        <f>Migrationsartikel!P45</f>
        <v>1pz</v>
      </c>
      <c r="AD47" t="str">
        <f>Migrationsartikel!I45</f>
        <v xml:space="preserve">Vanillegipfel </v>
      </c>
      <c r="AE47" t="str">
        <f>Migrationsartikel!M45</f>
        <v xml:space="preserve">Croissant vanille </v>
      </c>
      <c r="AF47" t="str">
        <f>Migrationsartikel!Q45</f>
        <v>Cornetto alla vaniglia</v>
      </c>
      <c r="AG47" s="45">
        <f>Migrationsartikel!R45</f>
        <v>1</v>
      </c>
      <c r="AH47" s="46" t="str">
        <f>Migrationsartikel!T45</f>
        <v>Stück</v>
      </c>
      <c r="AI47" s="46" t="str">
        <f t="shared" si="0"/>
        <v>7</v>
      </c>
      <c r="AJ47" s="46" t="s">
        <v>176</v>
      </c>
      <c r="AK47">
        <f>Migrationsartikel!S45</f>
        <v>1</v>
      </c>
      <c r="AL47">
        <f>Migrationsartikel!S45</f>
        <v>1</v>
      </c>
      <c r="AM47">
        <f>Migrationsartikel!S45</f>
        <v>1</v>
      </c>
      <c r="AN47" t="str">
        <f>Migrationsartikel!U45</f>
        <v>(PCE) Stück</v>
      </c>
      <c r="AO47" t="str">
        <f t="shared" si="1"/>
        <v>(PCE) Pièce</v>
      </c>
      <c r="AP47" t="str">
        <f t="shared" si="2"/>
        <v>(PCE) Pièce</v>
      </c>
      <c r="AQ47" s="31" t="s">
        <v>195</v>
      </c>
      <c r="AR47" s="47"/>
      <c r="AS47" s="47"/>
      <c r="AT47" s="31" t="s">
        <v>208</v>
      </c>
      <c r="AU47" s="47"/>
      <c r="AV47" s="47"/>
      <c r="AW47" t="str">
        <f>IF(Migrationsartikel!AB45="ja","true",FALSE)</f>
        <v>true</v>
      </c>
      <c r="AX47" t="str">
        <f>IF(Migrationsartikel!AC45="ja","true",FALSE)</f>
        <v>true</v>
      </c>
      <c r="AY47" t="str">
        <f>IF(Migrationsartikel!AD45="ja","true",FALSE)</f>
        <v>true</v>
      </c>
      <c r="AZ47" t="str">
        <f>IF(Migrationsartikel!AE45="ja","true",FALSE)</f>
        <v>true</v>
      </c>
      <c r="BA47" t="str">
        <f>IF(Migrationsartikel!AF45="ja","Denner Partner","")</f>
        <v/>
      </c>
      <c r="BB47" t="str">
        <f>IF(Migrationsartikel!AG45="ja","true","false")</f>
        <v>false</v>
      </c>
      <c r="BC47" t="s">
        <v>1923</v>
      </c>
      <c r="BD47" s="31" t="s">
        <v>235</v>
      </c>
      <c r="BE47" s="31" t="s">
        <v>233</v>
      </c>
    </row>
    <row r="48" spans="2:57" ht="21.75" customHeight="1" x14ac:dyDescent="0.45">
      <c r="B48" t="s">
        <v>115</v>
      </c>
      <c r="E48" s="31" t="s">
        <v>1474</v>
      </c>
      <c r="F48" t="str">
        <f>"Warengruppe&gt;&gt;"&amp;Migrationsartikel!V46&amp;"&gt;&gt;"&amp;Migrationsartikel!W46&amp;"&gt;&gt;"&amp;Migrationsartikel!X46</f>
        <v>Warengruppe&gt;&gt;Backwaren &amp; Convenience&gt;&gt;Brot und Backwaren&gt;&gt;Backwaren andere</v>
      </c>
      <c r="J48" s="31" t="s">
        <v>125</v>
      </c>
      <c r="M48" s="31" t="s">
        <v>137</v>
      </c>
      <c r="P48" s="31">
        <f>Migrationsartikel!B46</f>
        <v>744</v>
      </c>
      <c r="R48" t="str">
        <f>Migrationsartikel!F46&amp;" "&amp;Migrationsartikel!G46&amp;" "&amp;Migrationsartikel!H46</f>
        <v>Vanille-Himb. Plunder  aus der Region 1Stk</v>
      </c>
      <c r="S48" t="str">
        <f>Migrationsartikel!J46&amp;" "&amp;Migrationsartikel!K46&amp;" "&amp;Migrationsartikel!L46</f>
        <v>Friv. vanille-framb. de la région 1pce</v>
      </c>
      <c r="T48" t="str">
        <f>Migrationsartikel!N46&amp;" "&amp;Migrationsartikel!O46&amp;" "&amp;Migrationsartikel!P46</f>
        <v>Sfoglia vanigl.-lamp. della regione 1pz</v>
      </c>
      <c r="U48" t="str">
        <f>Migrationsartikel!F46</f>
        <v xml:space="preserve">Vanille-Himb. Plunder </v>
      </c>
      <c r="V48" t="str">
        <f>Migrationsartikel!J46</f>
        <v>Friv. vanille-framb.</v>
      </c>
      <c r="W48" t="str">
        <f>Migrationsartikel!N46</f>
        <v>Sfoglia vanigl.-lamp.</v>
      </c>
      <c r="X48" t="str">
        <f>Migrationsartikel!G46</f>
        <v>aus der Region</v>
      </c>
      <c r="Y48" t="str">
        <f>Migrationsartikel!K46</f>
        <v>de la région</v>
      </c>
      <c r="Z48" t="str">
        <f>Migrationsartikel!O46</f>
        <v>della regione</v>
      </c>
      <c r="AA48" s="31" t="str">
        <f>Migrationsartikel!H46</f>
        <v>1Stk</v>
      </c>
      <c r="AB48" s="31" t="str">
        <f>Migrationsartikel!L46</f>
        <v>1pce</v>
      </c>
      <c r="AC48" s="31" t="str">
        <f>Migrationsartikel!P46</f>
        <v>1pz</v>
      </c>
      <c r="AD48" t="str">
        <f>Migrationsartikel!I46</f>
        <v xml:space="preserve">Vanille-Himb. Plunder </v>
      </c>
      <c r="AE48" t="str">
        <f>Migrationsartikel!M46</f>
        <v>Friv. vanille-framb.</v>
      </c>
      <c r="AF48" t="str">
        <f>Migrationsartikel!Q46</f>
        <v>Sfoglia vanigl.-lamp.</v>
      </c>
      <c r="AG48" s="45">
        <f>Migrationsartikel!R46</f>
        <v>1</v>
      </c>
      <c r="AH48" s="46" t="str">
        <f>Migrationsartikel!T46</f>
        <v>Stück</v>
      </c>
      <c r="AI48" s="46" t="str">
        <f t="shared" si="0"/>
        <v>7</v>
      </c>
      <c r="AJ48" s="46" t="s">
        <v>176</v>
      </c>
      <c r="AK48">
        <f>Migrationsartikel!S46</f>
        <v>1</v>
      </c>
      <c r="AL48">
        <f>Migrationsartikel!S46</f>
        <v>1</v>
      </c>
      <c r="AM48">
        <f>Migrationsartikel!S46</f>
        <v>1</v>
      </c>
      <c r="AN48" t="str">
        <f>Migrationsartikel!U46</f>
        <v>(PCE) Stück</v>
      </c>
      <c r="AO48" t="str">
        <f t="shared" si="1"/>
        <v>(PCE) Pièce</v>
      </c>
      <c r="AP48" t="str">
        <f t="shared" si="2"/>
        <v>(PCE) Pièce</v>
      </c>
      <c r="AQ48" s="31" t="s">
        <v>195</v>
      </c>
      <c r="AR48" s="47"/>
      <c r="AS48" s="47"/>
      <c r="AT48" s="31" t="s">
        <v>208</v>
      </c>
      <c r="AU48" s="47"/>
      <c r="AV48" s="47"/>
      <c r="AW48" t="str">
        <f>IF(Migrationsartikel!AB46="ja","true",FALSE)</f>
        <v>true</v>
      </c>
      <c r="AX48" t="str">
        <f>IF(Migrationsartikel!AC46="ja","true",FALSE)</f>
        <v>true</v>
      </c>
      <c r="AY48" t="str">
        <f>IF(Migrationsartikel!AD46="ja","true",FALSE)</f>
        <v>true</v>
      </c>
      <c r="AZ48" t="str">
        <f>IF(Migrationsartikel!AE46="ja","true",FALSE)</f>
        <v>true</v>
      </c>
      <c r="BA48" t="str">
        <f>IF(Migrationsartikel!AF46="ja","Denner Partner","")</f>
        <v/>
      </c>
      <c r="BB48" t="str">
        <f>IF(Migrationsartikel!AG46="ja","true","false")</f>
        <v>false</v>
      </c>
      <c r="BC48" t="s">
        <v>1923</v>
      </c>
      <c r="BD48" s="31" t="s">
        <v>235</v>
      </c>
      <c r="BE48" s="31" t="s">
        <v>233</v>
      </c>
    </row>
    <row r="49" spans="2:57" ht="21.75" customHeight="1" x14ac:dyDescent="0.45">
      <c r="B49" t="s">
        <v>115</v>
      </c>
      <c r="E49" s="31" t="s">
        <v>1475</v>
      </c>
      <c r="F49" t="str">
        <f>"Warengruppe&gt;&gt;"&amp;Migrationsartikel!V47&amp;"&gt;&gt;"&amp;Migrationsartikel!W47&amp;"&gt;&gt;"&amp;Migrationsartikel!X47</f>
        <v>Warengruppe&gt;&gt;Backwaren &amp; Convenience&gt;&gt;Brot und Backwaren&gt;&gt;Backwaren andere</v>
      </c>
      <c r="J49" s="31" t="s">
        <v>125</v>
      </c>
      <c r="M49" s="31" t="s">
        <v>137</v>
      </c>
      <c r="P49" s="31">
        <f>Migrationsartikel!B47</f>
        <v>745</v>
      </c>
      <c r="R49" t="str">
        <f>Migrationsartikel!F47&amp;" "&amp;Migrationsartikel!G47&amp;" "&amp;Migrationsartikel!H47</f>
        <v>Vanille-Stange  aus der Region 1Stk</v>
      </c>
      <c r="S49" t="str">
        <f>Migrationsartikel!J47&amp;" "&amp;Migrationsartikel!K47&amp;" "&amp;Migrationsartikel!L47</f>
        <v>Bâton à la vanille de la région 1pce</v>
      </c>
      <c r="T49" t="str">
        <f>Migrationsartikel!N47&amp;" "&amp;Migrationsartikel!O47&amp;" "&amp;Migrationsartikel!P47</f>
        <v>Bastoncino vaniglia della regione 1pz</v>
      </c>
      <c r="U49" t="str">
        <f>Migrationsartikel!F47</f>
        <v xml:space="preserve">Vanille-Stange </v>
      </c>
      <c r="V49" t="str">
        <f>Migrationsartikel!J47</f>
        <v>Bâton à la vanille</v>
      </c>
      <c r="W49" t="str">
        <f>Migrationsartikel!N47</f>
        <v>Bastoncino vaniglia</v>
      </c>
      <c r="X49" t="str">
        <f>Migrationsartikel!G47</f>
        <v>aus der Region</v>
      </c>
      <c r="Y49" t="str">
        <f>Migrationsartikel!K47</f>
        <v>de la région</v>
      </c>
      <c r="Z49" t="str">
        <f>Migrationsartikel!O47</f>
        <v>della regione</v>
      </c>
      <c r="AA49" s="31" t="str">
        <f>Migrationsartikel!H47</f>
        <v>1Stk</v>
      </c>
      <c r="AB49" s="31" t="str">
        <f>Migrationsartikel!L47</f>
        <v>1pce</v>
      </c>
      <c r="AC49" s="31" t="str">
        <f>Migrationsartikel!P47</f>
        <v>1pz</v>
      </c>
      <c r="AD49" t="str">
        <f>Migrationsartikel!I47</f>
        <v xml:space="preserve">Vanille-Stange </v>
      </c>
      <c r="AE49" t="str">
        <f>Migrationsartikel!M47</f>
        <v>Bâton à la vanille</v>
      </c>
      <c r="AF49" t="str">
        <f>Migrationsartikel!Q47</f>
        <v>Bastoncino vaniglia</v>
      </c>
      <c r="AG49" s="45">
        <f>Migrationsartikel!R47</f>
        <v>1</v>
      </c>
      <c r="AH49" s="46" t="str">
        <f>Migrationsartikel!T47</f>
        <v>Stück</v>
      </c>
      <c r="AI49" s="46" t="str">
        <f t="shared" si="0"/>
        <v>7</v>
      </c>
      <c r="AJ49" s="46" t="s">
        <v>176</v>
      </c>
      <c r="AK49">
        <f>Migrationsartikel!S47</f>
        <v>1</v>
      </c>
      <c r="AL49">
        <f>Migrationsartikel!S47</f>
        <v>1</v>
      </c>
      <c r="AM49">
        <f>Migrationsartikel!S47</f>
        <v>1</v>
      </c>
      <c r="AN49" t="str">
        <f>Migrationsartikel!U47</f>
        <v>(PCE) Stück</v>
      </c>
      <c r="AO49" t="str">
        <f t="shared" si="1"/>
        <v>(PCE) Pièce</v>
      </c>
      <c r="AP49" t="str">
        <f t="shared" si="2"/>
        <v>(PCE) Pièce</v>
      </c>
      <c r="AQ49" s="31" t="s">
        <v>195</v>
      </c>
      <c r="AR49" s="47"/>
      <c r="AS49" s="47"/>
      <c r="AT49" s="31" t="s">
        <v>208</v>
      </c>
      <c r="AU49" s="47"/>
      <c r="AV49" s="47"/>
      <c r="AW49" t="str">
        <f>IF(Migrationsartikel!AB47="ja","true",FALSE)</f>
        <v>true</v>
      </c>
      <c r="AX49" t="str">
        <f>IF(Migrationsartikel!AC47="ja","true",FALSE)</f>
        <v>true</v>
      </c>
      <c r="AY49" t="str">
        <f>IF(Migrationsartikel!AD47="ja","true",FALSE)</f>
        <v>true</v>
      </c>
      <c r="AZ49" t="str">
        <f>IF(Migrationsartikel!AE47="ja","true",FALSE)</f>
        <v>true</v>
      </c>
      <c r="BA49" t="str">
        <f>IF(Migrationsartikel!AF47="ja","Denner Partner","")</f>
        <v/>
      </c>
      <c r="BB49" t="str">
        <f>IF(Migrationsartikel!AG47="ja","true","false")</f>
        <v>false</v>
      </c>
      <c r="BC49" t="s">
        <v>1923</v>
      </c>
      <c r="BD49" s="31" t="s">
        <v>235</v>
      </c>
      <c r="BE49" s="31" t="s">
        <v>233</v>
      </c>
    </row>
    <row r="50" spans="2:57" ht="21.75" customHeight="1" x14ac:dyDescent="0.45">
      <c r="B50" t="s">
        <v>115</v>
      </c>
      <c r="E50" s="31" t="s">
        <v>1476</v>
      </c>
      <c r="F50" t="str">
        <f>"Warengruppe&gt;&gt;"&amp;Migrationsartikel!V48&amp;"&gt;&gt;"&amp;Migrationsartikel!W48&amp;"&gt;&gt;"&amp;Migrationsartikel!X48</f>
        <v>Warengruppe&gt;&gt;Backwaren &amp; Convenience&gt;&gt;Brot und Backwaren&gt;&gt;Backwaren andere</v>
      </c>
      <c r="J50" s="31" t="s">
        <v>125</v>
      </c>
      <c r="M50" s="31" t="s">
        <v>137</v>
      </c>
      <c r="P50" s="31">
        <f>Migrationsartikel!B48</f>
        <v>746</v>
      </c>
      <c r="R50" t="str">
        <f>Migrationsartikel!F48&amp;" "&amp;Migrationsartikel!G48&amp;" "&amp;Migrationsartikel!H48</f>
        <v>Vollkorngipfel  aus der Region 1Stk</v>
      </c>
      <c r="S50" t="str">
        <f>Migrationsartikel!J48&amp;" "&amp;Migrationsartikel!K48&amp;" "&amp;Migrationsartikel!L48</f>
        <v>Croissant complet de la région 1pce</v>
      </c>
      <c r="T50" t="str">
        <f>Migrationsartikel!N48&amp;" "&amp;Migrationsartikel!O48&amp;" "&amp;Migrationsartikel!P48</f>
        <v>Cornetto integrale della regione 1pz</v>
      </c>
      <c r="U50" t="str">
        <f>Migrationsartikel!F48</f>
        <v xml:space="preserve">Vollkorngipfel </v>
      </c>
      <c r="V50" t="str">
        <f>Migrationsartikel!J48</f>
        <v>Croissant complet</v>
      </c>
      <c r="W50" t="str">
        <f>Migrationsartikel!N48</f>
        <v>Cornetto integrale</v>
      </c>
      <c r="X50" t="str">
        <f>Migrationsartikel!G48</f>
        <v>aus der Region</v>
      </c>
      <c r="Y50" t="str">
        <f>Migrationsartikel!K48</f>
        <v>de la région</v>
      </c>
      <c r="Z50" t="str">
        <f>Migrationsartikel!O48</f>
        <v>della regione</v>
      </c>
      <c r="AA50" s="31" t="str">
        <f>Migrationsartikel!H48</f>
        <v>1Stk</v>
      </c>
      <c r="AB50" s="31" t="str">
        <f>Migrationsartikel!L48</f>
        <v>1pce</v>
      </c>
      <c r="AC50" s="31" t="str">
        <f>Migrationsartikel!P48</f>
        <v>1pz</v>
      </c>
      <c r="AD50" t="str">
        <f>Migrationsartikel!I48</f>
        <v xml:space="preserve">Vollkorngipfel </v>
      </c>
      <c r="AE50" t="str">
        <f>Migrationsartikel!M48</f>
        <v>Croissant complet</v>
      </c>
      <c r="AF50" t="str">
        <f>Migrationsartikel!Q48</f>
        <v>Cornetto integrale</v>
      </c>
      <c r="AG50" s="45">
        <f>Migrationsartikel!R48</f>
        <v>1</v>
      </c>
      <c r="AH50" s="46" t="str">
        <f>Migrationsartikel!T48</f>
        <v>Stück</v>
      </c>
      <c r="AI50" s="46" t="str">
        <f t="shared" si="0"/>
        <v>7</v>
      </c>
      <c r="AJ50" s="46" t="s">
        <v>176</v>
      </c>
      <c r="AK50">
        <f>Migrationsartikel!S48</f>
        <v>1</v>
      </c>
      <c r="AL50">
        <f>Migrationsartikel!S48</f>
        <v>1</v>
      </c>
      <c r="AM50">
        <f>Migrationsartikel!S48</f>
        <v>1</v>
      </c>
      <c r="AN50" t="str">
        <f>Migrationsartikel!U48</f>
        <v>(PCE) Stück</v>
      </c>
      <c r="AO50" t="str">
        <f t="shared" si="1"/>
        <v>(PCE) Pièce</v>
      </c>
      <c r="AP50" t="str">
        <f t="shared" si="2"/>
        <v>(PCE) Pièce</v>
      </c>
      <c r="AQ50" s="31" t="s">
        <v>195</v>
      </c>
      <c r="AR50" s="47"/>
      <c r="AS50" s="47"/>
      <c r="AT50" s="31" t="s">
        <v>208</v>
      </c>
      <c r="AU50" s="47"/>
      <c r="AV50" s="47"/>
      <c r="AW50" t="str">
        <f>IF(Migrationsartikel!AB48="ja","true",FALSE)</f>
        <v>true</v>
      </c>
      <c r="AX50" t="str">
        <f>IF(Migrationsartikel!AC48="ja","true",FALSE)</f>
        <v>true</v>
      </c>
      <c r="AY50" t="str">
        <f>IF(Migrationsartikel!AD48="ja","true",FALSE)</f>
        <v>true</v>
      </c>
      <c r="AZ50" t="str">
        <f>IF(Migrationsartikel!AE48="ja","true",FALSE)</f>
        <v>true</v>
      </c>
      <c r="BA50" t="str">
        <f>IF(Migrationsartikel!AF48="ja","Denner Partner","")</f>
        <v/>
      </c>
      <c r="BB50" t="str">
        <f>IF(Migrationsartikel!AG48="ja","true","false")</f>
        <v>false</v>
      </c>
      <c r="BC50" t="s">
        <v>1923</v>
      </c>
      <c r="BD50" s="31" t="s">
        <v>235</v>
      </c>
      <c r="BE50" s="31" t="s">
        <v>233</v>
      </c>
    </row>
    <row r="51" spans="2:57" ht="21.75" customHeight="1" x14ac:dyDescent="0.45">
      <c r="B51" t="s">
        <v>115</v>
      </c>
      <c r="E51" s="31" t="s">
        <v>1477</v>
      </c>
      <c r="F51" t="str">
        <f>"Warengruppe&gt;&gt;"&amp;Migrationsartikel!V49&amp;"&gt;&gt;"&amp;Migrationsartikel!W49&amp;"&gt;&gt;"&amp;Migrationsartikel!X49</f>
        <v>Warengruppe&gt;&gt;Backwaren &amp; Convenience&gt;&gt;Brot und Backwaren&gt;&gt;Backwaren andere</v>
      </c>
      <c r="J51" s="31" t="s">
        <v>125</v>
      </c>
      <c r="M51" s="31" t="s">
        <v>137</v>
      </c>
      <c r="P51" s="31">
        <f>Migrationsartikel!B49</f>
        <v>747</v>
      </c>
      <c r="R51" t="str">
        <f>Migrationsartikel!F49&amp;" "&amp;Migrationsartikel!G49&amp;" "&amp;Migrationsartikel!H49</f>
        <v>Weggli  aus der Region 1Stk</v>
      </c>
      <c r="S51" t="str">
        <f>Migrationsartikel!J49&amp;" "&amp;Migrationsartikel!K49&amp;" "&amp;Migrationsartikel!L49</f>
        <v>Pain au lait  de la région 1pce</v>
      </c>
      <c r="T51" t="str">
        <f>Migrationsartikel!N49&amp;" "&amp;Migrationsartikel!O49&amp;" "&amp;Migrationsartikel!P49</f>
        <v>Michetta al latte della regione 1pz</v>
      </c>
      <c r="U51" t="str">
        <f>Migrationsartikel!F49</f>
        <v xml:space="preserve">Weggli </v>
      </c>
      <c r="V51" t="str">
        <f>Migrationsartikel!J49</f>
        <v xml:space="preserve">Pain au lait </v>
      </c>
      <c r="W51" t="str">
        <f>Migrationsartikel!N49</f>
        <v>Michetta al latte</v>
      </c>
      <c r="X51" t="str">
        <f>Migrationsartikel!G49</f>
        <v>aus der Region</v>
      </c>
      <c r="Y51" t="str">
        <f>Migrationsartikel!K49</f>
        <v>de la région</v>
      </c>
      <c r="Z51" t="str">
        <f>Migrationsartikel!O49</f>
        <v>della regione</v>
      </c>
      <c r="AA51" s="31" t="str">
        <f>Migrationsartikel!H49</f>
        <v>1Stk</v>
      </c>
      <c r="AB51" s="31" t="str">
        <f>Migrationsartikel!L49</f>
        <v>1pce</v>
      </c>
      <c r="AC51" s="31" t="str">
        <f>Migrationsartikel!P49</f>
        <v>1pz</v>
      </c>
      <c r="AD51" t="str">
        <f>Migrationsartikel!I49</f>
        <v xml:space="preserve">Weggli </v>
      </c>
      <c r="AE51" t="str">
        <f>Migrationsartikel!M49</f>
        <v xml:space="preserve">Pain au lait </v>
      </c>
      <c r="AF51" t="str">
        <f>Migrationsartikel!Q49</f>
        <v>Michetta al latte</v>
      </c>
      <c r="AG51" s="45">
        <f>Migrationsartikel!R49</f>
        <v>1</v>
      </c>
      <c r="AH51" s="46" t="str">
        <f>Migrationsartikel!T49</f>
        <v>Stück</v>
      </c>
      <c r="AI51" s="46" t="str">
        <f t="shared" si="0"/>
        <v>7</v>
      </c>
      <c r="AJ51" s="46" t="s">
        <v>176</v>
      </c>
      <c r="AK51">
        <f>Migrationsartikel!S49</f>
        <v>1</v>
      </c>
      <c r="AL51">
        <f>Migrationsartikel!S49</f>
        <v>1</v>
      </c>
      <c r="AM51">
        <f>Migrationsartikel!S49</f>
        <v>1</v>
      </c>
      <c r="AN51" t="str">
        <f>Migrationsartikel!U49</f>
        <v>(PCE) Stück</v>
      </c>
      <c r="AO51" t="str">
        <f t="shared" si="1"/>
        <v>(PCE) Pièce</v>
      </c>
      <c r="AP51" t="str">
        <f t="shared" si="2"/>
        <v>(PCE) Pièce</v>
      </c>
      <c r="AQ51" s="31" t="s">
        <v>195</v>
      </c>
      <c r="AR51" s="47"/>
      <c r="AS51" s="47"/>
      <c r="AT51" s="31" t="s">
        <v>208</v>
      </c>
      <c r="AU51" s="47"/>
      <c r="AV51" s="47"/>
      <c r="AW51" t="str">
        <f>IF(Migrationsartikel!AB49="ja","true",FALSE)</f>
        <v>true</v>
      </c>
      <c r="AX51" t="str">
        <f>IF(Migrationsartikel!AC49="ja","true",FALSE)</f>
        <v>true</v>
      </c>
      <c r="AY51" t="str">
        <f>IF(Migrationsartikel!AD49="ja","true",FALSE)</f>
        <v>true</v>
      </c>
      <c r="AZ51" t="str">
        <f>IF(Migrationsartikel!AE49="ja","true",FALSE)</f>
        <v>true</v>
      </c>
      <c r="BA51" t="str">
        <f>IF(Migrationsartikel!AF49="ja","Denner Partner","")</f>
        <v/>
      </c>
      <c r="BB51" t="str">
        <f>IF(Migrationsartikel!AG49="ja","true","false")</f>
        <v>false</v>
      </c>
      <c r="BC51" t="s">
        <v>1923</v>
      </c>
      <c r="BD51" s="31" t="s">
        <v>235</v>
      </c>
      <c r="BE51" s="31" t="s">
        <v>233</v>
      </c>
    </row>
    <row r="52" spans="2:57" ht="21.75" customHeight="1" x14ac:dyDescent="0.45">
      <c r="B52" t="s">
        <v>115</v>
      </c>
      <c r="E52" s="31" t="s">
        <v>1478</v>
      </c>
      <c r="F52" t="str">
        <f>"Warengruppe&gt;&gt;"&amp;Migrationsartikel!V50&amp;"&gt;&gt;"&amp;Migrationsartikel!W50&amp;"&gt;&gt;"&amp;Migrationsartikel!X50</f>
        <v>Warengruppe&gt;&gt;Backwaren &amp; Convenience&gt;&gt;Convenience-Produkte&gt;&gt;Ready to cook</v>
      </c>
      <c r="J52" s="31" t="s">
        <v>125</v>
      </c>
      <c r="M52" s="31" t="s">
        <v>137</v>
      </c>
      <c r="P52" s="31">
        <f>Migrationsartikel!B50</f>
        <v>800</v>
      </c>
      <c r="R52" t="str">
        <f>Migrationsartikel!F50&amp;" "&amp;Migrationsartikel!G50&amp;" "&amp;Migrationsartikel!H50</f>
        <v>Frische Pasta aus der Region 1Stk</v>
      </c>
      <c r="S52" t="str">
        <f>Migrationsartikel!J50&amp;" "&amp;Migrationsartikel!K50&amp;" "&amp;Migrationsartikel!L50</f>
        <v>Pâtes fraîches de la région 1pce</v>
      </c>
      <c r="T52" t="str">
        <f>Migrationsartikel!N50&amp;" "&amp;Migrationsartikel!O50&amp;" "&amp;Migrationsartikel!P50</f>
        <v>Pasta fresca della regione 1pz</v>
      </c>
      <c r="U52" t="str">
        <f>Migrationsartikel!F50</f>
        <v>Frische Pasta</v>
      </c>
      <c r="V52" t="str">
        <f>Migrationsartikel!J50</f>
        <v>Pâtes fraîches</v>
      </c>
      <c r="W52" t="str">
        <f>Migrationsartikel!N50</f>
        <v>Pasta fresca</v>
      </c>
      <c r="X52" t="str">
        <f>Migrationsartikel!G50</f>
        <v>aus der Region</v>
      </c>
      <c r="Y52" t="str">
        <f>Migrationsartikel!K50</f>
        <v>de la région</v>
      </c>
      <c r="Z52" t="str">
        <f>Migrationsartikel!O50</f>
        <v>della regione</v>
      </c>
      <c r="AA52" s="31" t="str">
        <f>Migrationsartikel!H50</f>
        <v>1Stk</v>
      </c>
      <c r="AB52" s="31" t="str">
        <f>Migrationsartikel!L50</f>
        <v>1pce</v>
      </c>
      <c r="AC52" s="31" t="str">
        <f>Migrationsartikel!P50</f>
        <v>1pz</v>
      </c>
      <c r="AD52" t="str">
        <f>Migrationsartikel!I50</f>
        <v>Frische Pasta</v>
      </c>
      <c r="AE52" t="str">
        <f>Migrationsartikel!M50</f>
        <v>Pâtes fraîches</v>
      </c>
      <c r="AF52" t="str">
        <f>Migrationsartikel!Q50</f>
        <v>Pasta fresca</v>
      </c>
      <c r="AG52" s="45">
        <f>Migrationsartikel!R50</f>
        <v>1</v>
      </c>
      <c r="AH52" s="46" t="str">
        <f>Migrationsartikel!T50</f>
        <v>Stück</v>
      </c>
      <c r="AI52" s="46" t="str">
        <f t="shared" si="0"/>
        <v>7</v>
      </c>
      <c r="AJ52" s="46" t="s">
        <v>176</v>
      </c>
      <c r="AK52">
        <f>Migrationsartikel!S50</f>
        <v>1</v>
      </c>
      <c r="AL52">
        <f>Migrationsartikel!S50</f>
        <v>1</v>
      </c>
      <c r="AM52">
        <f>Migrationsartikel!S50</f>
        <v>1</v>
      </c>
      <c r="AN52" t="str">
        <f>Migrationsartikel!U50</f>
        <v>(PCE) Stück</v>
      </c>
      <c r="AO52" t="str">
        <f t="shared" si="1"/>
        <v>(PCE) Pièce</v>
      </c>
      <c r="AP52" t="str">
        <f t="shared" si="2"/>
        <v>(PCE) Pièce</v>
      </c>
      <c r="AQ52" s="31" t="s">
        <v>195</v>
      </c>
      <c r="AR52" s="47"/>
      <c r="AS52" s="47"/>
      <c r="AT52" s="31" t="s">
        <v>208</v>
      </c>
      <c r="AU52" s="47"/>
      <c r="AV52" s="47"/>
      <c r="AW52" t="str">
        <f>IF(Migrationsartikel!AB50="ja","true",FALSE)</f>
        <v>true</v>
      </c>
      <c r="AX52" t="str">
        <f>IF(Migrationsartikel!AC50="ja","true",FALSE)</f>
        <v>true</v>
      </c>
      <c r="AY52" t="str">
        <f>IF(Migrationsartikel!AD50="ja","true",FALSE)</f>
        <v>true</v>
      </c>
      <c r="AZ52" t="str">
        <f>IF(Migrationsartikel!AE50="ja","true",FALSE)</f>
        <v>true</v>
      </c>
      <c r="BA52" t="str">
        <f>IF(Migrationsartikel!AF50="ja","Denner Partner","")</f>
        <v/>
      </c>
      <c r="BB52" t="str">
        <f>IF(Migrationsartikel!AG50="ja","true","false")</f>
        <v>false</v>
      </c>
      <c r="BC52" t="s">
        <v>1923</v>
      </c>
      <c r="BD52" s="31" t="s">
        <v>235</v>
      </c>
      <c r="BE52" s="31" t="s">
        <v>233</v>
      </c>
    </row>
    <row r="53" spans="2:57" ht="21.75" customHeight="1" x14ac:dyDescent="0.45">
      <c r="B53" t="s">
        <v>115</v>
      </c>
      <c r="E53" s="31" t="s">
        <v>1479</v>
      </c>
      <c r="F53" t="str">
        <f>"Warengruppe&gt;&gt;"&amp;Migrationsartikel!V51&amp;"&gt;&gt;"&amp;Migrationsartikel!W51&amp;"&gt;&gt;"&amp;Migrationsartikel!X51</f>
        <v>Warengruppe&gt;&gt;Backwaren &amp; Convenience&gt;&gt;Convenience-Produkte&gt;&gt;Ready to cook</v>
      </c>
      <c r="J53" s="31" t="s">
        <v>125</v>
      </c>
      <c r="M53" s="31" t="s">
        <v>137</v>
      </c>
      <c r="P53" s="31">
        <f>Migrationsartikel!B51</f>
        <v>801</v>
      </c>
      <c r="R53" t="str">
        <f>Migrationsartikel!F51&amp;" "&amp;Migrationsartikel!G51&amp;" "&amp;Migrationsartikel!H51</f>
        <v>Ravioli aus der Region 1Stk</v>
      </c>
      <c r="S53" t="str">
        <f>Migrationsartikel!J51&amp;" "&amp;Migrationsartikel!K51&amp;" "&amp;Migrationsartikel!L51</f>
        <v>Ravioli de la région 1pce</v>
      </c>
      <c r="T53" t="str">
        <f>Migrationsartikel!N51&amp;" "&amp;Migrationsartikel!O51&amp;" "&amp;Migrationsartikel!P51</f>
        <v>Ravioli  della regione 1pz</v>
      </c>
      <c r="U53" t="str">
        <f>Migrationsartikel!F51</f>
        <v>Ravioli</v>
      </c>
      <c r="V53" t="str">
        <f>Migrationsartikel!J51</f>
        <v>Ravioli</v>
      </c>
      <c r="W53" t="str">
        <f>Migrationsartikel!N51</f>
        <v xml:space="preserve">Ravioli </v>
      </c>
      <c r="X53" t="str">
        <f>Migrationsartikel!G51</f>
        <v>aus der Region</v>
      </c>
      <c r="Y53" t="str">
        <f>Migrationsartikel!K51</f>
        <v>de la région</v>
      </c>
      <c r="Z53" t="str">
        <f>Migrationsartikel!O51</f>
        <v>della regione</v>
      </c>
      <c r="AA53" s="31" t="str">
        <f>Migrationsartikel!H51</f>
        <v>1Stk</v>
      </c>
      <c r="AB53" s="31" t="str">
        <f>Migrationsartikel!L51</f>
        <v>1pce</v>
      </c>
      <c r="AC53" s="31" t="str">
        <f>Migrationsartikel!P51</f>
        <v>1pz</v>
      </c>
      <c r="AD53" t="str">
        <f>Migrationsartikel!I51</f>
        <v>Ravioli</v>
      </c>
      <c r="AE53" t="str">
        <f>Migrationsartikel!M51</f>
        <v>Ravioli</v>
      </c>
      <c r="AF53" t="str">
        <f>Migrationsartikel!Q51</f>
        <v xml:space="preserve">Ravioli </v>
      </c>
      <c r="AG53" s="45">
        <f>Migrationsartikel!R51</f>
        <v>1</v>
      </c>
      <c r="AH53" s="46" t="str">
        <f>Migrationsartikel!T51</f>
        <v>Stück</v>
      </c>
      <c r="AI53" s="46" t="str">
        <f t="shared" si="0"/>
        <v>7</v>
      </c>
      <c r="AJ53" s="46" t="s">
        <v>176</v>
      </c>
      <c r="AK53">
        <f>Migrationsartikel!S51</f>
        <v>1</v>
      </c>
      <c r="AL53">
        <f>Migrationsartikel!S51</f>
        <v>1</v>
      </c>
      <c r="AM53">
        <f>Migrationsartikel!S51</f>
        <v>1</v>
      </c>
      <c r="AN53" t="str">
        <f>Migrationsartikel!U51</f>
        <v>(PCE) Stück</v>
      </c>
      <c r="AO53" t="str">
        <f t="shared" si="1"/>
        <v>(PCE) Pièce</v>
      </c>
      <c r="AP53" t="str">
        <f t="shared" si="2"/>
        <v>(PCE) Pièce</v>
      </c>
      <c r="AQ53" s="31" t="s">
        <v>195</v>
      </c>
      <c r="AR53" s="47"/>
      <c r="AS53" s="47"/>
      <c r="AT53" s="31" t="s">
        <v>208</v>
      </c>
      <c r="AU53" s="47"/>
      <c r="AV53" s="47"/>
      <c r="AW53" t="str">
        <f>IF(Migrationsartikel!AB51="ja","true",FALSE)</f>
        <v>true</v>
      </c>
      <c r="AX53" t="str">
        <f>IF(Migrationsartikel!AC51="ja","true",FALSE)</f>
        <v>true</v>
      </c>
      <c r="AY53" t="str">
        <f>IF(Migrationsartikel!AD51="ja","true",FALSE)</f>
        <v>true</v>
      </c>
      <c r="AZ53" t="str">
        <f>IF(Migrationsartikel!AE51="ja","true",FALSE)</f>
        <v>true</v>
      </c>
      <c r="BA53" t="str">
        <f>IF(Migrationsartikel!AF51="ja","Denner Partner","")</f>
        <v/>
      </c>
      <c r="BB53" t="str">
        <f>IF(Migrationsartikel!AG51="ja","true","false")</f>
        <v>false</v>
      </c>
      <c r="BC53" t="s">
        <v>1923</v>
      </c>
      <c r="BD53" s="31" t="s">
        <v>235</v>
      </c>
      <c r="BE53" s="31" t="s">
        <v>233</v>
      </c>
    </row>
    <row r="54" spans="2:57" ht="21.75" customHeight="1" x14ac:dyDescent="0.45">
      <c r="B54" t="s">
        <v>115</v>
      </c>
      <c r="E54" s="31" t="s">
        <v>1480</v>
      </c>
      <c r="F54" t="str">
        <f>"Warengruppe&gt;&gt;"&amp;Migrationsartikel!V52&amp;"&gt;&gt;"&amp;Migrationsartikel!W52&amp;"&gt;&gt;"&amp;Migrationsartikel!X52</f>
        <v>Warengruppe&gt;&gt;Backwaren &amp; Convenience&gt;&gt;Convenience-Produkte&gt;&gt;Ready to eat</v>
      </c>
      <c r="J54" s="31" t="s">
        <v>125</v>
      </c>
      <c r="M54" s="31" t="s">
        <v>137</v>
      </c>
      <c r="P54" s="31">
        <f>Migrationsartikel!B52</f>
        <v>802</v>
      </c>
      <c r="R54" t="str">
        <f>Migrationsartikel!F52&amp;" "&amp;Migrationsartikel!G52&amp;" "&amp;Migrationsartikel!H52</f>
        <v>Gastronomietheke aus der Region 1Stk</v>
      </c>
      <c r="S54" t="str">
        <f>Migrationsartikel!J52&amp;" "&amp;Migrationsartikel!K52&amp;" "&amp;Migrationsartikel!L52</f>
        <v>Comptoir gastronomie de la région 1pce</v>
      </c>
      <c r="T54" t="str">
        <f>Migrationsartikel!N52&amp;" "&amp;Migrationsartikel!O52&amp;" "&amp;Migrationsartikel!P52</f>
        <v>Banco gastronomia della regione 1pz</v>
      </c>
      <c r="U54" t="str">
        <f>Migrationsartikel!F52</f>
        <v>Gastronomietheke</v>
      </c>
      <c r="V54" t="str">
        <f>Migrationsartikel!J52</f>
        <v>Comptoir gastronomie</v>
      </c>
      <c r="W54" t="str">
        <f>Migrationsartikel!N52</f>
        <v>Banco gastronomia</v>
      </c>
      <c r="X54" t="str">
        <f>Migrationsartikel!G52</f>
        <v>aus der Region</v>
      </c>
      <c r="Y54" t="str">
        <f>Migrationsartikel!K52</f>
        <v>de la région</v>
      </c>
      <c r="Z54" t="str">
        <f>Migrationsartikel!O52</f>
        <v>della regione</v>
      </c>
      <c r="AA54" s="31" t="str">
        <f>Migrationsartikel!H52</f>
        <v>1Stk</v>
      </c>
      <c r="AB54" s="31" t="str">
        <f>Migrationsartikel!L52</f>
        <v>1pce</v>
      </c>
      <c r="AC54" s="31" t="str">
        <f>Migrationsartikel!P52</f>
        <v>1pz</v>
      </c>
      <c r="AD54" t="str">
        <f>Migrationsartikel!I52</f>
        <v>Gastronomietheke</v>
      </c>
      <c r="AE54" t="str">
        <f>Migrationsartikel!M52</f>
        <v>Comptoir gastronomie</v>
      </c>
      <c r="AF54" t="str">
        <f>Migrationsartikel!Q52</f>
        <v>Banco gastronomia</v>
      </c>
      <c r="AG54" s="45">
        <f>Migrationsartikel!R52</f>
        <v>1</v>
      </c>
      <c r="AH54" s="46" t="str">
        <f>Migrationsartikel!T52</f>
        <v>Stück</v>
      </c>
      <c r="AI54" s="46" t="str">
        <f t="shared" si="0"/>
        <v>7</v>
      </c>
      <c r="AJ54" s="46" t="s">
        <v>176</v>
      </c>
      <c r="AK54">
        <f>Migrationsartikel!S52</f>
        <v>1</v>
      </c>
      <c r="AL54">
        <f>Migrationsartikel!S52</f>
        <v>1</v>
      </c>
      <c r="AM54">
        <f>Migrationsartikel!S52</f>
        <v>1</v>
      </c>
      <c r="AN54" t="str">
        <f>Migrationsartikel!U52</f>
        <v>(PCE) Stück</v>
      </c>
      <c r="AO54" t="str">
        <f t="shared" si="1"/>
        <v>(PCE) Pièce</v>
      </c>
      <c r="AP54" t="str">
        <f t="shared" si="2"/>
        <v>(PCE) Pièce</v>
      </c>
      <c r="AQ54" s="31" t="s">
        <v>195</v>
      </c>
      <c r="AR54" s="47"/>
      <c r="AS54" s="47"/>
      <c r="AT54" s="31" t="s">
        <v>208</v>
      </c>
      <c r="AU54" s="47"/>
      <c r="AV54" s="47"/>
      <c r="AW54" t="str">
        <f>IF(Migrationsartikel!AB52="ja","true",FALSE)</f>
        <v>true</v>
      </c>
      <c r="AX54" t="str">
        <f>IF(Migrationsartikel!AC52="ja","true",FALSE)</f>
        <v>true</v>
      </c>
      <c r="AY54" t="str">
        <f>IF(Migrationsartikel!AD52="ja","true",FALSE)</f>
        <v>true</v>
      </c>
      <c r="AZ54" t="str">
        <f>IF(Migrationsartikel!AE52="ja","true",FALSE)</f>
        <v>true</v>
      </c>
      <c r="BA54" t="str">
        <f>IF(Migrationsartikel!AF52="ja","Denner Partner","")</f>
        <v/>
      </c>
      <c r="BB54" t="str">
        <f>IF(Migrationsartikel!AG52="ja","true","false")</f>
        <v>false</v>
      </c>
      <c r="BC54" t="s">
        <v>1923</v>
      </c>
      <c r="BD54" s="31" t="s">
        <v>235</v>
      </c>
      <c r="BE54" s="31" t="s">
        <v>233</v>
      </c>
    </row>
    <row r="55" spans="2:57" ht="21.75" customHeight="1" x14ac:dyDescent="0.45">
      <c r="B55" t="s">
        <v>115</v>
      </c>
      <c r="E55" s="31" t="s">
        <v>1481</v>
      </c>
      <c r="F55" t="str">
        <f>"Warengruppe&gt;&gt;"&amp;Migrationsartikel!V53&amp;"&gt;&gt;"&amp;Migrationsartikel!W53&amp;"&gt;&gt;"&amp;Migrationsartikel!X53</f>
        <v>Warengruppe&gt;&gt;Backwaren &amp; Convenience&gt;&gt;Tiefkühlprodukte&gt;&gt;Tiefkühlprodukte</v>
      </c>
      <c r="J55" s="31" t="s">
        <v>125</v>
      </c>
      <c r="M55" s="31" t="s">
        <v>137</v>
      </c>
      <c r="P55" s="31">
        <f>Migrationsartikel!B53</f>
        <v>803</v>
      </c>
      <c r="R55" t="str">
        <f>Migrationsartikel!F53&amp;" "&amp;Migrationsartikel!G53&amp;" "&amp;Migrationsartikel!H53</f>
        <v>Glace Becher aus der Region 1Stk</v>
      </c>
      <c r="S55" t="str">
        <f>Migrationsartikel!J53&amp;" "&amp;Migrationsartikel!K53&amp;" "&amp;Migrationsartikel!L53</f>
        <v>Glace gobelet de la région 1pce</v>
      </c>
      <c r="T55" t="str">
        <f>Migrationsartikel!N53&amp;" "&amp;Migrationsartikel!O53&amp;" "&amp;Migrationsartikel!P53</f>
        <v>Gelato coppetta della regione 1pz</v>
      </c>
      <c r="U55" t="str">
        <f>Migrationsartikel!F53</f>
        <v>Glace Becher</v>
      </c>
      <c r="V55" t="str">
        <f>Migrationsartikel!J53</f>
        <v>Glace gobelet</v>
      </c>
      <c r="W55" t="str">
        <f>Migrationsartikel!N53</f>
        <v>Gelato coppetta</v>
      </c>
      <c r="X55" t="str">
        <f>Migrationsartikel!G53</f>
        <v>aus der Region</v>
      </c>
      <c r="Y55" t="str">
        <f>Migrationsartikel!K53</f>
        <v>de la région</v>
      </c>
      <c r="Z55" t="str">
        <f>Migrationsartikel!O53</f>
        <v>della regione</v>
      </c>
      <c r="AA55" s="31" t="str">
        <f>Migrationsartikel!H53</f>
        <v>1Stk</v>
      </c>
      <c r="AB55" s="31" t="str">
        <f>Migrationsartikel!L53</f>
        <v>1pce</v>
      </c>
      <c r="AC55" s="31" t="str">
        <f>Migrationsartikel!P53</f>
        <v>1pz</v>
      </c>
      <c r="AD55" t="str">
        <f>Migrationsartikel!I53</f>
        <v>Glace Becher</v>
      </c>
      <c r="AE55" t="str">
        <f>Migrationsartikel!M53</f>
        <v>Glace gobelet</v>
      </c>
      <c r="AF55" t="str">
        <f>Migrationsartikel!Q53</f>
        <v>Gelato coppetta</v>
      </c>
      <c r="AG55" s="45">
        <f>Migrationsartikel!R53</f>
        <v>1</v>
      </c>
      <c r="AH55" s="46" t="str">
        <f>Migrationsartikel!T53</f>
        <v>Stück</v>
      </c>
      <c r="AI55" s="46" t="str">
        <f t="shared" si="0"/>
        <v>7</v>
      </c>
      <c r="AJ55" s="46" t="s">
        <v>176</v>
      </c>
      <c r="AK55">
        <f>Migrationsartikel!S53</f>
        <v>1</v>
      </c>
      <c r="AL55">
        <f>Migrationsartikel!S53</f>
        <v>1</v>
      </c>
      <c r="AM55">
        <f>Migrationsartikel!S53</f>
        <v>1</v>
      </c>
      <c r="AN55" t="str">
        <f>Migrationsartikel!U53</f>
        <v>(PCE) Stück</v>
      </c>
      <c r="AO55" t="str">
        <f t="shared" si="1"/>
        <v>(PCE) Pièce</v>
      </c>
      <c r="AP55" t="str">
        <f t="shared" si="2"/>
        <v>(PCE) Pièce</v>
      </c>
      <c r="AQ55" s="31" t="s">
        <v>195</v>
      </c>
      <c r="AR55" s="47"/>
      <c r="AS55" s="47"/>
      <c r="AT55" s="31" t="s">
        <v>208</v>
      </c>
      <c r="AU55" s="47"/>
      <c r="AV55" s="47"/>
      <c r="AW55" t="str">
        <f>IF(Migrationsartikel!AB53="ja","true",FALSE)</f>
        <v>true</v>
      </c>
      <c r="AX55" t="str">
        <f>IF(Migrationsartikel!AC53="ja","true",FALSE)</f>
        <v>true</v>
      </c>
      <c r="AY55" t="str">
        <f>IF(Migrationsartikel!AD53="ja","true",FALSE)</f>
        <v>true</v>
      </c>
      <c r="AZ55" t="str">
        <f>IF(Migrationsartikel!AE53="ja","true",FALSE)</f>
        <v>true</v>
      </c>
      <c r="BA55" t="str">
        <f>IF(Migrationsartikel!AF53="ja","Denner Partner","")</f>
        <v/>
      </c>
      <c r="BB55" t="str">
        <f>IF(Migrationsartikel!AG53="ja","true","false")</f>
        <v>false</v>
      </c>
      <c r="BC55" t="s">
        <v>1923</v>
      </c>
      <c r="BD55" s="31" t="s">
        <v>235</v>
      </c>
      <c r="BE55" s="31" t="s">
        <v>233</v>
      </c>
    </row>
    <row r="56" spans="2:57" ht="21.75" customHeight="1" x14ac:dyDescent="0.45">
      <c r="B56" t="s">
        <v>115</v>
      </c>
      <c r="E56" s="31" t="s">
        <v>1482</v>
      </c>
      <c r="F56" t="str">
        <f>"Warengruppe&gt;&gt;"&amp;Migrationsartikel!V54&amp;"&gt;&gt;"&amp;Migrationsartikel!W54&amp;"&gt;&gt;"&amp;Migrationsartikel!X54</f>
        <v>Warengruppe&gt;&gt;Backwaren &amp; Convenience&gt;&gt;Tiefkühlprodukte&gt;&gt;Tiefkühlprodukte</v>
      </c>
      <c r="J56" s="31" t="s">
        <v>125</v>
      </c>
      <c r="M56" s="31" t="s">
        <v>137</v>
      </c>
      <c r="P56" s="31">
        <f>Migrationsartikel!B54</f>
        <v>804</v>
      </c>
      <c r="R56" t="str">
        <f>Migrationsartikel!F54&amp;" "&amp;Migrationsartikel!G54&amp;" "&amp;Migrationsartikel!H54</f>
        <v>Glace Behälter aus der Region 1l</v>
      </c>
      <c r="S56" t="str">
        <f>Migrationsartikel!J54&amp;" "&amp;Migrationsartikel!K54&amp;" "&amp;Migrationsartikel!L54</f>
        <v>Glace bac de la région 1l</v>
      </c>
      <c r="T56" t="str">
        <f>Migrationsartikel!N54&amp;" "&amp;Migrationsartikel!O54&amp;" "&amp;Migrationsartikel!P54</f>
        <v>Gelato vaschetta della regione 1l</v>
      </c>
      <c r="U56" t="str">
        <f>Migrationsartikel!F54</f>
        <v>Glace Behälter</v>
      </c>
      <c r="V56" t="str">
        <f>Migrationsartikel!J54</f>
        <v>Glace bac</v>
      </c>
      <c r="W56" t="str">
        <f>Migrationsartikel!N54</f>
        <v>Gelato vaschetta</v>
      </c>
      <c r="X56" t="str">
        <f>Migrationsartikel!G54</f>
        <v>aus der Region</v>
      </c>
      <c r="Y56" t="str">
        <f>Migrationsartikel!K54</f>
        <v>de la région</v>
      </c>
      <c r="Z56" t="str">
        <f>Migrationsartikel!O54</f>
        <v>della regione</v>
      </c>
      <c r="AA56" s="31" t="str">
        <f>Migrationsartikel!H54</f>
        <v>1l</v>
      </c>
      <c r="AB56" s="31" t="str">
        <f>Migrationsartikel!L54</f>
        <v>1l</v>
      </c>
      <c r="AC56" s="31" t="str">
        <f>Migrationsartikel!P54</f>
        <v>1l</v>
      </c>
      <c r="AD56" t="str">
        <f>Migrationsartikel!I54</f>
        <v>Glace Behälter 1l</v>
      </c>
      <c r="AE56" t="str">
        <f>Migrationsartikel!M54</f>
        <v>Glace bac 1l</v>
      </c>
      <c r="AF56" t="str">
        <f>Migrationsartikel!Q54</f>
        <v>Gelato vaschetta 1l</v>
      </c>
      <c r="AG56" s="45">
        <f>Migrationsartikel!R54</f>
        <v>1</v>
      </c>
      <c r="AH56" s="46" t="str">
        <f>Migrationsartikel!T54</f>
        <v>Liter</v>
      </c>
      <c r="AI56" s="46" t="str">
        <f t="shared" si="0"/>
        <v>5</v>
      </c>
      <c r="AJ56" s="46" t="s">
        <v>176</v>
      </c>
      <c r="AK56">
        <f>Migrationsartikel!S54</f>
        <v>1</v>
      </c>
      <c r="AL56">
        <f>Migrationsartikel!S54</f>
        <v>1</v>
      </c>
      <c r="AM56">
        <f>Migrationsartikel!S54</f>
        <v>1</v>
      </c>
      <c r="AN56" t="str">
        <f>Migrationsartikel!U54</f>
        <v>(PCE) Stück</v>
      </c>
      <c r="AO56" t="str">
        <f t="shared" si="1"/>
        <v>(PCE) Pièce</v>
      </c>
      <c r="AP56" t="str">
        <f t="shared" si="2"/>
        <v>(PCE) Pièce</v>
      </c>
      <c r="AQ56" s="31" t="s">
        <v>195</v>
      </c>
      <c r="AR56" s="47"/>
      <c r="AS56" s="47"/>
      <c r="AT56" s="31" t="s">
        <v>208</v>
      </c>
      <c r="AU56" s="47"/>
      <c r="AV56" s="47"/>
      <c r="AW56" t="str">
        <f>IF(Migrationsartikel!AB54="ja","true",FALSE)</f>
        <v>true</v>
      </c>
      <c r="AX56" t="str">
        <f>IF(Migrationsartikel!AC54="ja","true",FALSE)</f>
        <v>true</v>
      </c>
      <c r="AY56" t="str">
        <f>IF(Migrationsartikel!AD54="ja","true",FALSE)</f>
        <v>true</v>
      </c>
      <c r="AZ56" t="str">
        <f>IF(Migrationsartikel!AE54="ja","true",FALSE)</f>
        <v>true</v>
      </c>
      <c r="BA56" t="str">
        <f>IF(Migrationsartikel!AF54="ja","Denner Partner","")</f>
        <v/>
      </c>
      <c r="BB56" t="str">
        <f>IF(Migrationsartikel!AG54="ja","true","false")</f>
        <v>false</v>
      </c>
      <c r="BC56" t="s">
        <v>1923</v>
      </c>
      <c r="BD56" s="31" t="s">
        <v>235</v>
      </c>
      <c r="BE56" s="31" t="s">
        <v>233</v>
      </c>
    </row>
    <row r="57" spans="2:57" ht="21.75" customHeight="1" x14ac:dyDescent="0.45">
      <c r="B57" t="s">
        <v>115</v>
      </c>
      <c r="E57" s="31" t="s">
        <v>1483</v>
      </c>
      <c r="F57" t="str">
        <f>"Warengruppe&gt;&gt;"&amp;Migrationsartikel!V55&amp;"&gt;&gt;"&amp;Migrationsartikel!W55&amp;"&gt;&gt;"&amp;Migrationsartikel!X55</f>
        <v>Warengruppe&gt;&gt;Food&gt;&gt;Grundnahrungsmittel&gt;&gt;Grundnahrungsmittel</v>
      </c>
      <c r="J57" s="31" t="s">
        <v>125</v>
      </c>
      <c r="M57" s="31" t="s">
        <v>137</v>
      </c>
      <c r="P57" s="31">
        <f>Migrationsartikel!B55</f>
        <v>805</v>
      </c>
      <c r="R57" t="str">
        <f>Migrationsartikel!F55&amp;" "&amp;Migrationsartikel!G55&amp;" "&amp;Migrationsartikel!H55</f>
        <v>Mehl  aus der Region 500g</v>
      </c>
      <c r="S57" t="str">
        <f>Migrationsartikel!J55&amp;" "&amp;Migrationsartikel!K55&amp;" "&amp;Migrationsartikel!L55</f>
        <v>Farine  de la région 500g</v>
      </c>
      <c r="T57" t="str">
        <f>Migrationsartikel!N55&amp;" "&amp;Migrationsartikel!O55&amp;" "&amp;Migrationsartikel!P55</f>
        <v>Farina  della regione 500g</v>
      </c>
      <c r="U57" t="str">
        <f>Migrationsartikel!F55</f>
        <v xml:space="preserve">Mehl </v>
      </c>
      <c r="V57" t="str">
        <f>Migrationsartikel!J55</f>
        <v xml:space="preserve">Farine </v>
      </c>
      <c r="W57" t="str">
        <f>Migrationsartikel!N55</f>
        <v xml:space="preserve">Farina </v>
      </c>
      <c r="X57" t="str">
        <f>Migrationsartikel!G55</f>
        <v>aus der Region</v>
      </c>
      <c r="Y57" t="str">
        <f>Migrationsartikel!K55</f>
        <v>de la région</v>
      </c>
      <c r="Z57" t="str">
        <f>Migrationsartikel!O55</f>
        <v>della regione</v>
      </c>
      <c r="AA57" s="31" t="str">
        <f>Migrationsartikel!H55</f>
        <v>500g</v>
      </c>
      <c r="AB57" s="31" t="str">
        <f>Migrationsartikel!L55</f>
        <v>500g</v>
      </c>
      <c r="AC57" s="31" t="str">
        <f>Migrationsartikel!P55</f>
        <v>500g</v>
      </c>
      <c r="AD57" t="str">
        <f>Migrationsartikel!I55</f>
        <v>Mehl 500g</v>
      </c>
      <c r="AE57" t="str">
        <f>Migrationsartikel!M55</f>
        <v>Farine 500g</v>
      </c>
      <c r="AF57" t="str">
        <f>Migrationsartikel!Q55</f>
        <v>Farina 500g</v>
      </c>
      <c r="AG57" s="45">
        <f>Migrationsartikel!R55</f>
        <v>0.5</v>
      </c>
      <c r="AH57" s="46" t="str">
        <f>Migrationsartikel!T55</f>
        <v>Kilogramm</v>
      </c>
      <c r="AI57" s="46" t="str">
        <f t="shared" si="0"/>
        <v>3</v>
      </c>
      <c r="AJ57" s="46" t="s">
        <v>176</v>
      </c>
      <c r="AK57">
        <f>Migrationsartikel!S55</f>
        <v>1</v>
      </c>
      <c r="AL57">
        <f>Migrationsartikel!S55</f>
        <v>1</v>
      </c>
      <c r="AM57">
        <f>Migrationsartikel!S55</f>
        <v>1</v>
      </c>
      <c r="AN57" t="str">
        <f>Migrationsartikel!U55</f>
        <v>(PCE) Stück</v>
      </c>
      <c r="AO57" t="str">
        <f t="shared" si="1"/>
        <v>(PCE) Pièce</v>
      </c>
      <c r="AP57" t="str">
        <f t="shared" si="2"/>
        <v>(PCE) Pièce</v>
      </c>
      <c r="AQ57" s="31" t="s">
        <v>195</v>
      </c>
      <c r="AR57" s="47"/>
      <c r="AS57" s="47"/>
      <c r="AT57" s="31" t="s">
        <v>208</v>
      </c>
      <c r="AU57" s="47"/>
      <c r="AV57" s="47"/>
      <c r="AW57" t="str">
        <f>IF(Migrationsartikel!AB55="ja","true",FALSE)</f>
        <v>true</v>
      </c>
      <c r="AX57" t="str">
        <f>IF(Migrationsartikel!AC55="ja","true",FALSE)</f>
        <v>true</v>
      </c>
      <c r="AY57" t="str">
        <f>IF(Migrationsartikel!AD55="ja","true",FALSE)</f>
        <v>true</v>
      </c>
      <c r="AZ57" t="str">
        <f>IF(Migrationsartikel!AE55="ja","true",FALSE)</f>
        <v>true</v>
      </c>
      <c r="BA57" t="str">
        <f>IF(Migrationsartikel!AF55="ja","Denner Partner","")</f>
        <v/>
      </c>
      <c r="BB57" t="str">
        <f>IF(Migrationsartikel!AG55="ja","true","false")</f>
        <v>false</v>
      </c>
      <c r="BC57" t="s">
        <v>1923</v>
      </c>
      <c r="BD57" s="31" t="s">
        <v>235</v>
      </c>
      <c r="BE57" s="31" t="s">
        <v>233</v>
      </c>
    </row>
    <row r="58" spans="2:57" ht="21.75" customHeight="1" x14ac:dyDescent="0.45">
      <c r="B58" t="s">
        <v>115</v>
      </c>
      <c r="E58" s="31" t="s">
        <v>1484</v>
      </c>
      <c r="F58" t="str">
        <f>"Warengruppe&gt;&gt;"&amp;Migrationsartikel!V56&amp;"&gt;&gt;"&amp;Migrationsartikel!W56&amp;"&gt;&gt;"&amp;Migrationsartikel!X56</f>
        <v>Warengruppe&gt;&gt;Food&gt;&gt;Grundnahrungsmittel&gt;&gt;Grundnahrungsmittel</v>
      </c>
      <c r="J58" s="31" t="s">
        <v>125</v>
      </c>
      <c r="M58" s="31" t="s">
        <v>137</v>
      </c>
      <c r="P58" s="31">
        <f>Migrationsartikel!B56</f>
        <v>806</v>
      </c>
      <c r="R58" t="str">
        <f>Migrationsartikel!F56&amp;" "&amp;Migrationsartikel!G56&amp;" "&amp;Migrationsartikel!H56</f>
        <v>Mehl  aus der Region 1kg</v>
      </c>
      <c r="S58" t="str">
        <f>Migrationsartikel!J56&amp;" "&amp;Migrationsartikel!K56&amp;" "&amp;Migrationsartikel!L56</f>
        <v>Farine  de la région 1kg</v>
      </c>
      <c r="T58" t="str">
        <f>Migrationsartikel!N56&amp;" "&amp;Migrationsartikel!O56&amp;" "&amp;Migrationsartikel!P56</f>
        <v>Farina  della regione 1kg</v>
      </c>
      <c r="U58" t="str">
        <f>Migrationsartikel!F56</f>
        <v xml:space="preserve">Mehl </v>
      </c>
      <c r="V58" t="str">
        <f>Migrationsartikel!J56</f>
        <v xml:space="preserve">Farine </v>
      </c>
      <c r="W58" t="str">
        <f>Migrationsartikel!N56</f>
        <v xml:space="preserve">Farina </v>
      </c>
      <c r="X58" t="str">
        <f>Migrationsartikel!G56</f>
        <v>aus der Region</v>
      </c>
      <c r="Y58" t="str">
        <f>Migrationsartikel!K56</f>
        <v>de la région</v>
      </c>
      <c r="Z58" t="str">
        <f>Migrationsartikel!O56</f>
        <v>della regione</v>
      </c>
      <c r="AA58" s="31" t="str">
        <f>Migrationsartikel!H56</f>
        <v>1kg</v>
      </c>
      <c r="AB58" s="31" t="str">
        <f>Migrationsartikel!L56</f>
        <v>1kg</v>
      </c>
      <c r="AC58" s="31" t="str">
        <f>Migrationsartikel!P56</f>
        <v>1kg</v>
      </c>
      <c r="AD58" t="str">
        <f>Migrationsartikel!I56</f>
        <v>Mehl 1kg</v>
      </c>
      <c r="AE58" t="str">
        <f>Migrationsartikel!M56</f>
        <v>Farine 1kg</v>
      </c>
      <c r="AF58" t="str">
        <f>Migrationsartikel!Q56</f>
        <v>Farina 1kg</v>
      </c>
      <c r="AG58" s="45">
        <f>Migrationsartikel!R56</f>
        <v>1</v>
      </c>
      <c r="AH58" s="46" t="str">
        <f>Migrationsartikel!T56</f>
        <v>Kilogramm</v>
      </c>
      <c r="AI58" s="46" t="str">
        <f t="shared" si="0"/>
        <v>3</v>
      </c>
      <c r="AJ58" s="46" t="s">
        <v>176</v>
      </c>
      <c r="AK58">
        <f>Migrationsartikel!S56</f>
        <v>1</v>
      </c>
      <c r="AL58">
        <f>Migrationsartikel!S56</f>
        <v>1</v>
      </c>
      <c r="AM58">
        <f>Migrationsartikel!S56</f>
        <v>1</v>
      </c>
      <c r="AN58" t="str">
        <f>Migrationsartikel!U56</f>
        <v>(PCE) Stück</v>
      </c>
      <c r="AO58" t="str">
        <f t="shared" si="1"/>
        <v>(PCE) Pièce</v>
      </c>
      <c r="AP58" t="str">
        <f t="shared" si="2"/>
        <v>(PCE) Pièce</v>
      </c>
      <c r="AQ58" s="31" t="s">
        <v>195</v>
      </c>
      <c r="AR58" s="47"/>
      <c r="AS58" s="47"/>
      <c r="AT58" s="31" t="s">
        <v>208</v>
      </c>
      <c r="AU58" s="47"/>
      <c r="AV58" s="47"/>
      <c r="AW58" t="str">
        <f>IF(Migrationsartikel!AB56="ja","true",FALSE)</f>
        <v>true</v>
      </c>
      <c r="AX58" t="str">
        <f>IF(Migrationsartikel!AC56="ja","true",FALSE)</f>
        <v>true</v>
      </c>
      <c r="AY58" t="str">
        <f>IF(Migrationsartikel!AD56="ja","true",FALSE)</f>
        <v>true</v>
      </c>
      <c r="AZ58" t="str">
        <f>IF(Migrationsartikel!AE56="ja","true",FALSE)</f>
        <v>true</v>
      </c>
      <c r="BA58" t="str">
        <f>IF(Migrationsartikel!AF56="ja","Denner Partner","")</f>
        <v/>
      </c>
      <c r="BB58" t="str">
        <f>IF(Migrationsartikel!AG56="ja","true","false")</f>
        <v>false</v>
      </c>
      <c r="BC58" t="s">
        <v>1923</v>
      </c>
      <c r="BD58" s="31" t="s">
        <v>235</v>
      </c>
      <c r="BE58" s="31" t="s">
        <v>233</v>
      </c>
    </row>
    <row r="59" spans="2:57" ht="21.75" customHeight="1" x14ac:dyDescent="0.45">
      <c r="B59" t="s">
        <v>115</v>
      </c>
      <c r="E59" s="31" t="s">
        <v>1485</v>
      </c>
      <c r="F59" t="str">
        <f>"Warengruppe&gt;&gt;"&amp;Migrationsartikel!V57&amp;"&gt;&gt;"&amp;Migrationsartikel!W57&amp;"&gt;&gt;"&amp;Migrationsartikel!X57</f>
        <v>Warengruppe&gt;&gt;Food&gt;&gt;Öl/Essig/Salatsaucen&gt;&gt;Öl/Essig/Salatsaucen</v>
      </c>
      <c r="J59" s="31" t="s">
        <v>125</v>
      </c>
      <c r="M59" s="31" t="s">
        <v>137</v>
      </c>
      <c r="P59" s="31">
        <f>Migrationsartikel!B57</f>
        <v>807</v>
      </c>
      <c r="R59" t="str">
        <f>Migrationsartikel!F57&amp;" "&amp;Migrationsartikel!G57&amp;" "&amp;Migrationsartikel!H57</f>
        <v>Salatsauce  aus der Region 500ml</v>
      </c>
      <c r="S59" t="str">
        <f>Migrationsartikel!J57&amp;" "&amp;Migrationsartikel!K57&amp;" "&amp;Migrationsartikel!L57</f>
        <v>Sauce à salade de la région 500ml</v>
      </c>
      <c r="T59" t="str">
        <f>Migrationsartikel!N57&amp;" "&amp;Migrationsartikel!O57&amp;" "&amp;Migrationsartikel!P57</f>
        <v>Salsa per insalata della regione 500ml</v>
      </c>
      <c r="U59" t="str">
        <f>Migrationsartikel!F57</f>
        <v xml:space="preserve">Salatsauce </v>
      </c>
      <c r="V59" t="str">
        <f>Migrationsartikel!J57</f>
        <v>Sauce à salade</v>
      </c>
      <c r="W59" t="str">
        <f>Migrationsartikel!N57</f>
        <v>Salsa per insalata</v>
      </c>
      <c r="X59" t="str">
        <f>Migrationsartikel!G57</f>
        <v>aus der Region</v>
      </c>
      <c r="Y59" t="str">
        <f>Migrationsartikel!K57</f>
        <v>de la région</v>
      </c>
      <c r="Z59" t="str">
        <f>Migrationsartikel!O57</f>
        <v>della regione</v>
      </c>
      <c r="AA59" s="31" t="str">
        <f>Migrationsartikel!H57</f>
        <v>500ml</v>
      </c>
      <c r="AB59" s="31" t="str">
        <f>Migrationsartikel!L57</f>
        <v>500ml</v>
      </c>
      <c r="AC59" s="31" t="str">
        <f>Migrationsartikel!P57</f>
        <v>500ml</v>
      </c>
      <c r="AD59" t="str">
        <f>Migrationsartikel!I57</f>
        <v>Salatsauce 500ml</v>
      </c>
      <c r="AE59" t="str">
        <f>Migrationsartikel!M57</f>
        <v>Sauce à salade 500ml</v>
      </c>
      <c r="AF59" t="str">
        <f>Migrationsartikel!Q57</f>
        <v>Salsa per insalata 500ml</v>
      </c>
      <c r="AG59" s="45">
        <f>Migrationsartikel!R57</f>
        <v>0.5</v>
      </c>
      <c r="AH59" s="46" t="str">
        <f>Migrationsartikel!T57</f>
        <v>Liter</v>
      </c>
      <c r="AI59" s="46" t="str">
        <f t="shared" si="0"/>
        <v>5</v>
      </c>
      <c r="AJ59" s="46" t="s">
        <v>176</v>
      </c>
      <c r="AK59">
        <f>Migrationsartikel!S57</f>
        <v>1</v>
      </c>
      <c r="AL59">
        <f>Migrationsartikel!S57</f>
        <v>1</v>
      </c>
      <c r="AM59">
        <f>Migrationsartikel!S57</f>
        <v>1</v>
      </c>
      <c r="AN59" t="str">
        <f>Migrationsartikel!U57</f>
        <v>(PCE) Stück</v>
      </c>
      <c r="AO59" t="str">
        <f t="shared" si="1"/>
        <v>(PCE) Pièce</v>
      </c>
      <c r="AP59" t="str">
        <f t="shared" si="2"/>
        <v>(PCE) Pièce</v>
      </c>
      <c r="AQ59" s="31" t="s">
        <v>195</v>
      </c>
      <c r="AR59" s="47"/>
      <c r="AS59" s="47"/>
      <c r="AT59" s="31" t="s">
        <v>208</v>
      </c>
      <c r="AU59" s="47"/>
      <c r="AV59" s="47"/>
      <c r="AW59" t="str">
        <f>IF(Migrationsartikel!AB57="ja","true",FALSE)</f>
        <v>true</v>
      </c>
      <c r="AX59" t="str">
        <f>IF(Migrationsartikel!AC57="ja","true",FALSE)</f>
        <v>true</v>
      </c>
      <c r="AY59" t="str">
        <f>IF(Migrationsartikel!AD57="ja","true",FALSE)</f>
        <v>true</v>
      </c>
      <c r="AZ59" t="str">
        <f>IF(Migrationsartikel!AE57="ja","true",FALSE)</f>
        <v>true</v>
      </c>
      <c r="BA59" t="str">
        <f>IF(Migrationsartikel!AF57="ja","Denner Partner","")</f>
        <v/>
      </c>
      <c r="BB59" t="str">
        <f>IF(Migrationsartikel!AG57="ja","true","false")</f>
        <v>false</v>
      </c>
      <c r="BC59" t="s">
        <v>1923</v>
      </c>
      <c r="BD59" s="31" t="s">
        <v>235</v>
      </c>
      <c r="BE59" s="31" t="s">
        <v>233</v>
      </c>
    </row>
    <row r="60" spans="2:57" ht="21.75" customHeight="1" x14ac:dyDescent="0.45">
      <c r="B60" t="s">
        <v>115</v>
      </c>
      <c r="E60" s="31" t="s">
        <v>1486</v>
      </c>
      <c r="F60" t="str">
        <f>"Warengruppe&gt;&gt;"&amp;Migrationsartikel!V58&amp;"&gt;&gt;"&amp;Migrationsartikel!W58&amp;"&gt;&gt;"&amp;Migrationsartikel!X58</f>
        <v>Warengruppe&gt;&gt;Food&gt;&gt;Öl/Essig/Salatsaucen&gt;&gt;Öl/Essig/Salatsaucen</v>
      </c>
      <c r="J60" s="31" t="s">
        <v>125</v>
      </c>
      <c r="M60" s="31" t="s">
        <v>137</v>
      </c>
      <c r="P60" s="31">
        <f>Migrationsartikel!B58</f>
        <v>808</v>
      </c>
      <c r="R60" t="str">
        <f>Migrationsartikel!F58&amp;" "&amp;Migrationsartikel!G58&amp;" "&amp;Migrationsartikel!H58</f>
        <v>Salatsauce  aus der Region 1l</v>
      </c>
      <c r="S60" t="str">
        <f>Migrationsartikel!J58&amp;" "&amp;Migrationsartikel!K58&amp;" "&amp;Migrationsartikel!L58</f>
        <v>Sauce à salade de la région 1l</v>
      </c>
      <c r="T60" t="str">
        <f>Migrationsartikel!N58&amp;" "&amp;Migrationsartikel!O58&amp;" "&amp;Migrationsartikel!P58</f>
        <v>Salsa per insalata della regione 1l</v>
      </c>
      <c r="U60" t="str">
        <f>Migrationsartikel!F58</f>
        <v xml:space="preserve">Salatsauce </v>
      </c>
      <c r="V60" t="str">
        <f>Migrationsartikel!J58</f>
        <v>Sauce à salade</v>
      </c>
      <c r="W60" t="str">
        <f>Migrationsartikel!N58</f>
        <v>Salsa per insalata</v>
      </c>
      <c r="X60" t="str">
        <f>Migrationsartikel!G58</f>
        <v>aus der Region</v>
      </c>
      <c r="Y60" t="str">
        <f>Migrationsartikel!K58</f>
        <v>de la région</v>
      </c>
      <c r="Z60" t="str">
        <f>Migrationsartikel!O58</f>
        <v>della regione</v>
      </c>
      <c r="AA60" s="31" t="str">
        <f>Migrationsartikel!H58</f>
        <v>1l</v>
      </c>
      <c r="AB60" s="31" t="str">
        <f>Migrationsartikel!L58</f>
        <v>1l</v>
      </c>
      <c r="AC60" s="31" t="str">
        <f>Migrationsartikel!P58</f>
        <v>1l</v>
      </c>
      <c r="AD60" t="str">
        <f>Migrationsartikel!I58</f>
        <v>Salatsauce 1l</v>
      </c>
      <c r="AE60" t="str">
        <f>Migrationsartikel!M58</f>
        <v>Sauce à salade 1l</v>
      </c>
      <c r="AF60" t="str">
        <f>Migrationsartikel!Q58</f>
        <v>Salsa per insalata 1l</v>
      </c>
      <c r="AG60" s="45">
        <f>Migrationsartikel!R58</f>
        <v>1</v>
      </c>
      <c r="AH60" s="46" t="str">
        <f>Migrationsartikel!T58</f>
        <v>Liter</v>
      </c>
      <c r="AI60" s="46" t="str">
        <f t="shared" si="0"/>
        <v>5</v>
      </c>
      <c r="AJ60" s="46" t="s">
        <v>176</v>
      </c>
      <c r="AK60">
        <f>Migrationsartikel!S58</f>
        <v>1</v>
      </c>
      <c r="AL60">
        <f>Migrationsartikel!S58</f>
        <v>1</v>
      </c>
      <c r="AM60">
        <f>Migrationsartikel!S58</f>
        <v>1</v>
      </c>
      <c r="AN60" t="str">
        <f>Migrationsartikel!U58</f>
        <v>(PCE) Stück</v>
      </c>
      <c r="AO60" t="str">
        <f t="shared" si="1"/>
        <v>(PCE) Pièce</v>
      </c>
      <c r="AP60" t="str">
        <f t="shared" si="2"/>
        <v>(PCE) Pièce</v>
      </c>
      <c r="AQ60" s="31" t="s">
        <v>195</v>
      </c>
      <c r="AR60" s="47"/>
      <c r="AS60" s="47"/>
      <c r="AT60" s="31" t="s">
        <v>208</v>
      </c>
      <c r="AU60" s="47"/>
      <c r="AV60" s="47"/>
      <c r="AW60" t="str">
        <f>IF(Migrationsartikel!AB58="ja","true",FALSE)</f>
        <v>true</v>
      </c>
      <c r="AX60" t="str">
        <f>IF(Migrationsartikel!AC58="ja","true",FALSE)</f>
        <v>true</v>
      </c>
      <c r="AY60" t="str">
        <f>IF(Migrationsartikel!AD58="ja","true",FALSE)</f>
        <v>true</v>
      </c>
      <c r="AZ60" t="str">
        <f>IF(Migrationsartikel!AE58="ja","true",FALSE)</f>
        <v>true</v>
      </c>
      <c r="BA60" t="str">
        <f>IF(Migrationsartikel!AF58="ja","Denner Partner","")</f>
        <v/>
      </c>
      <c r="BB60" t="str">
        <f>IF(Migrationsartikel!AG58="ja","true","false")</f>
        <v>false</v>
      </c>
      <c r="BC60" t="s">
        <v>1923</v>
      </c>
      <c r="BD60" s="31" t="s">
        <v>235</v>
      </c>
      <c r="BE60" s="31" t="s">
        <v>233</v>
      </c>
    </row>
    <row r="61" spans="2:57" ht="21.75" customHeight="1" x14ac:dyDescent="0.45">
      <c r="B61" t="s">
        <v>115</v>
      </c>
      <c r="E61" s="31" t="s">
        <v>1487</v>
      </c>
      <c r="F61" t="str">
        <f>"Warengruppe&gt;&gt;"&amp;Migrationsartikel!V59&amp;"&gt;&gt;"&amp;Migrationsartikel!W59&amp;"&gt;&gt;"&amp;Migrationsartikel!X59</f>
        <v>Warengruppe&gt;&gt;Food&gt;&gt;Schokolade&gt;&gt;Schokolade</v>
      </c>
      <c r="J61" s="31" t="s">
        <v>125</v>
      </c>
      <c r="M61" s="31" t="s">
        <v>137</v>
      </c>
      <c r="P61" s="31">
        <f>Migrationsartikel!B59</f>
        <v>809</v>
      </c>
      <c r="R61" t="str">
        <f>Migrationsartikel!F59&amp;" "&amp;Migrationsartikel!G59&amp;" "&amp;Migrationsartikel!H59</f>
        <v>Mohrenkopf aus der Region 1Stk</v>
      </c>
      <c r="S61" t="str">
        <f>Migrationsartikel!J59&amp;" "&amp;Migrationsartikel!K59&amp;" "&amp;Migrationsartikel!L59</f>
        <v>Tête de choco de la région 1pce</v>
      </c>
      <c r="T61" t="str">
        <f>Migrationsartikel!N59&amp;" "&amp;Migrationsartikel!O59&amp;" "&amp;Migrationsartikel!P59</f>
        <v>Moretti della regione 1pz</v>
      </c>
      <c r="U61" t="str">
        <f>Migrationsartikel!F59</f>
        <v>Mohrenkopf</v>
      </c>
      <c r="V61" t="str">
        <f>Migrationsartikel!J59</f>
        <v>Tête de choco</v>
      </c>
      <c r="W61" t="str">
        <f>Migrationsartikel!N59</f>
        <v>Moretti</v>
      </c>
      <c r="X61" t="str">
        <f>Migrationsartikel!G59</f>
        <v>aus der Region</v>
      </c>
      <c r="Y61" t="str">
        <f>Migrationsartikel!K59</f>
        <v>de la région</v>
      </c>
      <c r="Z61" t="str">
        <f>Migrationsartikel!O59</f>
        <v>della regione</v>
      </c>
      <c r="AA61" s="31" t="str">
        <f>Migrationsartikel!H59</f>
        <v>1Stk</v>
      </c>
      <c r="AB61" s="31" t="str">
        <f>Migrationsartikel!L59</f>
        <v>1pce</v>
      </c>
      <c r="AC61" s="31" t="str">
        <f>Migrationsartikel!P59</f>
        <v>1pz</v>
      </c>
      <c r="AD61" t="str">
        <f>Migrationsartikel!I59</f>
        <v>Mohrenkopf</v>
      </c>
      <c r="AE61" t="str">
        <f>Migrationsartikel!M59</f>
        <v>Tête de choco</v>
      </c>
      <c r="AF61" t="str">
        <f>Migrationsartikel!Q59</f>
        <v>Moretti</v>
      </c>
      <c r="AG61" s="45">
        <f>Migrationsartikel!R59</f>
        <v>1</v>
      </c>
      <c r="AH61" s="46" t="str">
        <f>Migrationsartikel!T59</f>
        <v>Stück</v>
      </c>
      <c r="AI61" s="46" t="str">
        <f t="shared" si="0"/>
        <v>7</v>
      </c>
      <c r="AJ61" s="46" t="s">
        <v>176</v>
      </c>
      <c r="AK61">
        <f>Migrationsartikel!S59</f>
        <v>1</v>
      </c>
      <c r="AL61">
        <f>Migrationsartikel!S59</f>
        <v>1</v>
      </c>
      <c r="AM61">
        <f>Migrationsartikel!S59</f>
        <v>1</v>
      </c>
      <c r="AN61" t="str">
        <f>Migrationsartikel!U59</f>
        <v>(PCE) Stück</v>
      </c>
      <c r="AO61" t="str">
        <f t="shared" si="1"/>
        <v>(PCE) Pièce</v>
      </c>
      <c r="AP61" t="str">
        <f t="shared" si="2"/>
        <v>(PCE) Pièce</v>
      </c>
      <c r="AQ61" s="31" t="s">
        <v>195</v>
      </c>
      <c r="AR61" s="47"/>
      <c r="AS61" s="47"/>
      <c r="AT61" s="31" t="s">
        <v>208</v>
      </c>
      <c r="AU61" s="47"/>
      <c r="AV61" s="47"/>
      <c r="AW61" t="str">
        <f>IF(Migrationsartikel!AB59="ja","true",FALSE)</f>
        <v>true</v>
      </c>
      <c r="AX61" t="str">
        <f>IF(Migrationsartikel!AC59="ja","true",FALSE)</f>
        <v>true</v>
      </c>
      <c r="AY61" t="str">
        <f>IF(Migrationsartikel!AD59="ja","true",FALSE)</f>
        <v>true</v>
      </c>
      <c r="AZ61" t="str">
        <f>IF(Migrationsartikel!AE59="ja","true",FALSE)</f>
        <v>true</v>
      </c>
      <c r="BA61" t="str">
        <f>IF(Migrationsartikel!AF59="ja","Denner Partner","")</f>
        <v/>
      </c>
      <c r="BB61" t="str">
        <f>IF(Migrationsartikel!AG59="ja","true","false")</f>
        <v>false</v>
      </c>
      <c r="BC61" t="s">
        <v>1923</v>
      </c>
      <c r="BD61" s="31" t="s">
        <v>235</v>
      </c>
      <c r="BE61" s="31" t="s">
        <v>233</v>
      </c>
    </row>
    <row r="62" spans="2:57" ht="21.75" customHeight="1" x14ac:dyDescent="0.45">
      <c r="B62" t="s">
        <v>115</v>
      </c>
      <c r="E62" s="31" t="s">
        <v>1488</v>
      </c>
      <c r="F62" t="str">
        <f>"Warengruppe&gt;&gt;"&amp;Migrationsartikel!V60&amp;"&gt;&gt;"&amp;Migrationsartikel!W60&amp;"&gt;&gt;"&amp;Migrationsartikel!X60</f>
        <v>Warengruppe&gt;&gt;Food&gt;&gt;Sonstige Nahrungsmittel&gt;&gt;Sonstige Nahrungsmittel</v>
      </c>
      <c r="J62" s="31" t="s">
        <v>125</v>
      </c>
      <c r="M62" s="31" t="s">
        <v>137</v>
      </c>
      <c r="P62" s="31">
        <f>Migrationsartikel!B60</f>
        <v>810</v>
      </c>
      <c r="R62" t="str">
        <f>Migrationsartikel!F60&amp;" "&amp;Migrationsartikel!G60&amp;" "&amp;Migrationsartikel!H60</f>
        <v>Bénichon-Senf aus der Region 100g</v>
      </c>
      <c r="S62" t="str">
        <f>Migrationsartikel!J60&amp;" "&amp;Migrationsartikel!K60&amp;" "&amp;Migrationsartikel!L60</f>
        <v>Moutarde de Bénichon de la région 100g</v>
      </c>
      <c r="T62" t="str">
        <f>Migrationsartikel!N60&amp;" "&amp;Migrationsartikel!O60&amp;" "&amp;Migrationsartikel!P60</f>
        <v>Senape di Bénichon della regione 100g</v>
      </c>
      <c r="U62" t="str">
        <f>Migrationsartikel!F60</f>
        <v>Bénichon-Senf</v>
      </c>
      <c r="V62" t="str">
        <f>Migrationsartikel!J60</f>
        <v>Moutarde de Bénichon</v>
      </c>
      <c r="W62" t="str">
        <f>Migrationsartikel!N60</f>
        <v>Senape di Bénichon</v>
      </c>
      <c r="X62" t="str">
        <f>Migrationsartikel!G60</f>
        <v>aus der Region</v>
      </c>
      <c r="Y62" t="str">
        <f>Migrationsartikel!K60</f>
        <v>de la région</v>
      </c>
      <c r="Z62" t="str">
        <f>Migrationsartikel!O60</f>
        <v>della regione</v>
      </c>
      <c r="AA62" s="31" t="str">
        <f>Migrationsartikel!H60</f>
        <v>100g</v>
      </c>
      <c r="AB62" s="31" t="str">
        <f>Migrationsartikel!L60</f>
        <v>100g</v>
      </c>
      <c r="AC62" s="31" t="str">
        <f>Migrationsartikel!P60</f>
        <v>100g</v>
      </c>
      <c r="AD62" t="str">
        <f>Migrationsartikel!I60</f>
        <v>Bénichon-Senf 100g</v>
      </c>
      <c r="AE62" t="str">
        <f>Migrationsartikel!M60</f>
        <v>Moutarde de Bénichon 100g</v>
      </c>
      <c r="AF62" t="str">
        <f>Migrationsartikel!Q60</f>
        <v>Senape di Bénichon 100g</v>
      </c>
      <c r="AG62" s="45">
        <f>Migrationsartikel!R60</f>
        <v>0.1</v>
      </c>
      <c r="AH62" s="46" t="str">
        <f>Migrationsartikel!T60</f>
        <v>Gramm</v>
      </c>
      <c r="AI62" s="46" t="str">
        <f t="shared" si="0"/>
        <v>Gramm</v>
      </c>
      <c r="AJ62" s="46" t="s">
        <v>176</v>
      </c>
      <c r="AK62">
        <f>Migrationsartikel!S60</f>
        <v>1</v>
      </c>
      <c r="AL62">
        <f>Migrationsartikel!S60</f>
        <v>1</v>
      </c>
      <c r="AM62">
        <f>Migrationsartikel!S60</f>
        <v>1</v>
      </c>
      <c r="AN62" t="str">
        <f>Migrationsartikel!U60</f>
        <v>(PCE) Stück</v>
      </c>
      <c r="AO62" t="str">
        <f t="shared" si="1"/>
        <v>(PCE) Pièce</v>
      </c>
      <c r="AP62" t="str">
        <f t="shared" si="2"/>
        <v>(PCE) Pièce</v>
      </c>
      <c r="AQ62" s="31" t="s">
        <v>195</v>
      </c>
      <c r="AR62" s="47"/>
      <c r="AS62" s="47"/>
      <c r="AT62" s="31" t="s">
        <v>208</v>
      </c>
      <c r="AU62" s="47"/>
      <c r="AV62" s="47"/>
      <c r="AW62" t="str">
        <f>IF(Migrationsartikel!AB60="ja","true",FALSE)</f>
        <v>true</v>
      </c>
      <c r="AX62" t="str">
        <f>IF(Migrationsartikel!AC60="ja","true",FALSE)</f>
        <v>true</v>
      </c>
      <c r="AY62" t="str">
        <f>IF(Migrationsartikel!AD60="ja","true",FALSE)</f>
        <v>true</v>
      </c>
      <c r="AZ62" t="str">
        <f>IF(Migrationsartikel!AE60="ja","true",FALSE)</f>
        <v>true</v>
      </c>
      <c r="BA62" t="str">
        <f>IF(Migrationsartikel!AF60="ja","Denner Partner","")</f>
        <v/>
      </c>
      <c r="BB62" t="str">
        <f>IF(Migrationsartikel!AG60="ja","true","false")</f>
        <v>false</v>
      </c>
      <c r="BC62" t="s">
        <v>1923</v>
      </c>
      <c r="BD62" s="31" t="s">
        <v>235</v>
      </c>
      <c r="BE62" s="31" t="s">
        <v>233</v>
      </c>
    </row>
    <row r="63" spans="2:57" ht="21.75" customHeight="1" x14ac:dyDescent="0.45">
      <c r="B63" t="s">
        <v>115</v>
      </c>
      <c r="E63" s="31" t="s">
        <v>1489</v>
      </c>
      <c r="F63" t="str">
        <f>"Warengruppe&gt;&gt;"&amp;Migrationsartikel!V61&amp;"&gt;&gt;"&amp;Migrationsartikel!W61&amp;"&gt;&gt;"&amp;Migrationsartikel!X61</f>
        <v>Warengruppe&gt;&gt;Food&gt;&gt;Sonstige Nahrungsmittel&gt;&gt;Sonstige Nahrungsmittel</v>
      </c>
      <c r="J63" s="31" t="s">
        <v>125</v>
      </c>
      <c r="M63" s="31" t="s">
        <v>137</v>
      </c>
      <c r="P63" s="31">
        <f>Migrationsartikel!B61</f>
        <v>811</v>
      </c>
      <c r="R63" t="str">
        <f>Migrationsartikel!F61&amp;" "&amp;Migrationsartikel!G61&amp;" "&amp;Migrationsartikel!H61</f>
        <v>Bénichon-Senf aus der Region 250g</v>
      </c>
      <c r="S63" t="str">
        <f>Migrationsartikel!J61&amp;" "&amp;Migrationsartikel!K61&amp;" "&amp;Migrationsartikel!L61</f>
        <v>Moutarde de Bénichon de la région 250g</v>
      </c>
      <c r="T63" t="str">
        <f>Migrationsartikel!N61&amp;" "&amp;Migrationsartikel!O61&amp;" "&amp;Migrationsartikel!P61</f>
        <v>Senape di Bénichon della regione 250g</v>
      </c>
      <c r="U63" t="str">
        <f>Migrationsartikel!F61</f>
        <v>Bénichon-Senf</v>
      </c>
      <c r="V63" t="str">
        <f>Migrationsartikel!J61</f>
        <v>Moutarde de Bénichon</v>
      </c>
      <c r="W63" t="str">
        <f>Migrationsartikel!N61</f>
        <v>Senape di Bénichon</v>
      </c>
      <c r="X63" t="str">
        <f>Migrationsartikel!G61</f>
        <v>aus der Region</v>
      </c>
      <c r="Y63" t="str">
        <f>Migrationsartikel!K61</f>
        <v>de la région</v>
      </c>
      <c r="Z63" t="str">
        <f>Migrationsartikel!O61</f>
        <v>della regione</v>
      </c>
      <c r="AA63" s="31" t="str">
        <f>Migrationsartikel!H61</f>
        <v>250g</v>
      </c>
      <c r="AB63" s="31" t="str">
        <f>Migrationsartikel!L61</f>
        <v>250g</v>
      </c>
      <c r="AC63" s="31" t="str">
        <f>Migrationsartikel!P61</f>
        <v>250g</v>
      </c>
      <c r="AD63" t="str">
        <f>Migrationsartikel!I61</f>
        <v>Bénichon-Senf 250g</v>
      </c>
      <c r="AE63" t="str">
        <f>Migrationsartikel!M61</f>
        <v>Moutarde de Bénichon 250</v>
      </c>
      <c r="AF63" t="str">
        <f>Migrationsartikel!Q61</f>
        <v>Senape di Bénichon 250</v>
      </c>
      <c r="AG63" s="45">
        <f>Migrationsartikel!R61</f>
        <v>0.25</v>
      </c>
      <c r="AH63" s="46" t="str">
        <f>Migrationsartikel!T61</f>
        <v>Gramm</v>
      </c>
      <c r="AI63" s="46" t="str">
        <f t="shared" si="0"/>
        <v>Gramm</v>
      </c>
      <c r="AJ63" s="46" t="s">
        <v>176</v>
      </c>
      <c r="AK63">
        <f>Migrationsartikel!S61</f>
        <v>1</v>
      </c>
      <c r="AL63">
        <f>Migrationsartikel!S61</f>
        <v>1</v>
      </c>
      <c r="AM63">
        <f>Migrationsartikel!S61</f>
        <v>1</v>
      </c>
      <c r="AN63" t="str">
        <f>Migrationsartikel!U61</f>
        <v>(PCE) Stück</v>
      </c>
      <c r="AO63" t="str">
        <f t="shared" si="1"/>
        <v>(PCE) Pièce</v>
      </c>
      <c r="AP63" t="str">
        <f t="shared" si="2"/>
        <v>(PCE) Pièce</v>
      </c>
      <c r="AQ63" s="31" t="s">
        <v>195</v>
      </c>
      <c r="AR63" s="47"/>
      <c r="AS63" s="47"/>
      <c r="AT63" s="31" t="s">
        <v>208</v>
      </c>
      <c r="AU63" s="47"/>
      <c r="AV63" s="47"/>
      <c r="AW63" t="str">
        <f>IF(Migrationsartikel!AB61="ja","true",FALSE)</f>
        <v>true</v>
      </c>
      <c r="AX63" t="str">
        <f>IF(Migrationsartikel!AC61="ja","true",FALSE)</f>
        <v>true</v>
      </c>
      <c r="AY63" t="str">
        <f>IF(Migrationsartikel!AD61="ja","true",FALSE)</f>
        <v>true</v>
      </c>
      <c r="AZ63" t="str">
        <f>IF(Migrationsartikel!AE61="ja","true",FALSE)</f>
        <v>true</v>
      </c>
      <c r="BA63" t="str">
        <f>IF(Migrationsartikel!AF61="ja","Denner Partner","")</f>
        <v/>
      </c>
      <c r="BB63" t="str">
        <f>IF(Migrationsartikel!AG61="ja","true","false")</f>
        <v>false</v>
      </c>
      <c r="BC63" t="s">
        <v>1923</v>
      </c>
      <c r="BD63" s="31" t="s">
        <v>235</v>
      </c>
      <c r="BE63" s="31" t="s">
        <v>233</v>
      </c>
    </row>
    <row r="64" spans="2:57" ht="21.75" customHeight="1" x14ac:dyDescent="0.45">
      <c r="B64" t="s">
        <v>115</v>
      </c>
      <c r="E64" s="31" t="s">
        <v>1490</v>
      </c>
      <c r="F64" t="str">
        <f>"Warengruppe&gt;&gt;"&amp;Migrationsartikel!V62&amp;"&gt;&gt;"&amp;Migrationsartikel!W62&amp;"&gt;&gt;"&amp;Migrationsartikel!X62</f>
        <v>Warengruppe&gt;&gt;Food&gt;&gt;Sonstige Nahrungsmittel&gt;&gt;Sonstige Nahrungsmittel</v>
      </c>
      <c r="J64" s="31" t="s">
        <v>125</v>
      </c>
      <c r="M64" s="31" t="s">
        <v>137</v>
      </c>
      <c r="P64" s="31">
        <f>Migrationsartikel!B62</f>
        <v>812</v>
      </c>
      <c r="R64" t="str">
        <f>Migrationsartikel!F62&amp;" "&amp;Migrationsartikel!G62&amp;" "&amp;Migrationsartikel!H62</f>
        <v>Geschenkkorb aus der Region 1Stk</v>
      </c>
      <c r="S64" t="str">
        <f>Migrationsartikel!J62&amp;" "&amp;Migrationsartikel!K62&amp;" "&amp;Migrationsartikel!L62</f>
        <v>Panier cadeau de la région 1pce</v>
      </c>
      <c r="T64" t="str">
        <f>Migrationsartikel!N62&amp;" "&amp;Migrationsartikel!O62&amp;" "&amp;Migrationsartikel!P62</f>
        <v>Cesto regalo della regione 1pz</v>
      </c>
      <c r="U64" t="str">
        <f>Migrationsartikel!F62</f>
        <v>Geschenkkorb</v>
      </c>
      <c r="V64" t="str">
        <f>Migrationsartikel!J62</f>
        <v>Panier cadeau</v>
      </c>
      <c r="W64" t="str">
        <f>Migrationsartikel!N62</f>
        <v>Cesto regalo</v>
      </c>
      <c r="X64" t="str">
        <f>Migrationsartikel!G62</f>
        <v>aus der Region</v>
      </c>
      <c r="Y64" t="str">
        <f>Migrationsartikel!K62</f>
        <v>de la région</v>
      </c>
      <c r="Z64" t="str">
        <f>Migrationsartikel!O62</f>
        <v>della regione</v>
      </c>
      <c r="AA64" s="31" t="str">
        <f>Migrationsartikel!H62</f>
        <v>1Stk</v>
      </c>
      <c r="AB64" s="31" t="str">
        <f>Migrationsartikel!L62</f>
        <v>1pce</v>
      </c>
      <c r="AC64" s="31" t="str">
        <f>Migrationsartikel!P62</f>
        <v>1pz</v>
      </c>
      <c r="AD64" t="str">
        <f>Migrationsartikel!I62</f>
        <v>Geschenkkorb</v>
      </c>
      <c r="AE64" t="str">
        <f>Migrationsartikel!M62</f>
        <v>Panier cadeau</v>
      </c>
      <c r="AF64" t="str">
        <f>Migrationsartikel!Q62</f>
        <v>Cesto regalo</v>
      </c>
      <c r="AG64" s="45">
        <f>Migrationsartikel!R62</f>
        <v>1</v>
      </c>
      <c r="AH64" s="46" t="str">
        <f>Migrationsartikel!T62</f>
        <v>Stück</v>
      </c>
      <c r="AI64" s="46" t="str">
        <f t="shared" si="0"/>
        <v>7</v>
      </c>
      <c r="AJ64" s="46" t="s">
        <v>176</v>
      </c>
      <c r="AK64">
        <f>Migrationsartikel!S62</f>
        <v>1</v>
      </c>
      <c r="AL64">
        <f>Migrationsartikel!S62</f>
        <v>1</v>
      </c>
      <c r="AM64">
        <f>Migrationsartikel!S62</f>
        <v>1</v>
      </c>
      <c r="AN64" t="str">
        <f>Migrationsartikel!U62</f>
        <v>(PCE) Stück</v>
      </c>
      <c r="AO64" t="str">
        <f t="shared" si="1"/>
        <v>(PCE) Pièce</v>
      </c>
      <c r="AP64" t="str">
        <f t="shared" si="2"/>
        <v>(PCE) Pièce</v>
      </c>
      <c r="AQ64" s="31" t="s">
        <v>195</v>
      </c>
      <c r="AR64" s="47"/>
      <c r="AS64" s="47"/>
      <c r="AT64" s="31" t="s">
        <v>208</v>
      </c>
      <c r="AU64" s="47"/>
      <c r="AV64" s="47"/>
      <c r="AW64" t="str">
        <f>IF(Migrationsartikel!AB62="ja","true",FALSE)</f>
        <v>true</v>
      </c>
      <c r="AX64" t="str">
        <f>IF(Migrationsartikel!AC62="ja","true",FALSE)</f>
        <v>true</v>
      </c>
      <c r="AY64" t="str">
        <f>IF(Migrationsartikel!AD62="ja","true",FALSE)</f>
        <v>true</v>
      </c>
      <c r="AZ64" t="str">
        <f>IF(Migrationsartikel!AE62="ja","true",FALSE)</f>
        <v>true</v>
      </c>
      <c r="BA64" t="str">
        <f>IF(Migrationsartikel!AF62="ja","Denner Partner","")</f>
        <v/>
      </c>
      <c r="BB64" t="str">
        <f>IF(Migrationsartikel!AG62="ja","true","false")</f>
        <v>false</v>
      </c>
      <c r="BC64" t="s">
        <v>1923</v>
      </c>
      <c r="BD64" s="31" t="s">
        <v>235</v>
      </c>
      <c r="BE64" s="31" t="s">
        <v>233</v>
      </c>
    </row>
    <row r="65" spans="2:57" ht="21.75" customHeight="1" x14ac:dyDescent="0.45">
      <c r="B65" t="s">
        <v>115</v>
      </c>
      <c r="E65" s="31" t="s">
        <v>1491</v>
      </c>
      <c r="F65" t="str">
        <f>"Warengruppe&gt;&gt;"&amp;Migrationsartikel!V63&amp;"&gt;&gt;"&amp;Migrationsartikel!W63&amp;"&gt;&gt;"&amp;Migrationsartikel!X63</f>
        <v>Warengruppe&gt;&gt;Food&gt;&gt;Sonstige Nahrungsmittel&gt;&gt;Sonstige Nahrungsmittel</v>
      </c>
      <c r="J65" s="31" t="s">
        <v>125</v>
      </c>
      <c r="M65" s="31" t="s">
        <v>137</v>
      </c>
      <c r="P65" s="31">
        <f>Migrationsartikel!B63</f>
        <v>813</v>
      </c>
      <c r="R65" t="str">
        <f>Migrationsartikel!F63&amp;" "&amp;Migrationsartikel!G63&amp;" "&amp;Migrationsartikel!H63</f>
        <v>Honig  aus der Region 250g</v>
      </c>
      <c r="S65" t="str">
        <f>Migrationsartikel!J63&amp;" "&amp;Migrationsartikel!K63&amp;" "&amp;Migrationsartikel!L63</f>
        <v>Miel de la région 250g</v>
      </c>
      <c r="T65" t="str">
        <f>Migrationsartikel!N63&amp;" "&amp;Migrationsartikel!O63&amp;" "&amp;Migrationsartikel!P63</f>
        <v>Miele  della regione 250g</v>
      </c>
      <c r="U65" t="str">
        <f>Migrationsartikel!F63</f>
        <v xml:space="preserve">Honig </v>
      </c>
      <c r="V65" t="str">
        <f>Migrationsartikel!J63</f>
        <v>Miel</v>
      </c>
      <c r="W65" t="str">
        <f>Migrationsartikel!N63</f>
        <v xml:space="preserve">Miele </v>
      </c>
      <c r="X65" t="str">
        <f>Migrationsartikel!G63</f>
        <v>aus der Region</v>
      </c>
      <c r="Y65" t="str">
        <f>Migrationsartikel!K63</f>
        <v>de la région</v>
      </c>
      <c r="Z65" t="str">
        <f>Migrationsartikel!O63</f>
        <v>della regione</v>
      </c>
      <c r="AA65" s="31" t="str">
        <f>Migrationsartikel!H63</f>
        <v>250g</v>
      </c>
      <c r="AB65" s="31" t="str">
        <f>Migrationsartikel!L63</f>
        <v>250g</v>
      </c>
      <c r="AC65" s="31" t="str">
        <f>Migrationsartikel!P63</f>
        <v>250g</v>
      </c>
      <c r="AD65" t="str">
        <f>Migrationsartikel!I63</f>
        <v>Honig 250g</v>
      </c>
      <c r="AE65" t="str">
        <f>Migrationsartikel!M63</f>
        <v>Miel 250g</v>
      </c>
      <c r="AF65" t="str">
        <f>Migrationsartikel!Q63</f>
        <v>Miele 250g</v>
      </c>
      <c r="AG65" s="45">
        <f>Migrationsartikel!R63</f>
        <v>0.25</v>
      </c>
      <c r="AH65" s="46" t="str">
        <f>Migrationsartikel!T63</f>
        <v>Gramm</v>
      </c>
      <c r="AI65" s="46" t="str">
        <f t="shared" si="0"/>
        <v>Gramm</v>
      </c>
      <c r="AJ65" s="46" t="s">
        <v>176</v>
      </c>
      <c r="AK65">
        <f>Migrationsartikel!S63</f>
        <v>1</v>
      </c>
      <c r="AL65">
        <f>Migrationsartikel!S63</f>
        <v>1</v>
      </c>
      <c r="AM65">
        <f>Migrationsartikel!S63</f>
        <v>1</v>
      </c>
      <c r="AN65" t="str">
        <f>Migrationsartikel!U63</f>
        <v>(PCE) Stück</v>
      </c>
      <c r="AO65" t="str">
        <f t="shared" si="1"/>
        <v>(PCE) Pièce</v>
      </c>
      <c r="AP65" t="str">
        <f t="shared" si="2"/>
        <v>(PCE) Pièce</v>
      </c>
      <c r="AQ65" s="31" t="s">
        <v>195</v>
      </c>
      <c r="AR65" s="47"/>
      <c r="AS65" s="47"/>
      <c r="AT65" s="31" t="s">
        <v>208</v>
      </c>
      <c r="AU65" s="47"/>
      <c r="AV65" s="47"/>
      <c r="AW65" t="str">
        <f>IF(Migrationsartikel!AB63="ja","true",FALSE)</f>
        <v>true</v>
      </c>
      <c r="AX65" t="str">
        <f>IF(Migrationsartikel!AC63="ja","true",FALSE)</f>
        <v>true</v>
      </c>
      <c r="AY65" t="str">
        <f>IF(Migrationsartikel!AD63="ja","true",FALSE)</f>
        <v>true</v>
      </c>
      <c r="AZ65" t="str">
        <f>IF(Migrationsartikel!AE63="ja","true",FALSE)</f>
        <v>true</v>
      </c>
      <c r="BA65" t="str">
        <f>IF(Migrationsartikel!AF63="ja","Denner Partner","")</f>
        <v/>
      </c>
      <c r="BB65" t="str">
        <f>IF(Migrationsartikel!AG63="ja","true","false")</f>
        <v>false</v>
      </c>
      <c r="BC65" t="s">
        <v>1923</v>
      </c>
      <c r="BD65" s="31" t="s">
        <v>235</v>
      </c>
      <c r="BE65" s="31" t="s">
        <v>233</v>
      </c>
    </row>
    <row r="66" spans="2:57" ht="21.75" customHeight="1" x14ac:dyDescent="0.45">
      <c r="B66" t="s">
        <v>115</v>
      </c>
      <c r="E66" s="31" t="s">
        <v>1492</v>
      </c>
      <c r="F66" t="str">
        <f>"Warengruppe&gt;&gt;"&amp;Migrationsartikel!V64&amp;"&gt;&gt;"&amp;Migrationsartikel!W64&amp;"&gt;&gt;"&amp;Migrationsartikel!X64</f>
        <v>Warengruppe&gt;&gt;Food&gt;&gt;Sonstige Nahrungsmittel&gt;&gt;Sonstige Nahrungsmittel</v>
      </c>
      <c r="J66" s="31" t="s">
        <v>125</v>
      </c>
      <c r="M66" s="31" t="s">
        <v>137</v>
      </c>
      <c r="P66" s="31">
        <f>Migrationsartikel!B64</f>
        <v>814</v>
      </c>
      <c r="R66" t="str">
        <f>Migrationsartikel!F64&amp;" "&amp;Migrationsartikel!G64&amp;" "&amp;Migrationsartikel!H64</f>
        <v>Honig  aus der Region 500g</v>
      </c>
      <c r="S66" t="str">
        <f>Migrationsartikel!J64&amp;" "&amp;Migrationsartikel!K64&amp;" "&amp;Migrationsartikel!L64</f>
        <v>Miel de la région 500g</v>
      </c>
      <c r="T66" t="str">
        <f>Migrationsartikel!N64&amp;" "&amp;Migrationsartikel!O64&amp;" "&amp;Migrationsartikel!P64</f>
        <v>Miele  della regione 500g</v>
      </c>
      <c r="U66" t="str">
        <f>Migrationsartikel!F64</f>
        <v xml:space="preserve">Honig </v>
      </c>
      <c r="V66" t="str">
        <f>Migrationsartikel!J64</f>
        <v>Miel</v>
      </c>
      <c r="W66" t="str">
        <f>Migrationsartikel!N64</f>
        <v xml:space="preserve">Miele </v>
      </c>
      <c r="X66" t="str">
        <f>Migrationsartikel!G64</f>
        <v>aus der Region</v>
      </c>
      <c r="Y66" t="str">
        <f>Migrationsartikel!K64</f>
        <v>de la région</v>
      </c>
      <c r="Z66" t="str">
        <f>Migrationsartikel!O64</f>
        <v>della regione</v>
      </c>
      <c r="AA66" s="31" t="str">
        <f>Migrationsartikel!H64</f>
        <v>500g</v>
      </c>
      <c r="AB66" s="31" t="str">
        <f>Migrationsartikel!L64</f>
        <v>500g</v>
      </c>
      <c r="AC66" s="31" t="str">
        <f>Migrationsartikel!P64</f>
        <v>500g</v>
      </c>
      <c r="AD66" t="str">
        <f>Migrationsartikel!I64</f>
        <v>Honig 500g</v>
      </c>
      <c r="AE66" t="str">
        <f>Migrationsartikel!M64</f>
        <v>Miel 500g</v>
      </c>
      <c r="AF66" t="str">
        <f>Migrationsartikel!Q64</f>
        <v>Miele 500g</v>
      </c>
      <c r="AG66" s="45">
        <f>Migrationsartikel!R64</f>
        <v>0.5</v>
      </c>
      <c r="AH66" s="46" t="str">
        <f>Migrationsartikel!T64</f>
        <v>Gramm</v>
      </c>
      <c r="AI66" s="46" t="str">
        <f t="shared" si="0"/>
        <v>Gramm</v>
      </c>
      <c r="AJ66" s="46" t="s">
        <v>176</v>
      </c>
      <c r="AK66">
        <f>Migrationsartikel!S64</f>
        <v>1</v>
      </c>
      <c r="AL66">
        <f>Migrationsartikel!S64</f>
        <v>1</v>
      </c>
      <c r="AM66">
        <f>Migrationsartikel!S64</f>
        <v>1</v>
      </c>
      <c r="AN66" t="str">
        <f>Migrationsartikel!U64</f>
        <v>(PCE) Stück</v>
      </c>
      <c r="AO66" t="str">
        <f t="shared" si="1"/>
        <v>(PCE) Pièce</v>
      </c>
      <c r="AP66" t="str">
        <f t="shared" si="2"/>
        <v>(PCE) Pièce</v>
      </c>
      <c r="AQ66" s="31" t="s">
        <v>195</v>
      </c>
      <c r="AR66" s="47"/>
      <c r="AS66" s="47"/>
      <c r="AT66" s="31" t="s">
        <v>208</v>
      </c>
      <c r="AU66" s="47"/>
      <c r="AV66" s="47"/>
      <c r="AW66" t="str">
        <f>IF(Migrationsartikel!AB64="ja","true",FALSE)</f>
        <v>true</v>
      </c>
      <c r="AX66" t="str">
        <f>IF(Migrationsartikel!AC64="ja","true",FALSE)</f>
        <v>true</v>
      </c>
      <c r="AY66" t="str">
        <f>IF(Migrationsartikel!AD64="ja","true",FALSE)</f>
        <v>true</v>
      </c>
      <c r="AZ66" t="str">
        <f>IF(Migrationsartikel!AE64="ja","true",FALSE)</f>
        <v>true</v>
      </c>
      <c r="BA66" t="str">
        <f>IF(Migrationsartikel!AF64="ja","Denner Partner","")</f>
        <v/>
      </c>
      <c r="BB66" t="str">
        <f>IF(Migrationsartikel!AG64="ja","true","false")</f>
        <v>false</v>
      </c>
      <c r="BC66" t="s">
        <v>1923</v>
      </c>
      <c r="BD66" s="31" t="s">
        <v>235</v>
      </c>
      <c r="BE66" s="31" t="s">
        <v>233</v>
      </c>
    </row>
    <row r="67" spans="2:57" ht="21.75" customHeight="1" x14ac:dyDescent="0.45">
      <c r="B67" t="s">
        <v>115</v>
      </c>
      <c r="E67" s="31" t="s">
        <v>1493</v>
      </c>
      <c r="F67" t="str">
        <f>"Warengruppe&gt;&gt;"&amp;Migrationsartikel!V65&amp;"&gt;&gt;"&amp;Migrationsartikel!W65&amp;"&gt;&gt;"&amp;Migrationsartikel!X65</f>
        <v>Warengruppe&gt;&gt;Food&gt;&gt;Sonstige Nahrungsmittel&gt;&gt;Sonstige Nahrungsmittel</v>
      </c>
      <c r="J67" s="31" t="s">
        <v>125</v>
      </c>
      <c r="M67" s="31" t="s">
        <v>137</v>
      </c>
      <c r="P67" s="31">
        <f>Migrationsartikel!B65</f>
        <v>815</v>
      </c>
      <c r="R67" t="str">
        <f>Migrationsartikel!F65&amp;" "&amp;Migrationsartikel!G65&amp;" "&amp;Migrationsartikel!H65</f>
        <v>Konfitüre aus der Region 150g</v>
      </c>
      <c r="S67" t="str">
        <f>Migrationsartikel!J65&amp;" "&amp;Migrationsartikel!K65&amp;" "&amp;Migrationsartikel!L65</f>
        <v>Confiture  de la région 150g</v>
      </c>
      <c r="T67" t="str">
        <f>Migrationsartikel!N65&amp;" "&amp;Migrationsartikel!O65&amp;" "&amp;Migrationsartikel!P65</f>
        <v>Confettura  della regione 150g</v>
      </c>
      <c r="U67" t="str">
        <f>Migrationsartikel!F65</f>
        <v>Konfitüre</v>
      </c>
      <c r="V67" t="str">
        <f>Migrationsartikel!J65</f>
        <v xml:space="preserve">Confiture </v>
      </c>
      <c r="W67" t="str">
        <f>Migrationsartikel!N65</f>
        <v xml:space="preserve">Confettura </v>
      </c>
      <c r="X67" t="str">
        <f>Migrationsartikel!G65</f>
        <v>aus der Region</v>
      </c>
      <c r="Y67" t="str">
        <f>Migrationsartikel!K65</f>
        <v>de la région</v>
      </c>
      <c r="Z67" t="str">
        <f>Migrationsartikel!O65</f>
        <v>della regione</v>
      </c>
      <c r="AA67" s="31" t="str">
        <f>Migrationsartikel!H65</f>
        <v>150g</v>
      </c>
      <c r="AB67" s="31" t="str">
        <f>Migrationsartikel!L65</f>
        <v>150g</v>
      </c>
      <c r="AC67" s="31" t="str">
        <f>Migrationsartikel!P65</f>
        <v>150g</v>
      </c>
      <c r="AD67" t="str">
        <f>Migrationsartikel!I65</f>
        <v>Konfitüre 150g</v>
      </c>
      <c r="AE67" t="str">
        <f>Migrationsartikel!M65</f>
        <v>Confiture 150g</v>
      </c>
      <c r="AF67" t="str">
        <f>Migrationsartikel!Q65</f>
        <v>Confettura 150g</v>
      </c>
      <c r="AG67" s="45">
        <f>Migrationsartikel!R65</f>
        <v>0.15</v>
      </c>
      <c r="AH67" s="46" t="str">
        <f>Migrationsartikel!T65</f>
        <v>Gramm</v>
      </c>
      <c r="AI67" s="46" t="str">
        <f t="shared" si="0"/>
        <v>Gramm</v>
      </c>
      <c r="AJ67" s="46" t="s">
        <v>176</v>
      </c>
      <c r="AK67">
        <f>Migrationsartikel!S65</f>
        <v>1</v>
      </c>
      <c r="AL67">
        <f>Migrationsartikel!S65</f>
        <v>1</v>
      </c>
      <c r="AM67">
        <f>Migrationsartikel!S65</f>
        <v>1</v>
      </c>
      <c r="AN67" t="str">
        <f>Migrationsartikel!U65</f>
        <v>(PCE) Stück</v>
      </c>
      <c r="AO67" t="str">
        <f t="shared" si="1"/>
        <v>(PCE) Pièce</v>
      </c>
      <c r="AP67" t="str">
        <f t="shared" si="2"/>
        <v>(PCE) Pièce</v>
      </c>
      <c r="AQ67" s="31" t="s">
        <v>195</v>
      </c>
      <c r="AR67" s="47"/>
      <c r="AS67" s="47"/>
      <c r="AT67" s="31" t="s">
        <v>208</v>
      </c>
      <c r="AU67" s="47"/>
      <c r="AV67" s="47"/>
      <c r="AW67" t="str">
        <f>IF(Migrationsartikel!AB65="ja","true",FALSE)</f>
        <v>true</v>
      </c>
      <c r="AX67" t="str">
        <f>IF(Migrationsartikel!AC65="ja","true",FALSE)</f>
        <v>true</v>
      </c>
      <c r="AY67" t="str">
        <f>IF(Migrationsartikel!AD65="ja","true",FALSE)</f>
        <v>true</v>
      </c>
      <c r="AZ67" t="str">
        <f>IF(Migrationsartikel!AE65="ja","true",FALSE)</f>
        <v>true</v>
      </c>
      <c r="BA67" t="str">
        <f>IF(Migrationsartikel!AF65="ja","Denner Partner","")</f>
        <v/>
      </c>
      <c r="BB67" t="str">
        <f>IF(Migrationsartikel!AG65="ja","true","false")</f>
        <v>false</v>
      </c>
      <c r="BC67" t="s">
        <v>1923</v>
      </c>
      <c r="BD67" s="31" t="s">
        <v>235</v>
      </c>
      <c r="BE67" s="31" t="s">
        <v>233</v>
      </c>
    </row>
    <row r="68" spans="2:57" ht="21.75" customHeight="1" x14ac:dyDescent="0.45">
      <c r="B68" t="s">
        <v>115</v>
      </c>
      <c r="E68" s="31" t="s">
        <v>1494</v>
      </c>
      <c r="F68" t="str">
        <f>"Warengruppe&gt;&gt;"&amp;Migrationsartikel!V66&amp;"&gt;&gt;"&amp;Migrationsartikel!W66&amp;"&gt;&gt;"&amp;Migrationsartikel!X66</f>
        <v>Warengruppe&gt;&gt;Food&gt;&gt;Sonstige Nahrungsmittel&gt;&gt;Sonstige Nahrungsmittel</v>
      </c>
      <c r="J68" s="31" t="s">
        <v>125</v>
      </c>
      <c r="M68" s="31" t="s">
        <v>137</v>
      </c>
      <c r="P68" s="31">
        <f>Migrationsartikel!B66</f>
        <v>816</v>
      </c>
      <c r="R68" t="str">
        <f>Migrationsartikel!F66&amp;" "&amp;Migrationsartikel!G66&amp;" "&amp;Migrationsartikel!H66</f>
        <v>Konfitüre aus der Region 250g</v>
      </c>
      <c r="S68" t="str">
        <f>Migrationsartikel!J66&amp;" "&amp;Migrationsartikel!K66&amp;" "&amp;Migrationsartikel!L66</f>
        <v>Confiture  de la région 250g</v>
      </c>
      <c r="T68" t="str">
        <f>Migrationsartikel!N66&amp;" "&amp;Migrationsartikel!O66&amp;" "&amp;Migrationsartikel!P66</f>
        <v>Confettura  della regione 250g</v>
      </c>
      <c r="U68" t="str">
        <f>Migrationsartikel!F66</f>
        <v>Konfitüre</v>
      </c>
      <c r="V68" t="str">
        <f>Migrationsartikel!J66</f>
        <v xml:space="preserve">Confiture </v>
      </c>
      <c r="W68" t="str">
        <f>Migrationsartikel!N66</f>
        <v xml:space="preserve">Confettura </v>
      </c>
      <c r="X68" t="str">
        <f>Migrationsartikel!G66</f>
        <v>aus der Region</v>
      </c>
      <c r="Y68" t="str">
        <f>Migrationsartikel!K66</f>
        <v>de la région</v>
      </c>
      <c r="Z68" t="str">
        <f>Migrationsartikel!O66</f>
        <v>della regione</v>
      </c>
      <c r="AA68" s="31" t="str">
        <f>Migrationsartikel!H66</f>
        <v>250g</v>
      </c>
      <c r="AB68" s="31" t="str">
        <f>Migrationsartikel!L66</f>
        <v>250g</v>
      </c>
      <c r="AC68" s="31" t="str">
        <f>Migrationsartikel!P66</f>
        <v>250g</v>
      </c>
      <c r="AD68" t="str">
        <f>Migrationsartikel!I66</f>
        <v>Konfitüre 250g</v>
      </c>
      <c r="AE68" t="str">
        <f>Migrationsartikel!M66</f>
        <v>Confiture 250g</v>
      </c>
      <c r="AF68" t="str">
        <f>Migrationsartikel!Q66</f>
        <v>Confettura 250g</v>
      </c>
      <c r="AG68" s="45">
        <f>Migrationsartikel!R66</f>
        <v>0.25</v>
      </c>
      <c r="AH68" s="46" t="str">
        <f>Migrationsartikel!T66</f>
        <v>Gramm</v>
      </c>
      <c r="AI68" s="46" t="str">
        <f t="shared" si="0"/>
        <v>Gramm</v>
      </c>
      <c r="AJ68" s="46" t="s">
        <v>176</v>
      </c>
      <c r="AK68">
        <f>Migrationsartikel!S66</f>
        <v>1</v>
      </c>
      <c r="AL68">
        <f>Migrationsartikel!S66</f>
        <v>1</v>
      </c>
      <c r="AM68">
        <f>Migrationsartikel!S66</f>
        <v>1</v>
      </c>
      <c r="AN68" t="str">
        <f>Migrationsartikel!U66</f>
        <v>(PCE) Stück</v>
      </c>
      <c r="AO68" t="str">
        <f t="shared" si="1"/>
        <v>(PCE) Pièce</v>
      </c>
      <c r="AP68" t="str">
        <f t="shared" si="2"/>
        <v>(PCE) Pièce</v>
      </c>
      <c r="AQ68" s="31" t="s">
        <v>195</v>
      </c>
      <c r="AR68" s="47"/>
      <c r="AS68" s="47"/>
      <c r="AT68" s="31" t="s">
        <v>208</v>
      </c>
      <c r="AU68" s="47"/>
      <c r="AV68" s="47"/>
      <c r="AW68" t="str">
        <f>IF(Migrationsartikel!AB66="ja","true",FALSE)</f>
        <v>true</v>
      </c>
      <c r="AX68" t="str">
        <f>IF(Migrationsartikel!AC66="ja","true",FALSE)</f>
        <v>true</v>
      </c>
      <c r="AY68" t="str">
        <f>IF(Migrationsartikel!AD66="ja","true",FALSE)</f>
        <v>true</v>
      </c>
      <c r="AZ68" t="str">
        <f>IF(Migrationsartikel!AE66="ja","true",FALSE)</f>
        <v>true</v>
      </c>
      <c r="BA68" t="str">
        <f>IF(Migrationsartikel!AF66="ja","Denner Partner","")</f>
        <v/>
      </c>
      <c r="BB68" t="str">
        <f>IF(Migrationsartikel!AG66="ja","true","false")</f>
        <v>false</v>
      </c>
      <c r="BC68" t="s">
        <v>1923</v>
      </c>
      <c r="BD68" s="31" t="s">
        <v>235</v>
      </c>
      <c r="BE68" s="31" t="s">
        <v>233</v>
      </c>
    </row>
    <row r="69" spans="2:57" ht="21.75" customHeight="1" x14ac:dyDescent="0.45">
      <c r="B69" t="s">
        <v>115</v>
      </c>
      <c r="E69" s="31" t="s">
        <v>1495</v>
      </c>
      <c r="F69" t="str">
        <f>"Warengruppe&gt;&gt;"&amp;Migrationsartikel!V67&amp;"&gt;&gt;"&amp;Migrationsartikel!W67&amp;"&gt;&gt;"&amp;Migrationsartikel!X67</f>
        <v>Warengruppe&gt;&gt;Food&gt;&gt;Sonstige Nahrungsmittel&gt;&gt;Sonstige Nahrungsmittel</v>
      </c>
      <c r="J69" s="31" t="s">
        <v>125</v>
      </c>
      <c r="M69" s="31" t="s">
        <v>137</v>
      </c>
      <c r="P69" s="31">
        <f>Migrationsartikel!B67</f>
        <v>817</v>
      </c>
      <c r="R69" t="str">
        <f>Migrationsartikel!F67&amp;" "&amp;Migrationsartikel!G67&amp;" "&amp;Migrationsartikel!H67</f>
        <v>Konfitüre aus der Region 350g</v>
      </c>
      <c r="S69" t="str">
        <f>Migrationsartikel!J67&amp;" "&amp;Migrationsartikel!K67&amp;" "&amp;Migrationsartikel!L67</f>
        <v>Confiture  de la région 350g</v>
      </c>
      <c r="T69" t="str">
        <f>Migrationsartikel!N67&amp;" "&amp;Migrationsartikel!O67&amp;" "&amp;Migrationsartikel!P67</f>
        <v>Confettura  della regione 350g</v>
      </c>
      <c r="U69" t="str">
        <f>Migrationsartikel!F67</f>
        <v>Konfitüre</v>
      </c>
      <c r="V69" t="str">
        <f>Migrationsartikel!J67</f>
        <v xml:space="preserve">Confiture </v>
      </c>
      <c r="W69" t="str">
        <f>Migrationsartikel!N67</f>
        <v xml:space="preserve">Confettura </v>
      </c>
      <c r="X69" t="str">
        <f>Migrationsartikel!G67</f>
        <v>aus der Region</v>
      </c>
      <c r="Y69" t="str">
        <f>Migrationsartikel!K67</f>
        <v>de la région</v>
      </c>
      <c r="Z69" t="str">
        <f>Migrationsartikel!O67</f>
        <v>della regione</v>
      </c>
      <c r="AA69" s="31" t="str">
        <f>Migrationsartikel!H67</f>
        <v>350g</v>
      </c>
      <c r="AB69" s="31" t="str">
        <f>Migrationsartikel!L67</f>
        <v>350g</v>
      </c>
      <c r="AC69" s="31" t="str">
        <f>Migrationsartikel!P67</f>
        <v>350g</v>
      </c>
      <c r="AD69" t="str">
        <f>Migrationsartikel!I67</f>
        <v>Konfitüre 350g</v>
      </c>
      <c r="AE69" t="str">
        <f>Migrationsartikel!M67</f>
        <v>Confiture 350g</v>
      </c>
      <c r="AF69" t="str">
        <f>Migrationsartikel!Q67</f>
        <v>Confettura 350g</v>
      </c>
      <c r="AG69" s="45">
        <f>Migrationsartikel!R67</f>
        <v>0.35</v>
      </c>
      <c r="AH69" s="46" t="str">
        <f>Migrationsartikel!T67</f>
        <v>Gramm</v>
      </c>
      <c r="AI69" s="46" t="str">
        <f t="shared" ref="AI69:AI132" si="3">IF(AH69="Gramm","Gramm",(IF(AH69="Centiliter","2",IF(AH69="Kilogramm","3",IF(AH69="Liter","5",IF(AH69="Milliliter","6",(IF(AH69="Stück","7","n/a"))))))))</f>
        <v>Gramm</v>
      </c>
      <c r="AJ69" s="46" t="s">
        <v>176</v>
      </c>
      <c r="AK69">
        <f>Migrationsartikel!S67</f>
        <v>1</v>
      </c>
      <c r="AL69">
        <f>Migrationsartikel!S67</f>
        <v>1</v>
      </c>
      <c r="AM69">
        <f>Migrationsartikel!S67</f>
        <v>1</v>
      </c>
      <c r="AN69" t="str">
        <f>Migrationsartikel!U67</f>
        <v>(PCE) Stück</v>
      </c>
      <c r="AO69" t="str">
        <f t="shared" ref="AO69:AO132" si="4">IF(AN69="(PCE) Stück","(PCE) Pièce",(IF(AN69="(KGM) KG","(KGM) Kg","n/a")))</f>
        <v>(PCE) Pièce</v>
      </c>
      <c r="AP69" t="str">
        <f t="shared" ref="AP69:AP132" si="5">IF(AN69="(PCE) Stück","(PCE) Pièce",(IF(AN69="(KGM) KG","(KGM) KG","n/a")))</f>
        <v>(PCE) Pièce</v>
      </c>
      <c r="AQ69" s="31" t="s">
        <v>195</v>
      </c>
      <c r="AR69" s="47"/>
      <c r="AS69" s="47"/>
      <c r="AT69" s="31" t="s">
        <v>208</v>
      </c>
      <c r="AU69" s="47"/>
      <c r="AV69" s="47"/>
      <c r="AW69" t="str">
        <f>IF(Migrationsartikel!AB67="ja","true",FALSE)</f>
        <v>true</v>
      </c>
      <c r="AX69" t="str">
        <f>IF(Migrationsartikel!AC67="ja","true",FALSE)</f>
        <v>true</v>
      </c>
      <c r="AY69" t="str">
        <f>IF(Migrationsartikel!AD67="ja","true",FALSE)</f>
        <v>true</v>
      </c>
      <c r="AZ69" t="str">
        <f>IF(Migrationsartikel!AE67="ja","true",FALSE)</f>
        <v>true</v>
      </c>
      <c r="BA69" t="str">
        <f>IF(Migrationsartikel!AF67="ja","Denner Partner","")</f>
        <v/>
      </c>
      <c r="BB69" t="str">
        <f>IF(Migrationsartikel!AG67="ja","true","false")</f>
        <v>false</v>
      </c>
      <c r="BC69" t="s">
        <v>1923</v>
      </c>
      <c r="BD69" s="31" t="s">
        <v>235</v>
      </c>
      <c r="BE69" s="31" t="s">
        <v>233</v>
      </c>
    </row>
    <row r="70" spans="2:57" ht="21.75" customHeight="1" x14ac:dyDescent="0.45">
      <c r="B70" t="s">
        <v>115</v>
      </c>
      <c r="E70" s="31" t="s">
        <v>1496</v>
      </c>
      <c r="F70" t="str">
        <f>"Warengruppe&gt;&gt;"&amp;Migrationsartikel!V68&amp;"&gt;&gt;"&amp;Migrationsartikel!W68&amp;"&gt;&gt;"&amp;Migrationsartikel!X68</f>
        <v>Warengruppe&gt;&gt;Food&gt;&gt;Sonstige Nahrungsmittel&gt;&gt;Sonstige Nahrungsmittel</v>
      </c>
      <c r="J70" s="31" t="s">
        <v>125</v>
      </c>
      <c r="M70" s="31" t="s">
        <v>137</v>
      </c>
      <c r="P70" s="31">
        <f>Migrationsartikel!B68</f>
        <v>818</v>
      </c>
      <c r="R70" t="str">
        <f>Migrationsartikel!F68&amp;" "&amp;Migrationsartikel!G68&amp;" "&amp;Migrationsartikel!H68</f>
        <v>Konfitüre aus der Region 450g</v>
      </c>
      <c r="S70" t="str">
        <f>Migrationsartikel!J68&amp;" "&amp;Migrationsartikel!K68&amp;" "&amp;Migrationsartikel!L68</f>
        <v>Confiture  de la région 450g</v>
      </c>
      <c r="T70" t="str">
        <f>Migrationsartikel!N68&amp;" "&amp;Migrationsartikel!O68&amp;" "&amp;Migrationsartikel!P68</f>
        <v>Confettura  della regione 450g</v>
      </c>
      <c r="U70" t="str">
        <f>Migrationsartikel!F68</f>
        <v>Konfitüre</v>
      </c>
      <c r="V70" t="str">
        <f>Migrationsartikel!J68</f>
        <v xml:space="preserve">Confiture </v>
      </c>
      <c r="W70" t="str">
        <f>Migrationsartikel!N68</f>
        <v xml:space="preserve">Confettura </v>
      </c>
      <c r="X70" t="str">
        <f>Migrationsartikel!G68</f>
        <v>aus der Region</v>
      </c>
      <c r="Y70" t="str">
        <f>Migrationsartikel!K68</f>
        <v>de la région</v>
      </c>
      <c r="Z70" t="str">
        <f>Migrationsartikel!O68</f>
        <v>della regione</v>
      </c>
      <c r="AA70" s="31" t="str">
        <f>Migrationsartikel!H68</f>
        <v>450g</v>
      </c>
      <c r="AB70" s="31" t="str">
        <f>Migrationsartikel!L68</f>
        <v>450g</v>
      </c>
      <c r="AC70" s="31" t="str">
        <f>Migrationsartikel!P68</f>
        <v>450g</v>
      </c>
      <c r="AD70" t="str">
        <f>Migrationsartikel!I68</f>
        <v>Konfitüre 450g</v>
      </c>
      <c r="AE70" t="str">
        <f>Migrationsartikel!M68</f>
        <v>Confiture 450g</v>
      </c>
      <c r="AF70" t="str">
        <f>Migrationsartikel!Q68</f>
        <v>Confettura 450g</v>
      </c>
      <c r="AG70" s="45">
        <f>Migrationsartikel!R68</f>
        <v>0.45</v>
      </c>
      <c r="AH70" s="46" t="str">
        <f>Migrationsartikel!T68</f>
        <v>Gramm</v>
      </c>
      <c r="AI70" s="46" t="str">
        <f t="shared" si="3"/>
        <v>Gramm</v>
      </c>
      <c r="AJ70" s="46" t="s">
        <v>176</v>
      </c>
      <c r="AK70">
        <f>Migrationsartikel!S68</f>
        <v>1</v>
      </c>
      <c r="AL70">
        <f>Migrationsartikel!S68</f>
        <v>1</v>
      </c>
      <c r="AM70">
        <f>Migrationsartikel!S68</f>
        <v>1</v>
      </c>
      <c r="AN70" t="str">
        <f>Migrationsartikel!U68</f>
        <v>(PCE) Stück</v>
      </c>
      <c r="AO70" t="str">
        <f t="shared" si="4"/>
        <v>(PCE) Pièce</v>
      </c>
      <c r="AP70" t="str">
        <f t="shared" si="5"/>
        <v>(PCE) Pièce</v>
      </c>
      <c r="AQ70" s="31" t="s">
        <v>195</v>
      </c>
      <c r="AR70" s="47"/>
      <c r="AS70" s="47"/>
      <c r="AT70" s="31" t="s">
        <v>208</v>
      </c>
      <c r="AU70" s="47"/>
      <c r="AV70" s="47"/>
      <c r="AW70" t="str">
        <f>IF(Migrationsartikel!AB68="ja","true",FALSE)</f>
        <v>true</v>
      </c>
      <c r="AX70" t="str">
        <f>IF(Migrationsartikel!AC68="ja","true",FALSE)</f>
        <v>true</v>
      </c>
      <c r="AY70" t="str">
        <f>IF(Migrationsartikel!AD68="ja","true",FALSE)</f>
        <v>true</v>
      </c>
      <c r="AZ70" t="str">
        <f>IF(Migrationsartikel!AE68="ja","true",FALSE)</f>
        <v>true</v>
      </c>
      <c r="BA70" t="str">
        <f>IF(Migrationsartikel!AF68="ja","Denner Partner","")</f>
        <v/>
      </c>
      <c r="BB70" t="str">
        <f>IF(Migrationsartikel!AG68="ja","true","false")</f>
        <v>false</v>
      </c>
      <c r="BC70" t="s">
        <v>1923</v>
      </c>
      <c r="BD70" s="31" t="s">
        <v>235</v>
      </c>
      <c r="BE70" s="31" t="s">
        <v>233</v>
      </c>
    </row>
    <row r="71" spans="2:57" ht="21.75" customHeight="1" x14ac:dyDescent="0.45">
      <c r="B71" t="s">
        <v>115</v>
      </c>
      <c r="E71" s="31" t="s">
        <v>1497</v>
      </c>
      <c r="F71" t="str">
        <f>"Warengruppe&gt;&gt;"&amp;Migrationsartikel!V69&amp;"&gt;&gt;"&amp;Migrationsartikel!W69&amp;"&gt;&gt;"&amp;Migrationsartikel!X69</f>
        <v>Warengruppe&gt;&gt;Food&gt;&gt;Zuckerconfiserie&gt;&gt;Zuckerconfiserie</v>
      </c>
      <c r="J71" s="31" t="s">
        <v>125</v>
      </c>
      <c r="M71" s="31" t="s">
        <v>137</v>
      </c>
      <c r="P71" s="31">
        <f>Migrationsartikel!B69</f>
        <v>819</v>
      </c>
      <c r="R71" t="str">
        <f>Migrationsartikel!F69&amp;" "&amp;Migrationsartikel!G69&amp;" "&amp;Migrationsartikel!H69</f>
        <v>Karamell  aus der Region 1Stk</v>
      </c>
      <c r="S71" t="str">
        <f>Migrationsartikel!J69&amp;" "&amp;Migrationsartikel!K69&amp;" "&amp;Migrationsartikel!L69</f>
        <v>Caramel  de la région 1pce</v>
      </c>
      <c r="T71" t="str">
        <f>Migrationsartikel!N69&amp;" "&amp;Migrationsartikel!O69&amp;" "&amp;Migrationsartikel!P69</f>
        <v>Caramello  della regione 1pz</v>
      </c>
      <c r="U71" t="str">
        <f>Migrationsartikel!F69</f>
        <v xml:space="preserve">Karamell </v>
      </c>
      <c r="V71" t="str">
        <f>Migrationsartikel!J69</f>
        <v xml:space="preserve">Caramel </v>
      </c>
      <c r="W71" t="str">
        <f>Migrationsartikel!N69</f>
        <v xml:space="preserve">Caramello </v>
      </c>
      <c r="X71" t="str">
        <f>Migrationsartikel!G69</f>
        <v>aus der Region</v>
      </c>
      <c r="Y71" t="str">
        <f>Migrationsartikel!K69</f>
        <v>de la région</v>
      </c>
      <c r="Z71" t="str">
        <f>Migrationsartikel!O69</f>
        <v>della regione</v>
      </c>
      <c r="AA71" s="31" t="str">
        <f>Migrationsartikel!H69</f>
        <v>1Stk</v>
      </c>
      <c r="AB71" s="31" t="str">
        <f>Migrationsartikel!L69</f>
        <v>1pce</v>
      </c>
      <c r="AC71" s="31" t="str">
        <f>Migrationsartikel!P69</f>
        <v>1pz</v>
      </c>
      <c r="AD71" t="str">
        <f>Migrationsartikel!I69</f>
        <v xml:space="preserve">Karamell </v>
      </c>
      <c r="AE71" t="str">
        <f>Migrationsartikel!M69</f>
        <v xml:space="preserve">Caramel </v>
      </c>
      <c r="AF71" t="str">
        <f>Migrationsartikel!Q69</f>
        <v xml:space="preserve">Caramello </v>
      </c>
      <c r="AG71" s="45">
        <f>Migrationsartikel!R69</f>
        <v>1</v>
      </c>
      <c r="AH71" s="46" t="str">
        <f>Migrationsartikel!T69</f>
        <v>Stück</v>
      </c>
      <c r="AI71" s="46" t="str">
        <f t="shared" si="3"/>
        <v>7</v>
      </c>
      <c r="AJ71" s="46" t="s">
        <v>176</v>
      </c>
      <c r="AK71">
        <f>Migrationsartikel!S69</f>
        <v>1</v>
      </c>
      <c r="AL71">
        <f>Migrationsartikel!S69</f>
        <v>1</v>
      </c>
      <c r="AM71">
        <f>Migrationsartikel!S69</f>
        <v>1</v>
      </c>
      <c r="AN71" t="str">
        <f>Migrationsartikel!U69</f>
        <v>(PCE) Stück</v>
      </c>
      <c r="AO71" t="str">
        <f t="shared" si="4"/>
        <v>(PCE) Pièce</v>
      </c>
      <c r="AP71" t="str">
        <f t="shared" si="5"/>
        <v>(PCE) Pièce</v>
      </c>
      <c r="AQ71" s="31" t="s">
        <v>195</v>
      </c>
      <c r="AR71" s="47"/>
      <c r="AS71" s="47"/>
      <c r="AT71" s="31" t="s">
        <v>208</v>
      </c>
      <c r="AU71" s="47"/>
      <c r="AV71" s="47"/>
      <c r="AW71" t="str">
        <f>IF(Migrationsartikel!AB69="ja","true",FALSE)</f>
        <v>true</v>
      </c>
      <c r="AX71" t="str">
        <f>IF(Migrationsartikel!AC69="ja","true",FALSE)</f>
        <v>true</v>
      </c>
      <c r="AY71" t="str">
        <f>IF(Migrationsartikel!AD69="ja","true",FALSE)</f>
        <v>true</v>
      </c>
      <c r="AZ71" t="str">
        <f>IF(Migrationsartikel!AE69="ja","true",FALSE)</f>
        <v>true</v>
      </c>
      <c r="BA71" t="str">
        <f>IF(Migrationsartikel!AF69="ja","Denner Partner","")</f>
        <v/>
      </c>
      <c r="BB71" t="str">
        <f>IF(Migrationsartikel!AG69="ja","true","false")</f>
        <v>false</v>
      </c>
      <c r="BC71" t="s">
        <v>1923</v>
      </c>
      <c r="BD71" s="31" t="s">
        <v>235</v>
      </c>
      <c r="BE71" s="31" t="s">
        <v>233</v>
      </c>
    </row>
    <row r="72" spans="2:57" ht="21.75" customHeight="1" x14ac:dyDescent="0.45">
      <c r="B72" t="s">
        <v>115</v>
      </c>
      <c r="E72" s="31" t="s">
        <v>1498</v>
      </c>
      <c r="F72" t="str">
        <f>"Warengruppe&gt;&gt;"&amp;Migrationsartikel!V70&amp;"&gt;&gt;"&amp;Migrationsartikel!W70&amp;"&gt;&gt;"&amp;Migrationsartikel!X70</f>
        <v>Warengruppe&gt;&gt;Frische&gt;&gt;Molkereiprodukte &amp; Eier &gt;&gt;Eier</v>
      </c>
      <c r="J72" s="31" t="s">
        <v>125</v>
      </c>
      <c r="M72" s="31" t="s">
        <v>137</v>
      </c>
      <c r="P72" s="31">
        <f>Migrationsartikel!B70</f>
        <v>820</v>
      </c>
      <c r="R72" t="str">
        <f>Migrationsartikel!F70&amp;" "&amp;Migrationsartikel!G70&amp;" "&amp;Migrationsartikel!H70</f>
        <v>Eier aus der Region 4Stk</v>
      </c>
      <c r="S72" t="str">
        <f>Migrationsartikel!J70&amp;" "&amp;Migrationsartikel!K70&amp;" "&amp;Migrationsartikel!L70</f>
        <v>Oeufs de la région 4pces</v>
      </c>
      <c r="T72" t="str">
        <f>Migrationsartikel!N70&amp;" "&amp;Migrationsartikel!O70&amp;" "&amp;Migrationsartikel!P70</f>
        <v>Uova della regione 4pz</v>
      </c>
      <c r="U72" t="str">
        <f>Migrationsartikel!F70</f>
        <v>Eier</v>
      </c>
      <c r="V72" t="str">
        <f>Migrationsartikel!J70</f>
        <v>Oeufs</v>
      </c>
      <c r="W72" t="str">
        <f>Migrationsartikel!N70</f>
        <v>Uova</v>
      </c>
      <c r="X72" t="str">
        <f>Migrationsartikel!G70</f>
        <v>aus der Region</v>
      </c>
      <c r="Y72" t="str">
        <f>Migrationsartikel!K70</f>
        <v>de la région</v>
      </c>
      <c r="Z72" t="str">
        <f>Migrationsartikel!O70</f>
        <v>della regione</v>
      </c>
      <c r="AA72" s="31" t="str">
        <f>Migrationsartikel!H70</f>
        <v>4Stk</v>
      </c>
      <c r="AB72" s="31" t="str">
        <f>Migrationsartikel!L70</f>
        <v>4pces</v>
      </c>
      <c r="AC72" s="31" t="str">
        <f>Migrationsartikel!P70</f>
        <v>4pz</v>
      </c>
      <c r="AD72" t="str">
        <f>Migrationsartikel!I70</f>
        <v>Eier 4Stk</v>
      </c>
      <c r="AE72" t="str">
        <f>Migrationsartikel!M70</f>
        <v>Oeufs 4pces</v>
      </c>
      <c r="AF72" t="str">
        <f>Migrationsartikel!Q70</f>
        <v>Uova 4pz</v>
      </c>
      <c r="AG72" s="45">
        <f>Migrationsartikel!R70</f>
        <v>4</v>
      </c>
      <c r="AH72" s="46" t="str">
        <f>Migrationsartikel!T70</f>
        <v>Stück</v>
      </c>
      <c r="AI72" s="46" t="str">
        <f t="shared" si="3"/>
        <v>7</v>
      </c>
      <c r="AJ72" s="46" t="s">
        <v>176</v>
      </c>
      <c r="AK72">
        <f>Migrationsartikel!S70</f>
        <v>1</v>
      </c>
      <c r="AL72">
        <f>Migrationsartikel!S70</f>
        <v>1</v>
      </c>
      <c r="AM72">
        <f>Migrationsartikel!S70</f>
        <v>1</v>
      </c>
      <c r="AN72" t="str">
        <f>Migrationsartikel!U70</f>
        <v>(PCE) Stück</v>
      </c>
      <c r="AO72" t="str">
        <f t="shared" si="4"/>
        <v>(PCE) Pièce</v>
      </c>
      <c r="AP72" t="str">
        <f t="shared" si="5"/>
        <v>(PCE) Pièce</v>
      </c>
      <c r="AQ72" s="31" t="s">
        <v>195</v>
      </c>
      <c r="AR72" s="47"/>
      <c r="AS72" s="47"/>
      <c r="AT72" s="31" t="s">
        <v>208</v>
      </c>
      <c r="AU72" s="47"/>
      <c r="AV72" s="47"/>
      <c r="AW72" t="str">
        <f>IF(Migrationsartikel!AB70="ja","true",FALSE)</f>
        <v>true</v>
      </c>
      <c r="AX72" t="str">
        <f>IF(Migrationsartikel!AC70="ja","true",FALSE)</f>
        <v>true</v>
      </c>
      <c r="AY72" t="str">
        <f>IF(Migrationsartikel!AD70="ja","true",FALSE)</f>
        <v>true</v>
      </c>
      <c r="AZ72" t="str">
        <f>IF(Migrationsartikel!AE70="ja","true",FALSE)</f>
        <v>true</v>
      </c>
      <c r="BA72" t="str">
        <f>IF(Migrationsartikel!AF70="ja","Denner Partner","")</f>
        <v/>
      </c>
      <c r="BB72" t="str">
        <f>IF(Migrationsartikel!AG70="ja","true","false")</f>
        <v>false</v>
      </c>
      <c r="BC72" t="s">
        <v>1923</v>
      </c>
      <c r="BD72" s="31" t="s">
        <v>235</v>
      </c>
      <c r="BE72" s="31" t="s">
        <v>233</v>
      </c>
    </row>
    <row r="73" spans="2:57" ht="21.75" customHeight="1" x14ac:dyDescent="0.45">
      <c r="B73" t="s">
        <v>115</v>
      </c>
      <c r="E73" s="31" t="s">
        <v>1499</v>
      </c>
      <c r="F73" t="str">
        <f>"Warengruppe&gt;&gt;"&amp;Migrationsartikel!V71&amp;"&gt;&gt;"&amp;Migrationsartikel!W71&amp;"&gt;&gt;"&amp;Migrationsartikel!X71</f>
        <v>Warengruppe&gt;&gt;Frische&gt;&gt;Molkereiprodukte &amp; Eier &gt;&gt;Eier</v>
      </c>
      <c r="J73" s="31" t="s">
        <v>125</v>
      </c>
      <c r="M73" s="31" t="s">
        <v>137</v>
      </c>
      <c r="P73" s="31">
        <f>Migrationsartikel!B71</f>
        <v>821</v>
      </c>
      <c r="R73" t="str">
        <f>Migrationsartikel!F71&amp;" "&amp;Migrationsartikel!G71&amp;" "&amp;Migrationsartikel!H71</f>
        <v>Eier  aus der Region 10Stk</v>
      </c>
      <c r="S73" t="str">
        <f>Migrationsartikel!J71&amp;" "&amp;Migrationsartikel!K71&amp;" "&amp;Migrationsartikel!L71</f>
        <v>Oeufs de la région 10pces</v>
      </c>
      <c r="T73" t="str">
        <f>Migrationsartikel!N71&amp;" "&amp;Migrationsartikel!O71&amp;" "&amp;Migrationsartikel!P71</f>
        <v>Uova della regione 10pz</v>
      </c>
      <c r="U73" t="str">
        <f>Migrationsartikel!F71</f>
        <v xml:space="preserve">Eier </v>
      </c>
      <c r="V73" t="str">
        <f>Migrationsartikel!J71</f>
        <v>Oeufs</v>
      </c>
      <c r="W73" t="str">
        <f>Migrationsartikel!N71</f>
        <v>Uova</v>
      </c>
      <c r="X73" t="str">
        <f>Migrationsartikel!G71</f>
        <v>aus der Region</v>
      </c>
      <c r="Y73" t="str">
        <f>Migrationsartikel!K71</f>
        <v>de la région</v>
      </c>
      <c r="Z73" t="str">
        <f>Migrationsartikel!O71</f>
        <v>della regione</v>
      </c>
      <c r="AA73" s="31" t="str">
        <f>Migrationsartikel!H71</f>
        <v>10Stk</v>
      </c>
      <c r="AB73" s="31" t="str">
        <f>Migrationsartikel!L71</f>
        <v>10pces</v>
      </c>
      <c r="AC73" s="31" t="str">
        <f>Migrationsartikel!P71</f>
        <v>10pz</v>
      </c>
      <c r="AD73" t="str">
        <f>Migrationsartikel!I71</f>
        <v>Eier 10Stk</v>
      </c>
      <c r="AE73" t="str">
        <f>Migrationsartikel!M71</f>
        <v>Oeufs 10pces</v>
      </c>
      <c r="AF73" t="str">
        <f>Migrationsartikel!Q71</f>
        <v>Uova 10pz</v>
      </c>
      <c r="AG73" s="45">
        <f>Migrationsartikel!R71</f>
        <v>10</v>
      </c>
      <c r="AH73" s="46" t="str">
        <f>Migrationsartikel!T71</f>
        <v>Stück</v>
      </c>
      <c r="AI73" s="46" t="str">
        <f t="shared" si="3"/>
        <v>7</v>
      </c>
      <c r="AJ73" s="46" t="s">
        <v>176</v>
      </c>
      <c r="AK73">
        <f>Migrationsartikel!S71</f>
        <v>1</v>
      </c>
      <c r="AL73">
        <f>Migrationsartikel!S71</f>
        <v>1</v>
      </c>
      <c r="AM73">
        <f>Migrationsartikel!S71</f>
        <v>1</v>
      </c>
      <c r="AN73" t="str">
        <f>Migrationsartikel!U71</f>
        <v>(PCE) Stück</v>
      </c>
      <c r="AO73" t="str">
        <f t="shared" si="4"/>
        <v>(PCE) Pièce</v>
      </c>
      <c r="AP73" t="str">
        <f t="shared" si="5"/>
        <v>(PCE) Pièce</v>
      </c>
      <c r="AQ73" s="31" t="s">
        <v>195</v>
      </c>
      <c r="AR73" s="47"/>
      <c r="AS73" s="47"/>
      <c r="AT73" s="31" t="s">
        <v>208</v>
      </c>
      <c r="AU73" s="47"/>
      <c r="AV73" s="47"/>
      <c r="AW73" t="str">
        <f>IF(Migrationsartikel!AB71="ja","true",FALSE)</f>
        <v>true</v>
      </c>
      <c r="AX73" t="str">
        <f>IF(Migrationsartikel!AC71="ja","true",FALSE)</f>
        <v>true</v>
      </c>
      <c r="AY73" t="str">
        <f>IF(Migrationsartikel!AD71="ja","true",FALSE)</f>
        <v>true</v>
      </c>
      <c r="AZ73" t="str">
        <f>IF(Migrationsartikel!AE71="ja","true",FALSE)</f>
        <v>true</v>
      </c>
      <c r="BA73" t="str">
        <f>IF(Migrationsartikel!AF71="ja","Denner Partner","")</f>
        <v/>
      </c>
      <c r="BB73" t="str">
        <f>IF(Migrationsartikel!AG71="ja","true","false")</f>
        <v>false</v>
      </c>
      <c r="BC73" t="s">
        <v>1923</v>
      </c>
      <c r="BD73" s="31" t="s">
        <v>235</v>
      </c>
      <c r="BE73" s="31" t="s">
        <v>233</v>
      </c>
    </row>
    <row r="74" spans="2:57" ht="21.75" customHeight="1" x14ac:dyDescent="0.45">
      <c r="B74" t="s">
        <v>115</v>
      </c>
      <c r="E74" s="31" t="s">
        <v>1500</v>
      </c>
      <c r="F74" t="str">
        <f>"Warengruppe&gt;&gt;"&amp;Migrationsartikel!V72&amp;"&gt;&gt;"&amp;Migrationsartikel!W72&amp;"&gt;&gt;"&amp;Migrationsartikel!X72</f>
        <v>Warengruppe&gt;&gt;Frische&gt;&gt;Molkereiprodukte &amp; Eier &gt;&gt;Eier</v>
      </c>
      <c r="J74" s="31" t="s">
        <v>125</v>
      </c>
      <c r="M74" s="31" t="s">
        <v>137</v>
      </c>
      <c r="P74" s="31">
        <f>Migrationsartikel!B72</f>
        <v>822</v>
      </c>
      <c r="R74" t="str">
        <f>Migrationsartikel!F72&amp;" "&amp;Migrationsartikel!G72&amp;" "&amp;Migrationsartikel!H72</f>
        <v>Eier  aus der Region 1Stk</v>
      </c>
      <c r="S74" t="str">
        <f>Migrationsartikel!J72&amp;" "&amp;Migrationsartikel!K72&amp;" "&amp;Migrationsartikel!L72</f>
        <v>Oeuf de la région 1pce</v>
      </c>
      <c r="T74" t="str">
        <f>Migrationsartikel!N72&amp;" "&amp;Migrationsartikel!O72&amp;" "&amp;Migrationsartikel!P72</f>
        <v>Uovo della regione 1pz</v>
      </c>
      <c r="U74" t="str">
        <f>Migrationsartikel!F72</f>
        <v xml:space="preserve">Eier </v>
      </c>
      <c r="V74" t="str">
        <f>Migrationsartikel!J72</f>
        <v>Oeuf</v>
      </c>
      <c r="W74" t="str">
        <f>Migrationsartikel!N72</f>
        <v>Uovo</v>
      </c>
      <c r="X74" t="str">
        <f>Migrationsartikel!G72</f>
        <v>aus der Region</v>
      </c>
      <c r="Y74" t="str">
        <f>Migrationsartikel!K72</f>
        <v>de la région</v>
      </c>
      <c r="Z74" t="str">
        <f>Migrationsartikel!O72</f>
        <v>della regione</v>
      </c>
      <c r="AA74" s="31" t="str">
        <f>Migrationsartikel!H72</f>
        <v>1Stk</v>
      </c>
      <c r="AB74" s="31" t="str">
        <f>Migrationsartikel!L72</f>
        <v>1pce</v>
      </c>
      <c r="AC74" s="31" t="str">
        <f>Migrationsartikel!P72</f>
        <v>1pz</v>
      </c>
      <c r="AD74" t="str">
        <f>Migrationsartikel!I72</f>
        <v>Eier 1Stk</v>
      </c>
      <c r="AE74" t="str">
        <f>Migrationsartikel!M72</f>
        <v>Oeuf 1pce</v>
      </c>
      <c r="AF74" t="str">
        <f>Migrationsartikel!Q72</f>
        <v>Uovo 1pz</v>
      </c>
      <c r="AG74" s="45">
        <f>Migrationsartikel!R72</f>
        <v>1</v>
      </c>
      <c r="AH74" s="46" t="str">
        <f>Migrationsartikel!T72</f>
        <v>Stück</v>
      </c>
      <c r="AI74" s="46" t="str">
        <f t="shared" si="3"/>
        <v>7</v>
      </c>
      <c r="AJ74" s="46" t="s">
        <v>176</v>
      </c>
      <c r="AK74">
        <f>Migrationsartikel!S72</f>
        <v>1</v>
      </c>
      <c r="AL74">
        <f>Migrationsartikel!S72</f>
        <v>1</v>
      </c>
      <c r="AM74">
        <f>Migrationsartikel!S72</f>
        <v>1</v>
      </c>
      <c r="AN74" t="str">
        <f>Migrationsartikel!U72</f>
        <v>(PCE) Stück</v>
      </c>
      <c r="AO74" t="str">
        <f t="shared" si="4"/>
        <v>(PCE) Pièce</v>
      </c>
      <c r="AP74" t="str">
        <f t="shared" si="5"/>
        <v>(PCE) Pièce</v>
      </c>
      <c r="AQ74" s="31" t="s">
        <v>195</v>
      </c>
      <c r="AR74" s="47"/>
      <c r="AS74" s="47"/>
      <c r="AT74" s="31" t="s">
        <v>208</v>
      </c>
      <c r="AU74" s="47"/>
      <c r="AV74" s="47"/>
      <c r="AW74" t="str">
        <f>IF(Migrationsartikel!AB72="ja","true",FALSE)</f>
        <v>true</v>
      </c>
      <c r="AX74" t="str">
        <f>IF(Migrationsartikel!AC72="ja","true",FALSE)</f>
        <v>true</v>
      </c>
      <c r="AY74" t="str">
        <f>IF(Migrationsartikel!AD72="ja","true",FALSE)</f>
        <v>true</v>
      </c>
      <c r="AZ74" t="str">
        <f>IF(Migrationsartikel!AE72="ja","true",FALSE)</f>
        <v>true</v>
      </c>
      <c r="BA74" t="str">
        <f>IF(Migrationsartikel!AF72="ja","Denner Partner","")</f>
        <v/>
      </c>
      <c r="BB74" t="str">
        <f>IF(Migrationsartikel!AG72="ja","true","false")</f>
        <v>false</v>
      </c>
      <c r="BC74" t="s">
        <v>1923</v>
      </c>
      <c r="BD74" s="31" t="s">
        <v>235</v>
      </c>
      <c r="BE74" s="31" t="s">
        <v>233</v>
      </c>
    </row>
    <row r="75" spans="2:57" ht="21.75" customHeight="1" x14ac:dyDescent="0.45">
      <c r="B75" t="s">
        <v>115</v>
      </c>
      <c r="E75" s="31" t="s">
        <v>1501</v>
      </c>
      <c r="F75" t="str">
        <f>"Warengruppe&gt;&gt;"&amp;Migrationsartikel!V73&amp;"&gt;&gt;"&amp;Migrationsartikel!W73&amp;"&gt;&gt;"&amp;Migrationsartikel!X73</f>
        <v>Warengruppe&gt;&gt;Frische&gt;&gt;Molkereiprodukte &amp; Eier &gt;&gt;Eier</v>
      </c>
      <c r="J75" s="31" t="s">
        <v>125</v>
      </c>
      <c r="M75" s="31" t="s">
        <v>137</v>
      </c>
      <c r="P75" s="31">
        <f>Migrationsartikel!B73</f>
        <v>823</v>
      </c>
      <c r="R75" t="str">
        <f>Migrationsartikel!F73&amp;" "&amp;Migrationsartikel!G73&amp;" "&amp;Migrationsartikel!H73</f>
        <v>Eier  aus der Region 6Stk</v>
      </c>
      <c r="S75" t="str">
        <f>Migrationsartikel!J73&amp;" "&amp;Migrationsartikel!K73&amp;" "&amp;Migrationsartikel!L73</f>
        <v>Oeufs de la région 6pces</v>
      </c>
      <c r="T75" t="str">
        <f>Migrationsartikel!N73&amp;" "&amp;Migrationsartikel!O73&amp;" "&amp;Migrationsartikel!P73</f>
        <v>Uova della regione 6pz</v>
      </c>
      <c r="U75" t="str">
        <f>Migrationsartikel!F73</f>
        <v xml:space="preserve">Eier </v>
      </c>
      <c r="V75" t="str">
        <f>Migrationsartikel!J73</f>
        <v>Oeufs</v>
      </c>
      <c r="W75" t="str">
        <f>Migrationsartikel!N73</f>
        <v>Uova</v>
      </c>
      <c r="X75" t="str">
        <f>Migrationsartikel!G73</f>
        <v>aus der Region</v>
      </c>
      <c r="Y75" t="str">
        <f>Migrationsartikel!K73</f>
        <v>de la région</v>
      </c>
      <c r="Z75" t="str">
        <f>Migrationsartikel!O73</f>
        <v>della regione</v>
      </c>
      <c r="AA75" s="31" t="str">
        <f>Migrationsartikel!H73</f>
        <v>6Stk</v>
      </c>
      <c r="AB75" s="31" t="str">
        <f>Migrationsartikel!L73</f>
        <v>6pces</v>
      </c>
      <c r="AC75" s="31" t="str">
        <f>Migrationsartikel!P73</f>
        <v>6pz</v>
      </c>
      <c r="AD75" t="str">
        <f>Migrationsartikel!I73</f>
        <v>Eier 6Stk</v>
      </c>
      <c r="AE75" t="str">
        <f>Migrationsartikel!M73</f>
        <v>Oeufs 6pces</v>
      </c>
      <c r="AF75" t="str">
        <f>Migrationsartikel!Q73</f>
        <v>Uova 6pz</v>
      </c>
      <c r="AG75" s="45">
        <f>Migrationsartikel!R73</f>
        <v>6</v>
      </c>
      <c r="AH75" s="46" t="str">
        <f>Migrationsartikel!T73</f>
        <v>Stück</v>
      </c>
      <c r="AI75" s="46" t="str">
        <f t="shared" si="3"/>
        <v>7</v>
      </c>
      <c r="AJ75" s="46" t="s">
        <v>176</v>
      </c>
      <c r="AK75">
        <f>Migrationsartikel!S73</f>
        <v>1</v>
      </c>
      <c r="AL75">
        <f>Migrationsartikel!S73</f>
        <v>1</v>
      </c>
      <c r="AM75">
        <f>Migrationsartikel!S73</f>
        <v>1</v>
      </c>
      <c r="AN75" t="str">
        <f>Migrationsartikel!U73</f>
        <v>(PCE) Stück</v>
      </c>
      <c r="AO75" t="str">
        <f t="shared" si="4"/>
        <v>(PCE) Pièce</v>
      </c>
      <c r="AP75" t="str">
        <f t="shared" si="5"/>
        <v>(PCE) Pièce</v>
      </c>
      <c r="AQ75" s="31" t="s">
        <v>195</v>
      </c>
      <c r="AR75" s="47"/>
      <c r="AS75" s="47"/>
      <c r="AT75" s="31" t="s">
        <v>208</v>
      </c>
      <c r="AU75" s="47"/>
      <c r="AV75" s="47"/>
      <c r="AW75" t="str">
        <f>IF(Migrationsartikel!AB73="ja","true",FALSE)</f>
        <v>true</v>
      </c>
      <c r="AX75" t="str">
        <f>IF(Migrationsartikel!AC73="ja","true",FALSE)</f>
        <v>true</v>
      </c>
      <c r="AY75" t="str">
        <f>IF(Migrationsartikel!AD73="ja","true",FALSE)</f>
        <v>true</v>
      </c>
      <c r="AZ75" t="str">
        <f>IF(Migrationsartikel!AE73="ja","true",FALSE)</f>
        <v>true</v>
      </c>
      <c r="BA75" t="str">
        <f>IF(Migrationsartikel!AF73="ja","Denner Partner","")</f>
        <v/>
      </c>
      <c r="BB75" t="str">
        <f>IF(Migrationsartikel!AG73="ja","true","false")</f>
        <v>false</v>
      </c>
      <c r="BC75" t="s">
        <v>1923</v>
      </c>
      <c r="BD75" s="31" t="s">
        <v>235</v>
      </c>
      <c r="BE75" s="31" t="s">
        <v>233</v>
      </c>
    </row>
    <row r="76" spans="2:57" ht="21.75" customHeight="1" x14ac:dyDescent="0.45">
      <c r="B76" t="s">
        <v>115</v>
      </c>
      <c r="E76" s="31" t="s">
        <v>1502</v>
      </c>
      <c r="F76" t="str">
        <f>"Warengruppe&gt;&gt;"&amp;Migrationsartikel!V74&amp;"&gt;&gt;"&amp;Migrationsartikel!W74&amp;"&gt;&gt;"&amp;Migrationsartikel!X74</f>
        <v>Warengruppe&gt;&gt;Frische&gt;&gt;Molkereiprodukte &amp; Eier &gt;&gt;Eier</v>
      </c>
      <c r="J76" s="31" t="s">
        <v>125</v>
      </c>
      <c r="M76" s="31" t="s">
        <v>137</v>
      </c>
      <c r="P76" s="31">
        <f>Migrationsartikel!B74</f>
        <v>824</v>
      </c>
      <c r="R76" t="str">
        <f>Migrationsartikel!F74&amp;" "&amp;Migrationsartikel!G74&amp;" "&amp;Migrationsartikel!H74</f>
        <v>Picnic-Eier aus der Region 6Stk</v>
      </c>
      <c r="S76" t="str">
        <f>Migrationsartikel!J74&amp;" "&amp;Migrationsartikel!K74&amp;" "&amp;Migrationsartikel!L74</f>
        <v>Oeufs picnic  de la région 6pces</v>
      </c>
      <c r="T76" t="str">
        <f>Migrationsartikel!N74&amp;" "&amp;Migrationsartikel!O74&amp;" "&amp;Migrationsartikel!P74</f>
        <v>Uova picnic della regione 6pz</v>
      </c>
      <c r="U76" t="str">
        <f>Migrationsartikel!F74</f>
        <v>Picnic-Eier</v>
      </c>
      <c r="V76" t="str">
        <f>Migrationsartikel!J74</f>
        <v xml:space="preserve">Oeufs picnic </v>
      </c>
      <c r="W76" t="str">
        <f>Migrationsartikel!N74</f>
        <v>Uova picnic</v>
      </c>
      <c r="X76" t="str">
        <f>Migrationsartikel!G74</f>
        <v>aus der Region</v>
      </c>
      <c r="Y76" t="str">
        <f>Migrationsartikel!K74</f>
        <v>de la région</v>
      </c>
      <c r="Z76" t="str">
        <f>Migrationsartikel!O74</f>
        <v>della regione</v>
      </c>
      <c r="AA76" s="31" t="str">
        <f>Migrationsartikel!H74</f>
        <v>6Stk</v>
      </c>
      <c r="AB76" s="31" t="str">
        <f>Migrationsartikel!L74</f>
        <v>6pces</v>
      </c>
      <c r="AC76" s="31" t="str">
        <f>Migrationsartikel!P74</f>
        <v>6pz</v>
      </c>
      <c r="AD76" t="str">
        <f>Migrationsartikel!I74</f>
        <v>Picnic-Eier 6Stk</v>
      </c>
      <c r="AE76" t="str">
        <f>Migrationsartikel!M74</f>
        <v>Oeufs picnic 6pces</v>
      </c>
      <c r="AF76" t="str">
        <f>Migrationsartikel!Q74</f>
        <v>Uova picnic 6pz</v>
      </c>
      <c r="AG76" s="45">
        <f>Migrationsartikel!R74</f>
        <v>6</v>
      </c>
      <c r="AH76" s="46" t="str">
        <f>Migrationsartikel!T74</f>
        <v>Stück</v>
      </c>
      <c r="AI76" s="46" t="str">
        <f t="shared" si="3"/>
        <v>7</v>
      </c>
      <c r="AJ76" s="46" t="s">
        <v>176</v>
      </c>
      <c r="AK76">
        <f>Migrationsartikel!S74</f>
        <v>1</v>
      </c>
      <c r="AL76">
        <f>Migrationsartikel!S74</f>
        <v>1</v>
      </c>
      <c r="AM76">
        <f>Migrationsartikel!S74</f>
        <v>1</v>
      </c>
      <c r="AN76" t="str">
        <f>Migrationsartikel!U74</f>
        <v>(PCE) Stück</v>
      </c>
      <c r="AO76" t="str">
        <f t="shared" si="4"/>
        <v>(PCE) Pièce</v>
      </c>
      <c r="AP76" t="str">
        <f t="shared" si="5"/>
        <v>(PCE) Pièce</v>
      </c>
      <c r="AQ76" s="31" t="s">
        <v>195</v>
      </c>
      <c r="AR76" s="47"/>
      <c r="AS76" s="47"/>
      <c r="AT76" s="31" t="s">
        <v>208</v>
      </c>
      <c r="AU76" s="47"/>
      <c r="AV76" s="47"/>
      <c r="AW76" t="str">
        <f>IF(Migrationsartikel!AB74="ja","true",FALSE)</f>
        <v>true</v>
      </c>
      <c r="AX76" t="str">
        <f>IF(Migrationsartikel!AC74="ja","true",FALSE)</f>
        <v>true</v>
      </c>
      <c r="AY76" t="str">
        <f>IF(Migrationsartikel!AD74="ja","true",FALSE)</f>
        <v>true</v>
      </c>
      <c r="AZ76" t="str">
        <f>IF(Migrationsartikel!AE74="ja","true",FALSE)</f>
        <v>true</v>
      </c>
      <c r="BA76" t="str">
        <f>IF(Migrationsartikel!AF74="ja","Denner Partner","")</f>
        <v/>
      </c>
      <c r="BB76" t="str">
        <f>IF(Migrationsartikel!AG74="ja","true","false")</f>
        <v>false</v>
      </c>
      <c r="BC76" t="s">
        <v>1923</v>
      </c>
      <c r="BD76" s="31" t="s">
        <v>235</v>
      </c>
      <c r="BE76" s="31" t="s">
        <v>233</v>
      </c>
    </row>
    <row r="77" spans="2:57" ht="21.75" customHeight="1" x14ac:dyDescent="0.45">
      <c r="B77" t="s">
        <v>115</v>
      </c>
      <c r="E77" s="31" t="s">
        <v>1503</v>
      </c>
      <c r="F77" t="str">
        <f>"Warengruppe&gt;&gt;"&amp;Migrationsartikel!V75&amp;"&gt;&gt;"&amp;Migrationsartikel!W75&amp;"&gt;&gt;"&amp;Migrationsartikel!X75</f>
        <v>Warengruppe&gt;&gt;Frische&gt;&gt;Molkereiprodukte &amp; Eier &gt;&gt;Eier</v>
      </c>
      <c r="J77" s="31" t="s">
        <v>125</v>
      </c>
      <c r="M77" s="31" t="s">
        <v>137</v>
      </c>
      <c r="P77" s="31">
        <f>Migrationsartikel!B75</f>
        <v>825</v>
      </c>
      <c r="R77" t="str">
        <f>Migrationsartikel!F75&amp;" "&amp;Migrationsartikel!G75&amp;" "&amp;Migrationsartikel!H75</f>
        <v>Picnic-Eier  aus der Region 1Stk</v>
      </c>
      <c r="S77" t="str">
        <f>Migrationsartikel!J75&amp;" "&amp;Migrationsartikel!K75&amp;" "&amp;Migrationsartikel!L75</f>
        <v>Oeuf picnic de la région 1pce</v>
      </c>
      <c r="T77" t="str">
        <f>Migrationsartikel!N75&amp;" "&amp;Migrationsartikel!O75&amp;" "&amp;Migrationsartikel!P75</f>
        <v>Uovo picnic della regione 1pz</v>
      </c>
      <c r="U77" t="str">
        <f>Migrationsartikel!F75</f>
        <v xml:space="preserve">Picnic-Eier </v>
      </c>
      <c r="V77" t="str">
        <f>Migrationsartikel!J75</f>
        <v>Oeuf picnic</v>
      </c>
      <c r="W77" t="str">
        <f>Migrationsartikel!N75</f>
        <v>Uovo picnic</v>
      </c>
      <c r="X77" t="str">
        <f>Migrationsartikel!G75</f>
        <v>aus der Region</v>
      </c>
      <c r="Y77" t="str">
        <f>Migrationsartikel!K75</f>
        <v>de la région</v>
      </c>
      <c r="Z77" t="str">
        <f>Migrationsartikel!O75</f>
        <v>della regione</v>
      </c>
      <c r="AA77" s="31" t="str">
        <f>Migrationsartikel!H75</f>
        <v>1Stk</v>
      </c>
      <c r="AB77" s="31" t="str">
        <f>Migrationsartikel!L75</f>
        <v>1pce</v>
      </c>
      <c r="AC77" s="31" t="str">
        <f>Migrationsartikel!P75</f>
        <v>1pz</v>
      </c>
      <c r="AD77" t="str">
        <f>Migrationsartikel!I75</f>
        <v>Picnic-Eier 1Stk</v>
      </c>
      <c r="AE77" t="str">
        <f>Migrationsartikel!M75</f>
        <v>Oeuf picnic 1pce</v>
      </c>
      <c r="AF77" t="str">
        <f>Migrationsartikel!Q75</f>
        <v>Uovo picnic 1pz</v>
      </c>
      <c r="AG77" s="45">
        <f>Migrationsartikel!R75</f>
        <v>1</v>
      </c>
      <c r="AH77" s="46" t="str">
        <f>Migrationsartikel!T75</f>
        <v>Stück</v>
      </c>
      <c r="AI77" s="46" t="str">
        <f t="shared" si="3"/>
        <v>7</v>
      </c>
      <c r="AJ77" s="46" t="s">
        <v>176</v>
      </c>
      <c r="AK77">
        <f>Migrationsartikel!S75</f>
        <v>1</v>
      </c>
      <c r="AL77">
        <f>Migrationsartikel!S75</f>
        <v>1</v>
      </c>
      <c r="AM77">
        <f>Migrationsartikel!S75</f>
        <v>1</v>
      </c>
      <c r="AN77" t="str">
        <f>Migrationsartikel!U75</f>
        <v>(PCE) Stück</v>
      </c>
      <c r="AO77" t="str">
        <f t="shared" si="4"/>
        <v>(PCE) Pièce</v>
      </c>
      <c r="AP77" t="str">
        <f t="shared" si="5"/>
        <v>(PCE) Pièce</v>
      </c>
      <c r="AQ77" s="31" t="s">
        <v>195</v>
      </c>
      <c r="AR77" s="47"/>
      <c r="AS77" s="47"/>
      <c r="AT77" s="31" t="s">
        <v>208</v>
      </c>
      <c r="AU77" s="47"/>
      <c r="AV77" s="47"/>
      <c r="AW77" t="str">
        <f>IF(Migrationsartikel!AB75="ja","true",FALSE)</f>
        <v>true</v>
      </c>
      <c r="AX77" t="str">
        <f>IF(Migrationsartikel!AC75="ja","true",FALSE)</f>
        <v>true</v>
      </c>
      <c r="AY77" t="str">
        <f>IF(Migrationsartikel!AD75="ja","true",FALSE)</f>
        <v>true</v>
      </c>
      <c r="AZ77" t="str">
        <f>IF(Migrationsartikel!AE75="ja","true",FALSE)</f>
        <v>true</v>
      </c>
      <c r="BA77" t="str">
        <f>IF(Migrationsartikel!AF75="ja","Denner Partner","")</f>
        <v/>
      </c>
      <c r="BB77" t="str">
        <f>IF(Migrationsartikel!AG75="ja","true","false")</f>
        <v>false</v>
      </c>
      <c r="BC77" t="s">
        <v>1923</v>
      </c>
      <c r="BD77" s="31" t="s">
        <v>235</v>
      </c>
      <c r="BE77" s="31" t="s">
        <v>233</v>
      </c>
    </row>
    <row r="78" spans="2:57" ht="21.75" customHeight="1" x14ac:dyDescent="0.45">
      <c r="B78" t="s">
        <v>115</v>
      </c>
      <c r="E78" s="31" t="s">
        <v>1504</v>
      </c>
      <c r="F78" t="str">
        <f>"Warengruppe&gt;&gt;"&amp;Migrationsartikel!V76&amp;"&gt;&gt;"&amp;Migrationsartikel!W76&amp;"&gt;&gt;"&amp;Migrationsartikel!X76</f>
        <v>Warengruppe&gt;&gt;Frische&gt;&gt;Molkereiprodukte &amp; Eier &gt;&gt;Eier</v>
      </c>
      <c r="J78" s="31" t="s">
        <v>125</v>
      </c>
      <c r="M78" s="31" t="s">
        <v>137</v>
      </c>
      <c r="P78" s="31">
        <f>Migrationsartikel!B76</f>
        <v>826</v>
      </c>
      <c r="R78" t="str">
        <f>Migrationsartikel!F76&amp;" "&amp;Migrationsartikel!G76&amp;" "&amp;Migrationsartikel!H76</f>
        <v>Wachteleier aus der Region 8Stk</v>
      </c>
      <c r="S78" t="str">
        <f>Migrationsartikel!J76&amp;" "&amp;Migrationsartikel!K76&amp;" "&amp;Migrationsartikel!L76</f>
        <v>Oeufs de caille de la région 8pces</v>
      </c>
      <c r="T78" t="str">
        <f>Migrationsartikel!N76&amp;" "&amp;Migrationsartikel!O76&amp;" "&amp;Migrationsartikel!P76</f>
        <v>Uova di quaglia della regione 8pz</v>
      </c>
      <c r="U78" t="str">
        <f>Migrationsartikel!F76</f>
        <v>Wachteleier</v>
      </c>
      <c r="V78" t="str">
        <f>Migrationsartikel!J76</f>
        <v>Oeufs de caille</v>
      </c>
      <c r="W78" t="str">
        <f>Migrationsartikel!N76</f>
        <v>Uova di quaglia</v>
      </c>
      <c r="X78" t="str">
        <f>Migrationsartikel!G76</f>
        <v>aus der Region</v>
      </c>
      <c r="Y78" t="str">
        <f>Migrationsartikel!K76</f>
        <v>de la région</v>
      </c>
      <c r="Z78" t="str">
        <f>Migrationsartikel!O76</f>
        <v>della regione</v>
      </c>
      <c r="AA78" s="31" t="str">
        <f>Migrationsartikel!H76</f>
        <v>8Stk</v>
      </c>
      <c r="AB78" s="31" t="str">
        <f>Migrationsartikel!L76</f>
        <v>8pces</v>
      </c>
      <c r="AC78" s="31" t="str">
        <f>Migrationsartikel!P76</f>
        <v>8pz</v>
      </c>
      <c r="AD78" t="str">
        <f>Migrationsartikel!I76</f>
        <v>Wachteleier 8Stk</v>
      </c>
      <c r="AE78" t="str">
        <f>Migrationsartikel!M76</f>
        <v>Oeufs de caille 8pces</v>
      </c>
      <c r="AF78" t="str">
        <f>Migrationsartikel!Q76</f>
        <v>Uova di quaglia 8pz</v>
      </c>
      <c r="AG78" s="45">
        <f>Migrationsartikel!R76</f>
        <v>8</v>
      </c>
      <c r="AH78" s="46" t="str">
        <f>Migrationsartikel!T76</f>
        <v>Stück</v>
      </c>
      <c r="AI78" s="46" t="str">
        <f t="shared" si="3"/>
        <v>7</v>
      </c>
      <c r="AJ78" s="46" t="s">
        <v>176</v>
      </c>
      <c r="AK78">
        <f>Migrationsartikel!S76</f>
        <v>1</v>
      </c>
      <c r="AL78">
        <f>Migrationsartikel!S76</f>
        <v>1</v>
      </c>
      <c r="AM78">
        <f>Migrationsartikel!S76</f>
        <v>1</v>
      </c>
      <c r="AN78" t="str">
        <f>Migrationsartikel!U76</f>
        <v>(PCE) Stück</v>
      </c>
      <c r="AO78" t="str">
        <f t="shared" si="4"/>
        <v>(PCE) Pièce</v>
      </c>
      <c r="AP78" t="str">
        <f t="shared" si="5"/>
        <v>(PCE) Pièce</v>
      </c>
      <c r="AQ78" s="31" t="s">
        <v>195</v>
      </c>
      <c r="AR78" s="47"/>
      <c r="AS78" s="47"/>
      <c r="AT78" s="31" t="s">
        <v>208</v>
      </c>
      <c r="AU78" s="47"/>
      <c r="AV78" s="47"/>
      <c r="AW78" t="str">
        <f>IF(Migrationsartikel!AB76="ja","true",FALSE)</f>
        <v>true</v>
      </c>
      <c r="AX78" t="str">
        <f>IF(Migrationsartikel!AC76="ja","true",FALSE)</f>
        <v>true</v>
      </c>
      <c r="AY78" t="str">
        <f>IF(Migrationsartikel!AD76="ja","true",FALSE)</f>
        <v>true</v>
      </c>
      <c r="AZ78" t="str">
        <f>IF(Migrationsartikel!AE76="ja","true",FALSE)</f>
        <v>true</v>
      </c>
      <c r="BA78" t="str">
        <f>IF(Migrationsartikel!AF76="ja","Denner Partner","")</f>
        <v/>
      </c>
      <c r="BB78" t="str">
        <f>IF(Migrationsartikel!AG76="ja","true","false")</f>
        <v>false</v>
      </c>
      <c r="BC78" t="s">
        <v>1923</v>
      </c>
      <c r="BD78" s="31" t="s">
        <v>235</v>
      </c>
      <c r="BE78" s="31" t="s">
        <v>233</v>
      </c>
    </row>
    <row r="79" spans="2:57" ht="21.75" customHeight="1" x14ac:dyDescent="0.45">
      <c r="B79" t="s">
        <v>115</v>
      </c>
      <c r="E79" s="31" t="s">
        <v>1505</v>
      </c>
      <c r="F79" t="str">
        <f>"Warengruppe&gt;&gt;"&amp;Migrationsartikel!V77&amp;"&gt;&gt;"&amp;Migrationsartikel!W77&amp;"&gt;&gt;"&amp;Migrationsartikel!X77</f>
        <v>Warengruppe&gt;&gt;Frische&gt;&gt;Molkereiprodukte &amp; Eier &gt;&gt;Eier</v>
      </c>
      <c r="J79" s="31" t="s">
        <v>125</v>
      </c>
      <c r="M79" s="31" t="s">
        <v>137</v>
      </c>
      <c r="P79" s="31">
        <f>Migrationsartikel!B77</f>
        <v>827</v>
      </c>
      <c r="R79" t="str">
        <f>Migrationsartikel!F77&amp;" "&amp;Migrationsartikel!G77&amp;" "&amp;Migrationsartikel!H77</f>
        <v>Wachteleier aus der Region 6Stk</v>
      </c>
      <c r="S79" t="str">
        <f>Migrationsartikel!J77&amp;" "&amp;Migrationsartikel!K77&amp;" "&amp;Migrationsartikel!L77</f>
        <v>Oeufs de caille de la région 6pces</v>
      </c>
      <c r="T79" t="str">
        <f>Migrationsartikel!N77&amp;" "&amp;Migrationsartikel!O77&amp;" "&amp;Migrationsartikel!P77</f>
        <v>Uova di quaglia della regione 6pz</v>
      </c>
      <c r="U79" t="str">
        <f>Migrationsartikel!F77</f>
        <v>Wachteleier</v>
      </c>
      <c r="V79" t="str">
        <f>Migrationsartikel!J77</f>
        <v>Oeufs de caille</v>
      </c>
      <c r="W79" t="str">
        <f>Migrationsartikel!N77</f>
        <v>Uova di quaglia</v>
      </c>
      <c r="X79" t="str">
        <f>Migrationsartikel!G77</f>
        <v>aus der Region</v>
      </c>
      <c r="Y79" t="str">
        <f>Migrationsartikel!K77</f>
        <v>de la région</v>
      </c>
      <c r="Z79" t="str">
        <f>Migrationsartikel!O77</f>
        <v>della regione</v>
      </c>
      <c r="AA79" s="31" t="str">
        <f>Migrationsartikel!H77</f>
        <v>6Stk</v>
      </c>
      <c r="AB79" s="31" t="str">
        <f>Migrationsartikel!L77</f>
        <v>6pces</v>
      </c>
      <c r="AC79" s="31" t="str">
        <f>Migrationsartikel!P77</f>
        <v>6pz</v>
      </c>
      <c r="AD79" t="str">
        <f>Migrationsartikel!I77</f>
        <v>Wachteleier 6Stk</v>
      </c>
      <c r="AE79" t="str">
        <f>Migrationsartikel!M77</f>
        <v>Oeufs de caille 6pces</v>
      </c>
      <c r="AF79" t="str">
        <f>Migrationsartikel!Q77</f>
        <v>Uova di quaglia 6pz</v>
      </c>
      <c r="AG79" s="45">
        <f>Migrationsartikel!R77</f>
        <v>6</v>
      </c>
      <c r="AH79" s="46" t="str">
        <f>Migrationsartikel!T77</f>
        <v>Stück</v>
      </c>
      <c r="AI79" s="46" t="str">
        <f t="shared" si="3"/>
        <v>7</v>
      </c>
      <c r="AJ79" s="46" t="s">
        <v>176</v>
      </c>
      <c r="AK79">
        <f>Migrationsartikel!S77</f>
        <v>1</v>
      </c>
      <c r="AL79">
        <f>Migrationsartikel!S77</f>
        <v>1</v>
      </c>
      <c r="AM79">
        <f>Migrationsartikel!S77</f>
        <v>1</v>
      </c>
      <c r="AN79" t="str">
        <f>Migrationsartikel!U77</f>
        <v>(PCE) Stück</v>
      </c>
      <c r="AO79" t="str">
        <f t="shared" si="4"/>
        <v>(PCE) Pièce</v>
      </c>
      <c r="AP79" t="str">
        <f t="shared" si="5"/>
        <v>(PCE) Pièce</v>
      </c>
      <c r="AQ79" s="31" t="s">
        <v>195</v>
      </c>
      <c r="AR79" s="47"/>
      <c r="AS79" s="47"/>
      <c r="AT79" s="31" t="s">
        <v>208</v>
      </c>
      <c r="AU79" s="47"/>
      <c r="AV79" s="47"/>
      <c r="AW79" t="str">
        <f>IF(Migrationsartikel!AB77="ja","true",FALSE)</f>
        <v>true</v>
      </c>
      <c r="AX79" t="str">
        <f>IF(Migrationsartikel!AC77="ja","true",FALSE)</f>
        <v>true</v>
      </c>
      <c r="AY79" t="str">
        <f>IF(Migrationsartikel!AD77="ja","true",FALSE)</f>
        <v>true</v>
      </c>
      <c r="AZ79" t="str">
        <f>IF(Migrationsartikel!AE77="ja","true",FALSE)</f>
        <v>true</v>
      </c>
      <c r="BA79" t="str">
        <f>IF(Migrationsartikel!AF77="ja","Denner Partner","")</f>
        <v/>
      </c>
      <c r="BB79" t="str">
        <f>IF(Migrationsartikel!AG77="ja","true","false")</f>
        <v>false</v>
      </c>
      <c r="BC79" t="s">
        <v>1923</v>
      </c>
      <c r="BD79" s="31" t="s">
        <v>235</v>
      </c>
      <c r="BE79" s="31" t="s">
        <v>233</v>
      </c>
    </row>
    <row r="80" spans="2:57" ht="21.75" customHeight="1" x14ac:dyDescent="0.45">
      <c r="B80" t="s">
        <v>115</v>
      </c>
      <c r="E80" s="31" t="s">
        <v>1506</v>
      </c>
      <c r="F80" t="str">
        <f>"Warengruppe&gt;&gt;"&amp;Migrationsartikel!V78&amp;"&gt;&gt;"&amp;Migrationsartikel!W78&amp;"&gt;&gt;"&amp;Migrationsartikel!X78</f>
        <v>Warengruppe&gt;&gt;Frische&gt;&gt;Molkereiprodukte &amp; Eier &gt;&gt;Eier</v>
      </c>
      <c r="J80" s="31" t="s">
        <v>125</v>
      </c>
      <c r="M80" s="31" t="s">
        <v>137</v>
      </c>
      <c r="P80" s="31">
        <f>Migrationsartikel!B78</f>
        <v>828</v>
      </c>
      <c r="R80" t="str">
        <f>Migrationsartikel!F78&amp;" "&amp;Migrationsartikel!G78&amp;" "&amp;Migrationsartikel!H78</f>
        <v>Wachteleier aus der Region 1Stk</v>
      </c>
      <c r="S80" t="str">
        <f>Migrationsartikel!J78&amp;" "&amp;Migrationsartikel!K78&amp;" "&amp;Migrationsartikel!L78</f>
        <v>Oeufs de caille de la région 1pce</v>
      </c>
      <c r="T80" t="str">
        <f>Migrationsartikel!N78&amp;" "&amp;Migrationsartikel!O78&amp;" "&amp;Migrationsartikel!P78</f>
        <v>Uova di quaglia della regione 1pz</v>
      </c>
      <c r="U80" t="str">
        <f>Migrationsartikel!F78</f>
        <v>Wachteleier</v>
      </c>
      <c r="V80" t="str">
        <f>Migrationsartikel!J78</f>
        <v>Oeufs de caille</v>
      </c>
      <c r="W80" t="str">
        <f>Migrationsartikel!N78</f>
        <v>Uova di quaglia</v>
      </c>
      <c r="X80" t="str">
        <f>Migrationsartikel!G78</f>
        <v>aus der Region</v>
      </c>
      <c r="Y80" t="str">
        <f>Migrationsartikel!K78</f>
        <v>de la région</v>
      </c>
      <c r="Z80" t="str">
        <f>Migrationsartikel!O78</f>
        <v>della regione</v>
      </c>
      <c r="AA80" s="31" t="str">
        <f>Migrationsartikel!H78</f>
        <v>1Stk</v>
      </c>
      <c r="AB80" s="31" t="str">
        <f>Migrationsartikel!L78</f>
        <v>1pce</v>
      </c>
      <c r="AC80" s="31" t="str">
        <f>Migrationsartikel!P78</f>
        <v>1pz</v>
      </c>
      <c r="AD80" t="str">
        <f>Migrationsartikel!I78</f>
        <v>Wachteleier 1Stk</v>
      </c>
      <c r="AE80" t="str">
        <f>Migrationsartikel!M78</f>
        <v>Oeufs de caille</v>
      </c>
      <c r="AF80" t="str">
        <f>Migrationsartikel!Q78</f>
        <v>Uova di quaglia</v>
      </c>
      <c r="AG80" s="45">
        <f>Migrationsartikel!R78</f>
        <v>1</v>
      </c>
      <c r="AH80" s="46" t="str">
        <f>Migrationsartikel!T78</f>
        <v>Stück</v>
      </c>
      <c r="AI80" s="46" t="str">
        <f t="shared" si="3"/>
        <v>7</v>
      </c>
      <c r="AJ80" s="46" t="s">
        <v>176</v>
      </c>
      <c r="AK80">
        <f>Migrationsartikel!S78</f>
        <v>1</v>
      </c>
      <c r="AL80">
        <f>Migrationsartikel!S78</f>
        <v>1</v>
      </c>
      <c r="AM80">
        <f>Migrationsartikel!S78</f>
        <v>1</v>
      </c>
      <c r="AN80" t="str">
        <f>Migrationsartikel!U78</f>
        <v>(PCE) Stück</v>
      </c>
      <c r="AO80" t="str">
        <f t="shared" si="4"/>
        <v>(PCE) Pièce</v>
      </c>
      <c r="AP80" t="str">
        <f t="shared" si="5"/>
        <v>(PCE) Pièce</v>
      </c>
      <c r="AQ80" s="31" t="s">
        <v>195</v>
      </c>
      <c r="AR80" s="47"/>
      <c r="AS80" s="47"/>
      <c r="AT80" s="31" t="s">
        <v>208</v>
      </c>
      <c r="AU80" s="47"/>
      <c r="AV80" s="47"/>
      <c r="AW80" t="str">
        <f>IF(Migrationsartikel!AB78="ja","true",FALSE)</f>
        <v>true</v>
      </c>
      <c r="AX80" t="str">
        <f>IF(Migrationsartikel!AC78="ja","true",FALSE)</f>
        <v>true</v>
      </c>
      <c r="AY80" t="str">
        <f>IF(Migrationsartikel!AD78="ja","true",FALSE)</f>
        <v>true</v>
      </c>
      <c r="AZ80" t="str">
        <f>IF(Migrationsartikel!AE78="ja","true",FALSE)</f>
        <v>true</v>
      </c>
      <c r="BA80" t="str">
        <f>IF(Migrationsartikel!AF78="ja","Denner Partner","")</f>
        <v/>
      </c>
      <c r="BB80" t="str">
        <f>IF(Migrationsartikel!AG78="ja","true","false")</f>
        <v>false</v>
      </c>
      <c r="BC80" t="s">
        <v>1923</v>
      </c>
      <c r="BD80" s="31" t="s">
        <v>235</v>
      </c>
      <c r="BE80" s="31" t="s">
        <v>233</v>
      </c>
    </row>
    <row r="81" spans="2:57" ht="21.75" customHeight="1" x14ac:dyDescent="0.45">
      <c r="B81" t="s">
        <v>115</v>
      </c>
      <c r="E81" s="31" t="s">
        <v>1507</v>
      </c>
      <c r="F81" t="str">
        <f>"Warengruppe&gt;&gt;"&amp;Migrationsartikel!V79&amp;"&gt;&gt;"&amp;Migrationsartikel!W79&amp;"&gt;&gt;"&amp;Migrationsartikel!X79</f>
        <v>Warengruppe&gt;&gt;Frische&gt;&gt;SB - Fleisch&gt;&gt;Fisch</v>
      </c>
      <c r="J81" s="31" t="s">
        <v>125</v>
      </c>
      <c r="M81" s="31" t="s">
        <v>137</v>
      </c>
      <c r="P81" s="31">
        <f>Migrationsartikel!B79</f>
        <v>829</v>
      </c>
      <c r="R81" t="str">
        <f>Migrationsartikel!F79&amp;" "&amp;Migrationsartikel!G79&amp;" "&amp;Migrationsartikel!H79</f>
        <v>Eglifilet  aus der Region 1Stk</v>
      </c>
      <c r="S81" t="str">
        <f>Migrationsartikel!J79&amp;" "&amp;Migrationsartikel!K79&amp;" "&amp;Migrationsartikel!L79</f>
        <v>Filet de perche de la région 1pce</v>
      </c>
      <c r="T81" t="str">
        <f>Migrationsartikel!N79&amp;" "&amp;Migrationsartikel!O79&amp;" "&amp;Migrationsartikel!P79</f>
        <v>Filetto di persico della regione 1pz</v>
      </c>
      <c r="U81" t="str">
        <f>Migrationsartikel!F79</f>
        <v xml:space="preserve">Eglifilet </v>
      </c>
      <c r="V81" t="str">
        <f>Migrationsartikel!J79</f>
        <v>Filet de perche</v>
      </c>
      <c r="W81" t="str">
        <f>Migrationsartikel!N79</f>
        <v>Filetto di persico</v>
      </c>
      <c r="X81" t="str">
        <f>Migrationsartikel!G79</f>
        <v>aus der Region</v>
      </c>
      <c r="Y81" t="str">
        <f>Migrationsartikel!K79</f>
        <v>de la région</v>
      </c>
      <c r="Z81" t="str">
        <f>Migrationsartikel!O79</f>
        <v>della regione</v>
      </c>
      <c r="AA81" s="31" t="str">
        <f>Migrationsartikel!H79</f>
        <v>1Stk</v>
      </c>
      <c r="AB81" s="31" t="str">
        <f>Migrationsartikel!L79</f>
        <v>1pce</v>
      </c>
      <c r="AC81" s="31" t="str">
        <f>Migrationsartikel!P79</f>
        <v>1pz</v>
      </c>
      <c r="AD81" t="str">
        <f>Migrationsartikel!I79</f>
        <v xml:space="preserve">Eglifilet </v>
      </c>
      <c r="AE81" t="str">
        <f>Migrationsartikel!M79</f>
        <v>Filet de perche</v>
      </c>
      <c r="AF81" t="str">
        <f>Migrationsartikel!Q79</f>
        <v>Filetto di persico</v>
      </c>
      <c r="AG81" s="45">
        <f>Migrationsartikel!R79</f>
        <v>1</v>
      </c>
      <c r="AH81" s="46" t="str">
        <f>Migrationsartikel!T79</f>
        <v>Gramm</v>
      </c>
      <c r="AI81" s="46" t="str">
        <f t="shared" si="3"/>
        <v>Gramm</v>
      </c>
      <c r="AJ81" s="46" t="s">
        <v>176</v>
      </c>
      <c r="AK81">
        <f>Migrationsartikel!S79</f>
        <v>100</v>
      </c>
      <c r="AL81">
        <f>Migrationsartikel!S79</f>
        <v>100</v>
      </c>
      <c r="AM81">
        <f>Migrationsartikel!S79</f>
        <v>100</v>
      </c>
      <c r="AN81" t="str">
        <f>Migrationsartikel!U79</f>
        <v>(PCE) Stück</v>
      </c>
      <c r="AO81" t="str">
        <f t="shared" si="4"/>
        <v>(PCE) Pièce</v>
      </c>
      <c r="AP81" t="str">
        <f t="shared" si="5"/>
        <v>(PCE) Pièce</v>
      </c>
      <c r="AQ81" s="31" t="s">
        <v>195</v>
      </c>
      <c r="AR81" s="47"/>
      <c r="AS81" s="47"/>
      <c r="AT81" s="31" t="s">
        <v>208</v>
      </c>
      <c r="AU81" s="47"/>
      <c r="AV81" s="47"/>
      <c r="AW81" t="str">
        <f>IF(Migrationsartikel!AB79="ja","true",FALSE)</f>
        <v>true</v>
      </c>
      <c r="AX81" t="str">
        <f>IF(Migrationsartikel!AC79="ja","true",FALSE)</f>
        <v>true</v>
      </c>
      <c r="AY81" t="str">
        <f>IF(Migrationsartikel!AD79="ja","true",FALSE)</f>
        <v>true</v>
      </c>
      <c r="AZ81" t="str">
        <f>IF(Migrationsartikel!AE79="ja","true",FALSE)</f>
        <v>true</v>
      </c>
      <c r="BA81" t="str">
        <f>IF(Migrationsartikel!AF79="ja","Denner Partner","")</f>
        <v/>
      </c>
      <c r="BB81" t="str">
        <f>IF(Migrationsartikel!AG79="ja","true","false")</f>
        <v>false</v>
      </c>
      <c r="BC81" t="s">
        <v>1923</v>
      </c>
      <c r="BD81" s="31" t="s">
        <v>235</v>
      </c>
      <c r="BE81" s="31" t="s">
        <v>233</v>
      </c>
    </row>
    <row r="82" spans="2:57" ht="21.75" customHeight="1" x14ac:dyDescent="0.45">
      <c r="B82" t="s">
        <v>115</v>
      </c>
      <c r="E82" s="31" t="s">
        <v>1508</v>
      </c>
      <c r="F82" t="str">
        <f>"Warengruppe&gt;&gt;"&amp;Migrationsartikel!V80&amp;"&gt;&gt;"&amp;Migrationsartikel!W80&amp;"&gt;&gt;"&amp;Migrationsartikel!X80</f>
        <v>Warengruppe&gt;&gt;Frische&gt;&gt;SB - Fleisch&gt;&gt;Fleisch</v>
      </c>
      <c r="J82" s="31" t="s">
        <v>125</v>
      </c>
      <c r="M82" s="31" t="s">
        <v>137</v>
      </c>
      <c r="P82" s="31">
        <f>Migrationsartikel!B80</f>
        <v>830</v>
      </c>
      <c r="R82" t="str">
        <f>Migrationsartikel!F80&amp;" "&amp;Migrationsartikel!G80&amp;" "&amp;Migrationsartikel!H80</f>
        <v>Rindstartar aus der Region 1Stk</v>
      </c>
      <c r="S82" t="str">
        <f>Migrationsartikel!J80&amp;" "&amp;Migrationsartikel!K80&amp;" "&amp;Migrationsartikel!L80</f>
        <v>Tartare de boeuf de la région 1pce</v>
      </c>
      <c r="T82" t="str">
        <f>Migrationsartikel!N80&amp;" "&amp;Migrationsartikel!O80&amp;" "&amp;Migrationsartikel!P80</f>
        <v>Tartare di manzo della regione 1pz</v>
      </c>
      <c r="U82" t="str">
        <f>Migrationsartikel!F80</f>
        <v>Rindstartar</v>
      </c>
      <c r="V82" t="str">
        <f>Migrationsartikel!J80</f>
        <v>Tartare de boeuf</v>
      </c>
      <c r="W82" t="str">
        <f>Migrationsartikel!N80</f>
        <v>Tartare di manzo</v>
      </c>
      <c r="X82" t="str">
        <f>Migrationsartikel!G80</f>
        <v>aus der Region</v>
      </c>
      <c r="Y82" t="str">
        <f>Migrationsartikel!K80</f>
        <v>de la région</v>
      </c>
      <c r="Z82" t="str">
        <f>Migrationsartikel!O80</f>
        <v>della regione</v>
      </c>
      <c r="AA82" s="31" t="str">
        <f>Migrationsartikel!H80</f>
        <v>1Stk</v>
      </c>
      <c r="AB82" s="31" t="str">
        <f>Migrationsartikel!L80</f>
        <v>1pce</v>
      </c>
      <c r="AC82" s="31" t="str">
        <f>Migrationsartikel!P80</f>
        <v>1pz</v>
      </c>
      <c r="AD82" t="str">
        <f>Migrationsartikel!I80</f>
        <v>Rindstartar</v>
      </c>
      <c r="AE82" t="str">
        <f>Migrationsartikel!M80</f>
        <v>Tartare de boeuf</v>
      </c>
      <c r="AF82" t="str">
        <f>Migrationsartikel!Q80</f>
        <v>Tartare di manzo</v>
      </c>
      <c r="AG82" s="45">
        <f>Migrationsartikel!R80</f>
        <v>1</v>
      </c>
      <c r="AH82" s="46" t="str">
        <f>Migrationsartikel!T80</f>
        <v>Gramm</v>
      </c>
      <c r="AI82" s="46" t="str">
        <f t="shared" si="3"/>
        <v>Gramm</v>
      </c>
      <c r="AJ82" s="46" t="s">
        <v>176</v>
      </c>
      <c r="AK82">
        <f>Migrationsartikel!S80</f>
        <v>100</v>
      </c>
      <c r="AL82">
        <f>Migrationsartikel!S80</f>
        <v>100</v>
      </c>
      <c r="AM82">
        <f>Migrationsartikel!S80</f>
        <v>100</v>
      </c>
      <c r="AN82" t="str">
        <f>Migrationsartikel!U80</f>
        <v>(PCE) Stück</v>
      </c>
      <c r="AO82" t="str">
        <f t="shared" si="4"/>
        <v>(PCE) Pièce</v>
      </c>
      <c r="AP82" t="str">
        <f t="shared" si="5"/>
        <v>(PCE) Pièce</v>
      </c>
      <c r="AQ82" s="31" t="s">
        <v>195</v>
      </c>
      <c r="AR82" s="47"/>
      <c r="AS82" s="47"/>
      <c r="AT82" s="31" t="s">
        <v>208</v>
      </c>
      <c r="AU82" s="47"/>
      <c r="AV82" s="47"/>
      <c r="AW82" t="str">
        <f>IF(Migrationsartikel!AB80="ja","true",FALSE)</f>
        <v>true</v>
      </c>
      <c r="AX82" t="str">
        <f>IF(Migrationsartikel!AC80="ja","true",FALSE)</f>
        <v>true</v>
      </c>
      <c r="AY82" t="str">
        <f>IF(Migrationsartikel!AD80="ja","true",FALSE)</f>
        <v>true</v>
      </c>
      <c r="AZ82" t="str">
        <f>IF(Migrationsartikel!AE80="ja","true",FALSE)</f>
        <v>true</v>
      </c>
      <c r="BA82" t="str">
        <f>IF(Migrationsartikel!AF80="ja","Denner Partner","")</f>
        <v/>
      </c>
      <c r="BB82" t="str">
        <f>IF(Migrationsartikel!AG80="ja","true","false")</f>
        <v>false</v>
      </c>
      <c r="BC82" t="s">
        <v>1923</v>
      </c>
      <c r="BD82" s="31" t="s">
        <v>235</v>
      </c>
      <c r="BE82" s="31" t="s">
        <v>233</v>
      </c>
    </row>
    <row r="83" spans="2:57" ht="21.75" customHeight="1" x14ac:dyDescent="0.45">
      <c r="B83" t="s">
        <v>115</v>
      </c>
      <c r="E83" s="31" t="s">
        <v>1509</v>
      </c>
      <c r="F83" t="str">
        <f>"Warengruppe&gt;&gt;"&amp;Migrationsartikel!V81&amp;"&gt;&gt;"&amp;Migrationsartikel!W81&amp;"&gt;&gt;"&amp;Migrationsartikel!X81</f>
        <v>Warengruppe&gt;&gt;Frische&gt;&gt;Fleisch- und Wurstwaren&gt;&gt;Fleisch- und Wurstwaren andere</v>
      </c>
      <c r="J83" s="31" t="s">
        <v>125</v>
      </c>
      <c r="M83" s="31" t="s">
        <v>137</v>
      </c>
      <c r="P83" s="31">
        <f>Migrationsartikel!B81</f>
        <v>831</v>
      </c>
      <c r="R83" t="str">
        <f>Migrationsartikel!F81&amp;" "&amp;Migrationsartikel!G81&amp;" "&amp;Migrationsartikel!H81</f>
        <v>Theke Wurstwaren aus der Region 1Stk</v>
      </c>
      <c r="S83" t="str">
        <f>Migrationsartikel!J81&amp;" "&amp;Migrationsartikel!K81&amp;" "&amp;Migrationsartikel!L81</f>
        <v>Comptoir charcuterie de la région 1pce</v>
      </c>
      <c r="T83" t="str">
        <f>Migrationsartikel!N81&amp;" "&amp;Migrationsartikel!O81&amp;" "&amp;Migrationsartikel!P81</f>
        <v>Banco salumeria della regione 1pz</v>
      </c>
      <c r="U83" t="str">
        <f>Migrationsartikel!F81</f>
        <v>Theke Wurstwaren</v>
      </c>
      <c r="V83" t="str">
        <f>Migrationsartikel!J81</f>
        <v>Comptoir charcuterie</v>
      </c>
      <c r="W83" t="str">
        <f>Migrationsartikel!N81</f>
        <v>Banco salumeria</v>
      </c>
      <c r="X83" t="str">
        <f>Migrationsartikel!G81</f>
        <v>aus der Region</v>
      </c>
      <c r="Y83" t="str">
        <f>Migrationsartikel!K81</f>
        <v>de la région</v>
      </c>
      <c r="Z83" t="str">
        <f>Migrationsartikel!O81</f>
        <v>della regione</v>
      </c>
      <c r="AA83" s="31" t="str">
        <f>Migrationsartikel!H81</f>
        <v>1Stk</v>
      </c>
      <c r="AB83" s="31" t="str">
        <f>Migrationsartikel!L81</f>
        <v>1pce</v>
      </c>
      <c r="AC83" s="31" t="str">
        <f>Migrationsartikel!P81</f>
        <v>1pz</v>
      </c>
      <c r="AD83" t="str">
        <f>Migrationsartikel!I81</f>
        <v>Theke Wurstwaren</v>
      </c>
      <c r="AE83" t="str">
        <f>Migrationsartikel!M81</f>
        <v>Comptoir charcuterie</v>
      </c>
      <c r="AF83" t="str">
        <f>Migrationsartikel!Q81</f>
        <v>Banco salumeria</v>
      </c>
      <c r="AG83" s="45">
        <f>Migrationsartikel!R81</f>
        <v>1</v>
      </c>
      <c r="AH83" s="46" t="str">
        <f>Migrationsartikel!T81</f>
        <v>Stück</v>
      </c>
      <c r="AI83" s="46" t="str">
        <f t="shared" si="3"/>
        <v>7</v>
      </c>
      <c r="AJ83" s="46" t="s">
        <v>176</v>
      </c>
      <c r="AK83">
        <f>Migrationsartikel!S81</f>
        <v>1</v>
      </c>
      <c r="AL83">
        <f>Migrationsartikel!S81</f>
        <v>1</v>
      </c>
      <c r="AM83">
        <f>Migrationsartikel!S81</f>
        <v>1</v>
      </c>
      <c r="AN83" t="str">
        <f>Migrationsartikel!U81</f>
        <v>(PCE) Stück</v>
      </c>
      <c r="AO83" t="str">
        <f t="shared" si="4"/>
        <v>(PCE) Pièce</v>
      </c>
      <c r="AP83" t="str">
        <f t="shared" si="5"/>
        <v>(PCE) Pièce</v>
      </c>
      <c r="AQ83" s="31" t="s">
        <v>195</v>
      </c>
      <c r="AR83" s="47"/>
      <c r="AS83" s="47"/>
      <c r="AT83" s="31" t="s">
        <v>208</v>
      </c>
      <c r="AU83" s="47"/>
      <c r="AV83" s="47"/>
      <c r="AW83" t="str">
        <f>IF(Migrationsartikel!AB81="ja","true",FALSE)</f>
        <v>true</v>
      </c>
      <c r="AX83" t="str">
        <f>IF(Migrationsartikel!AC81="ja","true",FALSE)</f>
        <v>true</v>
      </c>
      <c r="AY83" t="str">
        <f>IF(Migrationsartikel!AD81="ja","true",FALSE)</f>
        <v>true</v>
      </c>
      <c r="AZ83" t="str">
        <f>IF(Migrationsartikel!AE81="ja","true",FALSE)</f>
        <v>true</v>
      </c>
      <c r="BA83" t="str">
        <f>IF(Migrationsartikel!AF81="ja","Denner Partner","")</f>
        <v/>
      </c>
      <c r="BB83" t="str">
        <f>IF(Migrationsartikel!AG81="ja","true","false")</f>
        <v>false</v>
      </c>
      <c r="BC83" t="s">
        <v>1923</v>
      </c>
      <c r="BD83" s="31" t="s">
        <v>235</v>
      </c>
      <c r="BE83" s="31" t="s">
        <v>233</v>
      </c>
    </row>
    <row r="84" spans="2:57" ht="21.75" customHeight="1" x14ac:dyDescent="0.45">
      <c r="B84" t="s">
        <v>115</v>
      </c>
      <c r="E84" s="31" t="s">
        <v>1510</v>
      </c>
      <c r="F84" t="str">
        <f>"Warengruppe&gt;&gt;"&amp;Migrationsartikel!V82&amp;"&gt;&gt;"&amp;Migrationsartikel!W82&amp;"&gt;&gt;"&amp;Migrationsartikel!X82</f>
        <v>Warengruppe&gt;&gt;Frische&gt;&gt;Fleisch- und Wurstwaren&gt;&gt;Fleisch- und Wurstwaren andere</v>
      </c>
      <c r="J84" s="31" t="s">
        <v>125</v>
      </c>
      <c r="M84" s="31" t="s">
        <v>137</v>
      </c>
      <c r="P84" s="31">
        <f>Migrationsartikel!B82</f>
        <v>832</v>
      </c>
      <c r="R84" t="str">
        <f>Migrationsartikel!F82&amp;" "&amp;Migrationsartikel!G82&amp;" "&amp;Migrationsartikel!H82</f>
        <v>Wurstwaren  aus der Region 1Stk</v>
      </c>
      <c r="S84" t="str">
        <f>Migrationsartikel!J82&amp;" "&amp;Migrationsartikel!K82&amp;" "&amp;Migrationsartikel!L82</f>
        <v>Charcuterie de la région 1pce</v>
      </c>
      <c r="T84" t="str">
        <f>Migrationsartikel!N82&amp;" "&amp;Migrationsartikel!O82&amp;" "&amp;Migrationsartikel!P82</f>
        <v>Salumi della regione 1pz</v>
      </c>
      <c r="U84" t="str">
        <f>Migrationsartikel!F82</f>
        <v xml:space="preserve">Wurstwaren </v>
      </c>
      <c r="V84" t="str">
        <f>Migrationsartikel!J82</f>
        <v>Charcuterie</v>
      </c>
      <c r="W84" t="str">
        <f>Migrationsartikel!N82</f>
        <v>Salumi</v>
      </c>
      <c r="X84" t="str">
        <f>Migrationsartikel!G82</f>
        <v>aus der Region</v>
      </c>
      <c r="Y84" t="str">
        <f>Migrationsartikel!K82</f>
        <v>de la région</v>
      </c>
      <c r="Z84" t="str">
        <f>Migrationsartikel!O82</f>
        <v>della regione</v>
      </c>
      <c r="AA84" s="31" t="str">
        <f>Migrationsartikel!H82</f>
        <v>1Stk</v>
      </c>
      <c r="AB84" s="31" t="str">
        <f>Migrationsartikel!L82</f>
        <v>1pce</v>
      </c>
      <c r="AC84" s="31" t="str">
        <f>Migrationsartikel!P82</f>
        <v>1pz</v>
      </c>
      <c r="AD84" t="str">
        <f>Migrationsartikel!I82</f>
        <v xml:space="preserve">Wurstwaren </v>
      </c>
      <c r="AE84" t="str">
        <f>Migrationsartikel!M82</f>
        <v>Charcuterie</v>
      </c>
      <c r="AF84" t="str">
        <f>Migrationsartikel!Q82</f>
        <v>Salumi</v>
      </c>
      <c r="AG84" s="45">
        <f>Migrationsartikel!R82</f>
        <v>1</v>
      </c>
      <c r="AH84" s="46" t="str">
        <f>Migrationsartikel!T82</f>
        <v>Stück</v>
      </c>
      <c r="AI84" s="46" t="str">
        <f t="shared" si="3"/>
        <v>7</v>
      </c>
      <c r="AJ84" s="46" t="s">
        <v>176</v>
      </c>
      <c r="AK84">
        <f>Migrationsartikel!S82</f>
        <v>1</v>
      </c>
      <c r="AL84">
        <f>Migrationsartikel!S82</f>
        <v>1</v>
      </c>
      <c r="AM84">
        <f>Migrationsartikel!S82</f>
        <v>1</v>
      </c>
      <c r="AN84" t="str">
        <f>Migrationsartikel!U82</f>
        <v>(PCE) Stück</v>
      </c>
      <c r="AO84" t="str">
        <f t="shared" si="4"/>
        <v>(PCE) Pièce</v>
      </c>
      <c r="AP84" t="str">
        <f t="shared" si="5"/>
        <v>(PCE) Pièce</v>
      </c>
      <c r="AQ84" s="31" t="s">
        <v>195</v>
      </c>
      <c r="AR84" s="47"/>
      <c r="AS84" s="47"/>
      <c r="AT84" s="31" t="s">
        <v>208</v>
      </c>
      <c r="AU84" s="47"/>
      <c r="AV84" s="47"/>
      <c r="AW84" t="str">
        <f>IF(Migrationsartikel!AB82="ja","true",FALSE)</f>
        <v>true</v>
      </c>
      <c r="AX84" t="str">
        <f>IF(Migrationsartikel!AC82="ja","true",FALSE)</f>
        <v>true</v>
      </c>
      <c r="AY84" t="str">
        <f>IF(Migrationsartikel!AD82="ja","true",FALSE)</f>
        <v>true</v>
      </c>
      <c r="AZ84" t="str">
        <f>IF(Migrationsartikel!AE82="ja","true",FALSE)</f>
        <v>true</v>
      </c>
      <c r="BA84" t="str">
        <f>IF(Migrationsartikel!AF82="ja","Denner Partner","")</f>
        <v/>
      </c>
      <c r="BB84" t="str">
        <f>IF(Migrationsartikel!AG82="ja","true","false")</f>
        <v>false</v>
      </c>
      <c r="BC84" t="s">
        <v>1923</v>
      </c>
      <c r="BD84" s="31" t="s">
        <v>235</v>
      </c>
      <c r="BE84" s="31" t="s">
        <v>233</v>
      </c>
    </row>
    <row r="85" spans="2:57" ht="21.75" customHeight="1" x14ac:dyDescent="0.45">
      <c r="B85" t="s">
        <v>115</v>
      </c>
      <c r="E85" s="31" t="s">
        <v>1511</v>
      </c>
      <c r="F85" t="str">
        <f>"Warengruppe&gt;&gt;"&amp;Migrationsartikel!V83&amp;"&gt;&gt;"&amp;Migrationsartikel!W83&amp;"&gt;&gt;"&amp;Migrationsartikel!X83</f>
        <v>Warengruppe&gt;&gt;Frische&gt;&gt;Käse&gt;&gt;Käse</v>
      </c>
      <c r="J85" s="31" t="s">
        <v>125</v>
      </c>
      <c r="M85" s="31" t="s">
        <v>137</v>
      </c>
      <c r="P85" s="31">
        <f>Migrationsartikel!B83</f>
        <v>833</v>
      </c>
      <c r="R85" t="str">
        <f>Migrationsartikel!F83&amp;" "&amp;Migrationsartikel!G83&amp;" "&amp;Migrationsartikel!H83</f>
        <v>Büscion aus der Region 2Stk</v>
      </c>
      <c r="S85" t="str">
        <f>Migrationsartikel!J83&amp;" "&amp;Migrationsartikel!K83&amp;" "&amp;Migrationsartikel!L83</f>
        <v>Büscion 2pces de la région 2pces</v>
      </c>
      <c r="T85" t="str">
        <f>Migrationsartikel!N83&amp;" "&amp;Migrationsartikel!O83&amp;" "&amp;Migrationsartikel!P83</f>
        <v>Büscion della regione 2pz</v>
      </c>
      <c r="U85" t="str">
        <f>Migrationsartikel!F83</f>
        <v>Büscion</v>
      </c>
      <c r="V85" t="str">
        <f>Migrationsartikel!J83</f>
        <v>Büscion 2pces</v>
      </c>
      <c r="W85" t="str">
        <f>Migrationsartikel!N83</f>
        <v>Büscion</v>
      </c>
      <c r="X85" t="str">
        <f>Migrationsartikel!G83</f>
        <v>aus der Region</v>
      </c>
      <c r="Y85" t="str">
        <f>Migrationsartikel!K83</f>
        <v>de la région</v>
      </c>
      <c r="Z85" t="str">
        <f>Migrationsartikel!O83</f>
        <v>della regione</v>
      </c>
      <c r="AA85" s="31" t="str">
        <f>Migrationsartikel!H83</f>
        <v>2Stk</v>
      </c>
      <c r="AB85" s="31" t="str">
        <f>Migrationsartikel!L83</f>
        <v>2pces</v>
      </c>
      <c r="AC85" s="31" t="str">
        <f>Migrationsartikel!P83</f>
        <v>2pz</v>
      </c>
      <c r="AD85" t="str">
        <f>Migrationsartikel!I83</f>
        <v>Büscion 2Stk</v>
      </c>
      <c r="AE85" t="str">
        <f>Migrationsartikel!M83</f>
        <v>Büscion</v>
      </c>
      <c r="AF85" t="str">
        <f>Migrationsartikel!Q83</f>
        <v>Büscion 2pz</v>
      </c>
      <c r="AG85" s="45">
        <f>Migrationsartikel!R83</f>
        <v>2</v>
      </c>
      <c r="AH85" s="46" t="str">
        <f>Migrationsartikel!T83</f>
        <v>Stück</v>
      </c>
      <c r="AI85" s="46" t="str">
        <f t="shared" si="3"/>
        <v>7</v>
      </c>
      <c r="AJ85" s="46" t="s">
        <v>176</v>
      </c>
      <c r="AK85">
        <f>Migrationsartikel!S83</f>
        <v>1</v>
      </c>
      <c r="AL85">
        <f>Migrationsartikel!S83</f>
        <v>1</v>
      </c>
      <c r="AM85">
        <f>Migrationsartikel!S83</f>
        <v>1</v>
      </c>
      <c r="AN85" t="str">
        <f>Migrationsartikel!U83</f>
        <v>(PCE) Stück</v>
      </c>
      <c r="AO85" t="str">
        <f t="shared" si="4"/>
        <v>(PCE) Pièce</v>
      </c>
      <c r="AP85" t="str">
        <f t="shared" si="5"/>
        <v>(PCE) Pièce</v>
      </c>
      <c r="AQ85" s="31" t="s">
        <v>195</v>
      </c>
      <c r="AR85" s="47"/>
      <c r="AS85" s="47"/>
      <c r="AT85" s="31" t="s">
        <v>208</v>
      </c>
      <c r="AU85" s="47"/>
      <c r="AV85" s="47"/>
      <c r="AW85" t="str">
        <f>IF(Migrationsartikel!AB83="ja","true",FALSE)</f>
        <v>true</v>
      </c>
      <c r="AX85" t="str">
        <f>IF(Migrationsartikel!AC83="ja","true",FALSE)</f>
        <v>true</v>
      </c>
      <c r="AY85" t="str">
        <f>IF(Migrationsartikel!AD83="ja","true",FALSE)</f>
        <v>true</v>
      </c>
      <c r="AZ85" t="str">
        <f>IF(Migrationsartikel!AE83="ja","true",FALSE)</f>
        <v>true</v>
      </c>
      <c r="BA85" t="str">
        <f>IF(Migrationsartikel!AF83="ja","Denner Partner","")</f>
        <v/>
      </c>
      <c r="BB85" t="str">
        <f>IF(Migrationsartikel!AG83="ja","true","false")</f>
        <v>false</v>
      </c>
      <c r="BC85" t="s">
        <v>1923</v>
      </c>
      <c r="BD85" s="31" t="s">
        <v>235</v>
      </c>
      <c r="BE85" s="31" t="s">
        <v>233</v>
      </c>
    </row>
    <row r="86" spans="2:57" ht="21.75" customHeight="1" x14ac:dyDescent="0.45">
      <c r="B86" t="s">
        <v>115</v>
      </c>
      <c r="E86" s="31" t="s">
        <v>1512</v>
      </c>
      <c r="F86" t="str">
        <f>"Warengruppe&gt;&gt;"&amp;Migrationsartikel!V84&amp;"&gt;&gt;"&amp;Migrationsartikel!W84&amp;"&gt;&gt;"&amp;Migrationsartikel!X84</f>
        <v>Warengruppe&gt;&gt;Frische&gt;&gt;Käse&gt;&gt;Käse</v>
      </c>
      <c r="J86" s="31" t="s">
        <v>125</v>
      </c>
      <c r="M86" s="31" t="s">
        <v>137</v>
      </c>
      <c r="P86" s="31">
        <f>Migrationsartikel!B84</f>
        <v>834</v>
      </c>
      <c r="R86" t="str">
        <f>Migrationsartikel!F84&amp;" "&amp;Migrationsartikel!G84&amp;" "&amp;Migrationsartikel!H84</f>
        <v>Fondue aus der Region 400g</v>
      </c>
      <c r="S86" t="str">
        <f>Migrationsartikel!J84&amp;" "&amp;Migrationsartikel!K84&amp;" "&amp;Migrationsartikel!L84</f>
        <v>Fondue de la région 400g</v>
      </c>
      <c r="T86" t="str">
        <f>Migrationsartikel!N84&amp;" "&amp;Migrationsartikel!O84&amp;" "&amp;Migrationsartikel!P84</f>
        <v>Fondue della regione 400g</v>
      </c>
      <c r="U86" t="str">
        <f>Migrationsartikel!F84</f>
        <v>Fondue</v>
      </c>
      <c r="V86" t="str">
        <f>Migrationsartikel!J84</f>
        <v>Fondue</v>
      </c>
      <c r="W86" t="str">
        <f>Migrationsartikel!N84</f>
        <v>Fondue</v>
      </c>
      <c r="X86" t="str">
        <f>Migrationsartikel!G84</f>
        <v>aus der Region</v>
      </c>
      <c r="Y86" t="str">
        <f>Migrationsartikel!K84</f>
        <v>de la région</v>
      </c>
      <c r="Z86" t="str">
        <f>Migrationsartikel!O84</f>
        <v>della regione</v>
      </c>
      <c r="AA86" s="31" t="str">
        <f>Migrationsartikel!H84</f>
        <v>400g</v>
      </c>
      <c r="AB86" s="31" t="str">
        <f>Migrationsartikel!L84</f>
        <v>400g</v>
      </c>
      <c r="AC86" s="31" t="str">
        <f>Migrationsartikel!P84</f>
        <v>400g</v>
      </c>
      <c r="AD86" t="str">
        <f>Migrationsartikel!I84</f>
        <v>Fondue 400g</v>
      </c>
      <c r="AE86" t="str">
        <f>Migrationsartikel!M84</f>
        <v>Fondue 400g</v>
      </c>
      <c r="AF86" t="str">
        <f>Migrationsartikel!Q84</f>
        <v>Fondue 400g</v>
      </c>
      <c r="AG86" s="45">
        <f>Migrationsartikel!R84</f>
        <v>0.4</v>
      </c>
      <c r="AH86" s="46" t="str">
        <f>Migrationsartikel!T84</f>
        <v>Gramm</v>
      </c>
      <c r="AI86" s="46" t="str">
        <f t="shared" si="3"/>
        <v>Gramm</v>
      </c>
      <c r="AJ86" s="46" t="s">
        <v>176</v>
      </c>
      <c r="AK86">
        <f>Migrationsartikel!S84</f>
        <v>100</v>
      </c>
      <c r="AL86">
        <f>Migrationsartikel!S84</f>
        <v>100</v>
      </c>
      <c r="AM86">
        <f>Migrationsartikel!S84</f>
        <v>100</v>
      </c>
      <c r="AN86" t="str">
        <f>Migrationsartikel!U84</f>
        <v>(PCE) Stück</v>
      </c>
      <c r="AO86" t="str">
        <f t="shared" si="4"/>
        <v>(PCE) Pièce</v>
      </c>
      <c r="AP86" t="str">
        <f t="shared" si="5"/>
        <v>(PCE) Pièce</v>
      </c>
      <c r="AQ86" s="31" t="s">
        <v>195</v>
      </c>
      <c r="AR86" s="47"/>
      <c r="AS86" s="47"/>
      <c r="AT86" s="31" t="s">
        <v>208</v>
      </c>
      <c r="AU86" s="47"/>
      <c r="AV86" s="47"/>
      <c r="AW86" t="str">
        <f>IF(Migrationsartikel!AB84="ja","true",FALSE)</f>
        <v>true</v>
      </c>
      <c r="AX86" t="str">
        <f>IF(Migrationsartikel!AC84="ja","true",FALSE)</f>
        <v>true</v>
      </c>
      <c r="AY86" t="str">
        <f>IF(Migrationsartikel!AD84="ja","true",FALSE)</f>
        <v>true</v>
      </c>
      <c r="AZ86" t="str">
        <f>IF(Migrationsartikel!AE84="ja","true",FALSE)</f>
        <v>true</v>
      </c>
      <c r="BA86" t="str">
        <f>IF(Migrationsartikel!AF84="ja","Denner Partner","")</f>
        <v/>
      </c>
      <c r="BB86" t="str">
        <f>IF(Migrationsartikel!AG84="ja","true","false")</f>
        <v>false</v>
      </c>
      <c r="BC86" t="s">
        <v>1923</v>
      </c>
      <c r="BD86" s="31" t="s">
        <v>235</v>
      </c>
      <c r="BE86" s="31" t="s">
        <v>233</v>
      </c>
    </row>
    <row r="87" spans="2:57" ht="21.75" customHeight="1" x14ac:dyDescent="0.45">
      <c r="B87" t="s">
        <v>115</v>
      </c>
      <c r="E87" s="31" t="s">
        <v>1513</v>
      </c>
      <c r="F87" t="str">
        <f>"Warengruppe&gt;&gt;"&amp;Migrationsartikel!V85&amp;"&gt;&gt;"&amp;Migrationsartikel!W85&amp;"&gt;&gt;"&amp;Migrationsartikel!X85</f>
        <v>Warengruppe&gt;&gt;Frische&gt;&gt;Käse&gt;&gt;Käse</v>
      </c>
      <c r="J87" s="31" t="s">
        <v>125</v>
      </c>
      <c r="M87" s="31" t="s">
        <v>137</v>
      </c>
      <c r="P87" s="31">
        <f>Migrationsartikel!B85</f>
        <v>835</v>
      </c>
      <c r="R87" t="str">
        <f>Migrationsartikel!F85&amp;" "&amp;Migrationsartikel!G85&amp;" "&amp;Migrationsartikel!H85</f>
        <v>Fondue aus der Region 600g</v>
      </c>
      <c r="S87" t="str">
        <f>Migrationsartikel!J85&amp;" "&amp;Migrationsartikel!K85&amp;" "&amp;Migrationsartikel!L85</f>
        <v>Fondue de la région 600g</v>
      </c>
      <c r="T87" t="str">
        <f>Migrationsartikel!N85&amp;" "&amp;Migrationsartikel!O85&amp;" "&amp;Migrationsartikel!P85</f>
        <v>Fondue della regione 600g</v>
      </c>
      <c r="U87" t="str">
        <f>Migrationsartikel!F85</f>
        <v>Fondue</v>
      </c>
      <c r="V87" t="str">
        <f>Migrationsartikel!J85</f>
        <v>Fondue</v>
      </c>
      <c r="W87" t="str">
        <f>Migrationsartikel!N85</f>
        <v>Fondue</v>
      </c>
      <c r="X87" t="str">
        <f>Migrationsartikel!G85</f>
        <v>aus der Region</v>
      </c>
      <c r="Y87" t="str">
        <f>Migrationsartikel!K85</f>
        <v>de la région</v>
      </c>
      <c r="Z87" t="str">
        <f>Migrationsartikel!O85</f>
        <v>della regione</v>
      </c>
      <c r="AA87" s="31" t="str">
        <f>Migrationsartikel!H85</f>
        <v>600g</v>
      </c>
      <c r="AB87" s="31" t="str">
        <f>Migrationsartikel!L85</f>
        <v>600g</v>
      </c>
      <c r="AC87" s="31" t="str">
        <f>Migrationsartikel!P85</f>
        <v>600g</v>
      </c>
      <c r="AD87" t="str">
        <f>Migrationsartikel!I85</f>
        <v>Fondue 600g</v>
      </c>
      <c r="AE87" t="str">
        <f>Migrationsartikel!M85</f>
        <v>Fondue 600g</v>
      </c>
      <c r="AF87" t="str">
        <f>Migrationsartikel!Q85</f>
        <v>Fondue 600g</v>
      </c>
      <c r="AG87" s="45">
        <f>Migrationsartikel!R85</f>
        <v>0.6</v>
      </c>
      <c r="AH87" s="46" t="str">
        <f>Migrationsartikel!T85</f>
        <v>Gramm</v>
      </c>
      <c r="AI87" s="46" t="str">
        <f t="shared" si="3"/>
        <v>Gramm</v>
      </c>
      <c r="AJ87" s="46" t="s">
        <v>176</v>
      </c>
      <c r="AK87">
        <f>Migrationsartikel!S85</f>
        <v>100</v>
      </c>
      <c r="AL87">
        <f>Migrationsartikel!S85</f>
        <v>100</v>
      </c>
      <c r="AM87">
        <f>Migrationsartikel!S85</f>
        <v>100</v>
      </c>
      <c r="AN87" t="str">
        <f>Migrationsartikel!U85</f>
        <v>(PCE) Stück</v>
      </c>
      <c r="AO87" t="str">
        <f t="shared" si="4"/>
        <v>(PCE) Pièce</v>
      </c>
      <c r="AP87" t="str">
        <f t="shared" si="5"/>
        <v>(PCE) Pièce</v>
      </c>
      <c r="AQ87" s="31" t="s">
        <v>195</v>
      </c>
      <c r="AR87" s="47"/>
      <c r="AS87" s="47"/>
      <c r="AT87" s="31" t="s">
        <v>208</v>
      </c>
      <c r="AU87" s="47"/>
      <c r="AV87" s="47"/>
      <c r="AW87" t="str">
        <f>IF(Migrationsartikel!AB85="ja","true",FALSE)</f>
        <v>true</v>
      </c>
      <c r="AX87" t="str">
        <f>IF(Migrationsartikel!AC85="ja","true",FALSE)</f>
        <v>true</v>
      </c>
      <c r="AY87" t="str">
        <f>IF(Migrationsartikel!AD85="ja","true",FALSE)</f>
        <v>true</v>
      </c>
      <c r="AZ87" t="str">
        <f>IF(Migrationsartikel!AE85="ja","true",FALSE)</f>
        <v>true</v>
      </c>
      <c r="BA87" t="str">
        <f>IF(Migrationsartikel!AF85="ja","Denner Partner","")</f>
        <v/>
      </c>
      <c r="BB87" t="str">
        <f>IF(Migrationsartikel!AG85="ja","true","false")</f>
        <v>false</v>
      </c>
      <c r="BC87" t="s">
        <v>1923</v>
      </c>
      <c r="BD87" s="31" t="s">
        <v>235</v>
      </c>
      <c r="BE87" s="31" t="s">
        <v>233</v>
      </c>
    </row>
    <row r="88" spans="2:57" ht="21.75" customHeight="1" x14ac:dyDescent="0.45">
      <c r="B88" t="s">
        <v>115</v>
      </c>
      <c r="E88" s="31" t="s">
        <v>1514</v>
      </c>
      <c r="F88" t="str">
        <f>"Warengruppe&gt;&gt;"&amp;Migrationsartikel!V86&amp;"&gt;&gt;"&amp;Migrationsartikel!W86&amp;"&gt;&gt;"&amp;Migrationsartikel!X86</f>
        <v>Warengruppe&gt;&gt;Frische&gt;&gt;Käse&gt;&gt;Käse</v>
      </c>
      <c r="J88" s="31" t="s">
        <v>125</v>
      </c>
      <c r="M88" s="31" t="s">
        <v>137</v>
      </c>
      <c r="P88" s="31">
        <f>Migrationsartikel!B86</f>
        <v>836</v>
      </c>
      <c r="R88" t="str">
        <f>Migrationsartikel!F86&amp;" "&amp;Migrationsartikel!G86&amp;" "&amp;Migrationsartikel!H86</f>
        <v>Fondue aus der Region 800g</v>
      </c>
      <c r="S88" t="str">
        <f>Migrationsartikel!J86&amp;" "&amp;Migrationsartikel!K86&amp;" "&amp;Migrationsartikel!L86</f>
        <v>Fondue de la région 800g</v>
      </c>
      <c r="T88" t="str">
        <f>Migrationsartikel!N86&amp;" "&amp;Migrationsartikel!O86&amp;" "&amp;Migrationsartikel!P86</f>
        <v>Fondue della regione 800g</v>
      </c>
      <c r="U88" t="str">
        <f>Migrationsartikel!F86</f>
        <v>Fondue</v>
      </c>
      <c r="V88" t="str">
        <f>Migrationsartikel!J86</f>
        <v>Fondue</v>
      </c>
      <c r="W88" t="str">
        <f>Migrationsartikel!N86</f>
        <v>Fondue</v>
      </c>
      <c r="X88" t="str">
        <f>Migrationsartikel!G86</f>
        <v>aus der Region</v>
      </c>
      <c r="Y88" t="str">
        <f>Migrationsartikel!K86</f>
        <v>de la région</v>
      </c>
      <c r="Z88" t="str">
        <f>Migrationsartikel!O86</f>
        <v>della regione</v>
      </c>
      <c r="AA88" s="31" t="str">
        <f>Migrationsartikel!H86</f>
        <v>800g</v>
      </c>
      <c r="AB88" s="31" t="str">
        <f>Migrationsartikel!L86</f>
        <v>800g</v>
      </c>
      <c r="AC88" s="31" t="str">
        <f>Migrationsartikel!P86</f>
        <v>800g</v>
      </c>
      <c r="AD88" t="str">
        <f>Migrationsartikel!I86</f>
        <v>Fondue 800g</v>
      </c>
      <c r="AE88" t="str">
        <f>Migrationsartikel!M86</f>
        <v>Fondue 800g</v>
      </c>
      <c r="AF88" t="str">
        <f>Migrationsartikel!Q86</f>
        <v>Fondue 800g</v>
      </c>
      <c r="AG88" s="45">
        <f>Migrationsartikel!R86</f>
        <v>0.8</v>
      </c>
      <c r="AH88" s="46" t="str">
        <f>Migrationsartikel!T86</f>
        <v>Gramm</v>
      </c>
      <c r="AI88" s="46" t="str">
        <f t="shared" si="3"/>
        <v>Gramm</v>
      </c>
      <c r="AJ88" s="46" t="s">
        <v>176</v>
      </c>
      <c r="AK88">
        <f>Migrationsartikel!S86</f>
        <v>100</v>
      </c>
      <c r="AL88">
        <f>Migrationsartikel!S86</f>
        <v>100</v>
      </c>
      <c r="AM88">
        <f>Migrationsartikel!S86</f>
        <v>100</v>
      </c>
      <c r="AN88" t="str">
        <f>Migrationsartikel!U86</f>
        <v>(PCE) Stück</v>
      </c>
      <c r="AO88" t="str">
        <f t="shared" si="4"/>
        <v>(PCE) Pièce</v>
      </c>
      <c r="AP88" t="str">
        <f t="shared" si="5"/>
        <v>(PCE) Pièce</v>
      </c>
      <c r="AQ88" s="31" t="s">
        <v>195</v>
      </c>
      <c r="AR88" s="47"/>
      <c r="AS88" s="47"/>
      <c r="AT88" s="31" t="s">
        <v>208</v>
      </c>
      <c r="AU88" s="47"/>
      <c r="AV88" s="47"/>
      <c r="AW88" t="str">
        <f>IF(Migrationsartikel!AB86="ja","true",FALSE)</f>
        <v>true</v>
      </c>
      <c r="AX88" t="str">
        <f>IF(Migrationsartikel!AC86="ja","true",FALSE)</f>
        <v>true</v>
      </c>
      <c r="AY88" t="str">
        <f>IF(Migrationsartikel!AD86="ja","true",FALSE)</f>
        <v>true</v>
      </c>
      <c r="AZ88" t="str">
        <f>IF(Migrationsartikel!AE86="ja","true",FALSE)</f>
        <v>true</v>
      </c>
      <c r="BA88" t="str">
        <f>IF(Migrationsartikel!AF86="ja","Denner Partner","")</f>
        <v/>
      </c>
      <c r="BB88" t="str">
        <f>IF(Migrationsartikel!AG86="ja","true","false")</f>
        <v>false</v>
      </c>
      <c r="BC88" t="s">
        <v>1923</v>
      </c>
      <c r="BD88" s="31" t="s">
        <v>235</v>
      </c>
      <c r="BE88" s="31" t="s">
        <v>233</v>
      </c>
    </row>
    <row r="89" spans="2:57" ht="21.75" customHeight="1" x14ac:dyDescent="0.45">
      <c r="B89" t="s">
        <v>115</v>
      </c>
      <c r="E89" s="31" t="s">
        <v>1515</v>
      </c>
      <c r="F89" t="str">
        <f>"Warengruppe&gt;&gt;"&amp;Migrationsartikel!V87&amp;"&gt;&gt;"&amp;Migrationsartikel!W87&amp;"&gt;&gt;"&amp;Migrationsartikel!X87</f>
        <v>Warengruppe&gt;&gt;Frische&gt;&gt;Käse&gt;&gt;Käse</v>
      </c>
      <c r="J89" s="31" t="s">
        <v>125</v>
      </c>
      <c r="M89" s="31" t="s">
        <v>137</v>
      </c>
      <c r="P89" s="31">
        <f>Migrationsartikel!B87</f>
        <v>837</v>
      </c>
      <c r="R89" t="str">
        <f>Migrationsartikel!F87&amp;" "&amp;Migrationsartikel!G87&amp;" "&amp;Migrationsartikel!H87</f>
        <v>Frischkäse aus der Region 2Stk</v>
      </c>
      <c r="S89" t="str">
        <f>Migrationsartikel!J87&amp;" "&amp;Migrationsartikel!K87&amp;" "&amp;Migrationsartikel!L87</f>
        <v>Fromage frais  de la région 2pces</v>
      </c>
      <c r="T89" t="str">
        <f>Migrationsartikel!N87&amp;" "&amp;Migrationsartikel!O87&amp;" "&amp;Migrationsartikel!P87</f>
        <v>Formaggini freschi della regione 2pz</v>
      </c>
      <c r="U89" t="str">
        <f>Migrationsartikel!F87</f>
        <v>Frischkäse</v>
      </c>
      <c r="V89" t="str">
        <f>Migrationsartikel!J87</f>
        <v xml:space="preserve">Fromage frais </v>
      </c>
      <c r="W89" t="str">
        <f>Migrationsartikel!N87</f>
        <v>Formaggini freschi</v>
      </c>
      <c r="X89" t="str">
        <f>Migrationsartikel!G87</f>
        <v>aus der Region</v>
      </c>
      <c r="Y89" t="str">
        <f>Migrationsartikel!K87</f>
        <v>de la région</v>
      </c>
      <c r="Z89" t="str">
        <f>Migrationsartikel!O87</f>
        <v>della regione</v>
      </c>
      <c r="AA89" s="31" t="str">
        <f>Migrationsartikel!H87</f>
        <v>2Stk</v>
      </c>
      <c r="AB89" s="31" t="str">
        <f>Migrationsartikel!L87</f>
        <v>2pces</v>
      </c>
      <c r="AC89" s="31" t="str">
        <f>Migrationsartikel!P87</f>
        <v>2pz</v>
      </c>
      <c r="AD89" t="str">
        <f>Migrationsartikel!I87</f>
        <v>Frischkäse 2Stk</v>
      </c>
      <c r="AE89" t="str">
        <f>Migrationsartikel!M87</f>
        <v>Fromage frais 2pces</v>
      </c>
      <c r="AF89" t="str">
        <f>Migrationsartikel!Q87</f>
        <v>Formaggini freschi 2pz</v>
      </c>
      <c r="AG89" s="45">
        <f>Migrationsartikel!R87</f>
        <v>2</v>
      </c>
      <c r="AH89" s="46" t="str">
        <f>Migrationsartikel!T87</f>
        <v>Gramm</v>
      </c>
      <c r="AI89" s="46" t="str">
        <f t="shared" si="3"/>
        <v>Gramm</v>
      </c>
      <c r="AJ89" s="46" t="s">
        <v>176</v>
      </c>
      <c r="AK89">
        <f>Migrationsartikel!S87</f>
        <v>100</v>
      </c>
      <c r="AL89">
        <f>Migrationsartikel!S87</f>
        <v>100</v>
      </c>
      <c r="AM89">
        <f>Migrationsartikel!S87</f>
        <v>100</v>
      </c>
      <c r="AN89" t="str">
        <f>Migrationsartikel!U87</f>
        <v>(PCE) Stück</v>
      </c>
      <c r="AO89" t="str">
        <f t="shared" si="4"/>
        <v>(PCE) Pièce</v>
      </c>
      <c r="AP89" t="str">
        <f t="shared" si="5"/>
        <v>(PCE) Pièce</v>
      </c>
      <c r="AQ89" s="31" t="s">
        <v>195</v>
      </c>
      <c r="AR89" s="47"/>
      <c r="AS89" s="47"/>
      <c r="AT89" s="31" t="s">
        <v>208</v>
      </c>
      <c r="AU89" s="47"/>
      <c r="AV89" s="47"/>
      <c r="AW89" t="str">
        <f>IF(Migrationsartikel!AB87="ja","true",FALSE)</f>
        <v>true</v>
      </c>
      <c r="AX89" t="str">
        <f>IF(Migrationsartikel!AC87="ja","true",FALSE)</f>
        <v>true</v>
      </c>
      <c r="AY89" t="str">
        <f>IF(Migrationsartikel!AD87="ja","true",FALSE)</f>
        <v>true</v>
      </c>
      <c r="AZ89" t="str">
        <f>IF(Migrationsartikel!AE87="ja","true",FALSE)</f>
        <v>true</v>
      </c>
      <c r="BA89" t="str">
        <f>IF(Migrationsartikel!AF87="ja","Denner Partner","")</f>
        <v/>
      </c>
      <c r="BB89" t="str">
        <f>IF(Migrationsartikel!AG87="ja","true","false")</f>
        <v>false</v>
      </c>
      <c r="BC89" t="s">
        <v>1923</v>
      </c>
      <c r="BD89" s="31" t="s">
        <v>235</v>
      </c>
      <c r="BE89" s="31" t="s">
        <v>233</v>
      </c>
    </row>
    <row r="90" spans="2:57" ht="21.75" customHeight="1" x14ac:dyDescent="0.45">
      <c r="B90" t="s">
        <v>115</v>
      </c>
      <c r="E90" s="31" t="s">
        <v>1516</v>
      </c>
      <c r="F90" t="str">
        <f>"Warengruppe&gt;&gt;"&amp;Migrationsartikel!V88&amp;"&gt;&gt;"&amp;Migrationsartikel!W88&amp;"&gt;&gt;"&amp;Migrationsartikel!X88</f>
        <v>Warengruppe&gt;&gt;Frische&gt;&gt;Käse&gt;&gt;Käse</v>
      </c>
      <c r="J90" s="31" t="s">
        <v>125</v>
      </c>
      <c r="M90" s="31" t="s">
        <v>137</v>
      </c>
      <c r="P90" s="31">
        <f>Migrationsartikel!B88</f>
        <v>838</v>
      </c>
      <c r="R90" t="str">
        <f>Migrationsartikel!F88&amp;" "&amp;Migrationsartikel!G88&amp;" "&amp;Migrationsartikel!H88</f>
        <v>Gruyère aus der Region 1Stk</v>
      </c>
      <c r="S90" t="str">
        <f>Migrationsartikel!J88&amp;" "&amp;Migrationsartikel!K88&amp;" "&amp;Migrationsartikel!L88</f>
        <v>Gruyère  de la région 1pce</v>
      </c>
      <c r="T90" t="str">
        <f>Migrationsartikel!N88&amp;" "&amp;Migrationsartikel!O88&amp;" "&amp;Migrationsartikel!P88</f>
        <v>Gruyère  della regione 1pz</v>
      </c>
      <c r="U90" t="str">
        <f>Migrationsartikel!F88</f>
        <v>Gruyère</v>
      </c>
      <c r="V90" t="str">
        <f>Migrationsartikel!J88</f>
        <v xml:space="preserve">Gruyère </v>
      </c>
      <c r="W90" t="str">
        <f>Migrationsartikel!N88</f>
        <v xml:space="preserve">Gruyère </v>
      </c>
      <c r="X90" t="str">
        <f>Migrationsartikel!G88</f>
        <v>aus der Region</v>
      </c>
      <c r="Y90" t="str">
        <f>Migrationsartikel!K88</f>
        <v>de la région</v>
      </c>
      <c r="Z90" t="str">
        <f>Migrationsartikel!O88</f>
        <v>della regione</v>
      </c>
      <c r="AA90" s="31" t="str">
        <f>Migrationsartikel!H88</f>
        <v>1Stk</v>
      </c>
      <c r="AB90" s="31" t="str">
        <f>Migrationsartikel!L88</f>
        <v>1pce</v>
      </c>
      <c r="AC90" s="31" t="str">
        <f>Migrationsartikel!P88</f>
        <v>1pz</v>
      </c>
      <c r="AD90" t="str">
        <f>Migrationsartikel!I88</f>
        <v>Gruyère</v>
      </c>
      <c r="AE90" t="str">
        <f>Migrationsartikel!M88</f>
        <v xml:space="preserve">Gruyère </v>
      </c>
      <c r="AF90" t="str">
        <f>Migrationsartikel!Q88</f>
        <v xml:space="preserve">Gruyère </v>
      </c>
      <c r="AG90" s="45">
        <f>Migrationsartikel!R88</f>
        <v>1</v>
      </c>
      <c r="AH90" s="46" t="str">
        <f>Migrationsartikel!T88</f>
        <v>Gramm</v>
      </c>
      <c r="AI90" s="46" t="str">
        <f t="shared" si="3"/>
        <v>Gramm</v>
      </c>
      <c r="AJ90" s="46" t="s">
        <v>176</v>
      </c>
      <c r="AK90">
        <f>Migrationsartikel!S88</f>
        <v>100</v>
      </c>
      <c r="AL90">
        <f>Migrationsartikel!S88</f>
        <v>100</v>
      </c>
      <c r="AM90">
        <f>Migrationsartikel!S88</f>
        <v>100</v>
      </c>
      <c r="AN90" t="str">
        <f>Migrationsartikel!U88</f>
        <v>(PCE) Stück</v>
      </c>
      <c r="AO90" t="str">
        <f t="shared" si="4"/>
        <v>(PCE) Pièce</v>
      </c>
      <c r="AP90" t="str">
        <f t="shared" si="5"/>
        <v>(PCE) Pièce</v>
      </c>
      <c r="AQ90" s="31" t="s">
        <v>195</v>
      </c>
      <c r="AR90" s="47"/>
      <c r="AS90" s="47"/>
      <c r="AT90" s="31" t="s">
        <v>208</v>
      </c>
      <c r="AU90" s="47"/>
      <c r="AV90" s="47"/>
      <c r="AW90" t="str">
        <f>IF(Migrationsartikel!AB88="ja","true",FALSE)</f>
        <v>true</v>
      </c>
      <c r="AX90" t="str">
        <f>IF(Migrationsartikel!AC88="ja","true",FALSE)</f>
        <v>true</v>
      </c>
      <c r="AY90" t="str">
        <f>IF(Migrationsartikel!AD88="ja","true",FALSE)</f>
        <v>true</v>
      </c>
      <c r="AZ90" t="str">
        <f>IF(Migrationsartikel!AE88="ja","true",FALSE)</f>
        <v>true</v>
      </c>
      <c r="BA90" t="str">
        <f>IF(Migrationsartikel!AF88="ja","Denner Partner","")</f>
        <v/>
      </c>
      <c r="BB90" t="str">
        <f>IF(Migrationsartikel!AG88="ja","true","false")</f>
        <v>false</v>
      </c>
      <c r="BC90" t="s">
        <v>1923</v>
      </c>
      <c r="BD90" s="31" t="s">
        <v>235</v>
      </c>
      <c r="BE90" s="31" t="s">
        <v>233</v>
      </c>
    </row>
    <row r="91" spans="2:57" ht="21.75" customHeight="1" x14ac:dyDescent="0.45">
      <c r="B91" t="s">
        <v>115</v>
      </c>
      <c r="E91" s="31" t="s">
        <v>1517</v>
      </c>
      <c r="F91" t="str">
        <f>"Warengruppe&gt;&gt;"&amp;Migrationsartikel!V89&amp;"&gt;&gt;"&amp;Migrationsartikel!W89&amp;"&gt;&gt;"&amp;Migrationsartikel!X89</f>
        <v>Warengruppe&gt;&gt;Frische&gt;&gt;Käse&gt;&gt;Käse</v>
      </c>
      <c r="J91" s="31" t="s">
        <v>125</v>
      </c>
      <c r="M91" s="31" t="s">
        <v>137</v>
      </c>
      <c r="P91" s="31">
        <f>Migrationsartikel!B89</f>
        <v>839</v>
      </c>
      <c r="R91" t="str">
        <f>Migrationsartikel!F89&amp;" "&amp;Migrationsartikel!G89&amp;" "&amp;Migrationsartikel!H89</f>
        <v>Käse Spezialitäten aus der Region 1Stk</v>
      </c>
      <c r="S91" t="str">
        <f>Migrationsartikel!J89&amp;" "&amp;Migrationsartikel!K89&amp;" "&amp;Migrationsartikel!L89</f>
        <v>Spécialités de fromage de la région 1pce</v>
      </c>
      <c r="T91" t="str">
        <f>Migrationsartikel!N89&amp;" "&amp;Migrationsartikel!O89&amp;" "&amp;Migrationsartikel!P89</f>
        <v>Formaggi della regione 1pz</v>
      </c>
      <c r="U91" t="str">
        <f>Migrationsartikel!F89</f>
        <v>Käse Spezialitäten</v>
      </c>
      <c r="V91" t="str">
        <f>Migrationsartikel!J89</f>
        <v>Spécialités de fromage</v>
      </c>
      <c r="W91" t="str">
        <f>Migrationsartikel!N89</f>
        <v>Formaggi</v>
      </c>
      <c r="X91" t="str">
        <f>Migrationsartikel!G89</f>
        <v>aus der Region</v>
      </c>
      <c r="Y91" t="str">
        <f>Migrationsartikel!K89</f>
        <v>de la région</v>
      </c>
      <c r="Z91" t="str">
        <f>Migrationsartikel!O89</f>
        <v>della regione</v>
      </c>
      <c r="AA91" s="31" t="str">
        <f>Migrationsartikel!H89</f>
        <v>1Stk</v>
      </c>
      <c r="AB91" s="31" t="str">
        <f>Migrationsartikel!L89</f>
        <v>1pce</v>
      </c>
      <c r="AC91" s="31" t="str">
        <f>Migrationsartikel!P89</f>
        <v>1pz</v>
      </c>
      <c r="AD91" t="str">
        <f>Migrationsartikel!I89</f>
        <v>Käse Spezialitäten</v>
      </c>
      <c r="AE91" t="str">
        <f>Migrationsartikel!M89</f>
        <v>Spécialités de fromage</v>
      </c>
      <c r="AF91" t="str">
        <f>Migrationsartikel!Q89</f>
        <v>Formaggi</v>
      </c>
      <c r="AG91" s="45">
        <f>Migrationsartikel!R89</f>
        <v>1</v>
      </c>
      <c r="AH91" s="46" t="str">
        <f>Migrationsartikel!T89</f>
        <v>Stück</v>
      </c>
      <c r="AI91" s="46" t="str">
        <f t="shared" si="3"/>
        <v>7</v>
      </c>
      <c r="AJ91" s="46" t="s">
        <v>176</v>
      </c>
      <c r="AK91">
        <f>Migrationsartikel!S89</f>
        <v>1</v>
      </c>
      <c r="AL91">
        <f>Migrationsartikel!S89</f>
        <v>1</v>
      </c>
      <c r="AM91">
        <f>Migrationsartikel!S89</f>
        <v>1</v>
      </c>
      <c r="AN91" t="str">
        <f>Migrationsartikel!U89</f>
        <v>(PCE) Stück</v>
      </c>
      <c r="AO91" t="str">
        <f t="shared" si="4"/>
        <v>(PCE) Pièce</v>
      </c>
      <c r="AP91" t="str">
        <f t="shared" si="5"/>
        <v>(PCE) Pièce</v>
      </c>
      <c r="AQ91" s="31" t="s">
        <v>195</v>
      </c>
      <c r="AR91" s="47"/>
      <c r="AS91" s="47"/>
      <c r="AT91" s="31" t="s">
        <v>208</v>
      </c>
      <c r="AU91" s="47"/>
      <c r="AV91" s="47"/>
      <c r="AW91" t="str">
        <f>IF(Migrationsartikel!AB89="ja","true",FALSE)</f>
        <v>true</v>
      </c>
      <c r="AX91" t="str">
        <f>IF(Migrationsartikel!AC89="ja","true",FALSE)</f>
        <v>true</v>
      </c>
      <c r="AY91" t="str">
        <f>IF(Migrationsartikel!AD89="ja","true",FALSE)</f>
        <v>true</v>
      </c>
      <c r="AZ91" t="str">
        <f>IF(Migrationsartikel!AE89="ja","true",FALSE)</f>
        <v>true</v>
      </c>
      <c r="BA91" t="str">
        <f>IF(Migrationsartikel!AF89="ja","Denner Partner","")</f>
        <v/>
      </c>
      <c r="BB91" t="str">
        <f>IF(Migrationsartikel!AG89="ja","true","false")</f>
        <v>false</v>
      </c>
      <c r="BC91" t="s">
        <v>1923</v>
      </c>
      <c r="BD91" s="31" t="s">
        <v>235</v>
      </c>
      <c r="BE91" s="31" t="s">
        <v>233</v>
      </c>
    </row>
    <row r="92" spans="2:57" ht="21.75" customHeight="1" x14ac:dyDescent="0.45">
      <c r="B92" t="s">
        <v>115</v>
      </c>
      <c r="E92" s="31" t="s">
        <v>1518</v>
      </c>
      <c r="F92" t="str">
        <f>"Warengruppe&gt;&gt;"&amp;Migrationsartikel!V90&amp;"&gt;&gt;"&amp;Migrationsartikel!W90&amp;"&gt;&gt;"&amp;Migrationsartikel!X90</f>
        <v>Warengruppe&gt;&gt;Frische&gt;&gt;Käse&gt;&gt;Käse</v>
      </c>
      <c r="J92" s="31" t="s">
        <v>125</v>
      </c>
      <c r="M92" s="31" t="s">
        <v>137</v>
      </c>
      <c r="P92" s="31">
        <f>Migrationsartikel!B90</f>
        <v>840</v>
      </c>
      <c r="R92" t="str">
        <f>Migrationsartikel!F90&amp;" "&amp;Migrationsartikel!G90&amp;" "&amp;Migrationsartikel!H90</f>
        <v>Käsetheke aus der Region 1Stk</v>
      </c>
      <c r="S92" t="str">
        <f>Migrationsartikel!J90&amp;" "&amp;Migrationsartikel!K90&amp;" "&amp;Migrationsartikel!L90</f>
        <v>Fromagerie  de la région 1pce</v>
      </c>
      <c r="T92" t="str">
        <f>Migrationsartikel!N90&amp;" "&amp;Migrationsartikel!O90&amp;" "&amp;Migrationsartikel!P90</f>
        <v>Banco formaggi della regione 1pz</v>
      </c>
      <c r="U92" t="str">
        <f>Migrationsartikel!F90</f>
        <v>Käsetheke</v>
      </c>
      <c r="V92" t="str">
        <f>Migrationsartikel!J90</f>
        <v xml:space="preserve">Fromagerie </v>
      </c>
      <c r="W92" t="str">
        <f>Migrationsartikel!N90</f>
        <v>Banco formaggi</v>
      </c>
      <c r="X92" t="str">
        <f>Migrationsartikel!G90</f>
        <v>aus der Region</v>
      </c>
      <c r="Y92" t="str">
        <f>Migrationsartikel!K90</f>
        <v>de la région</v>
      </c>
      <c r="Z92" t="str">
        <f>Migrationsartikel!O90</f>
        <v>della regione</v>
      </c>
      <c r="AA92" s="31" t="str">
        <f>Migrationsartikel!H90</f>
        <v>1Stk</v>
      </c>
      <c r="AB92" s="31" t="str">
        <f>Migrationsartikel!L90</f>
        <v>1pce</v>
      </c>
      <c r="AC92" s="31" t="str">
        <f>Migrationsartikel!P90</f>
        <v>1pz</v>
      </c>
      <c r="AD92" t="str">
        <f>Migrationsartikel!I90</f>
        <v>Käsetheke</v>
      </c>
      <c r="AE92" t="str">
        <f>Migrationsartikel!M90</f>
        <v xml:space="preserve">Fromagerie </v>
      </c>
      <c r="AF92" t="str">
        <f>Migrationsartikel!Q90</f>
        <v>Banco formaggi</v>
      </c>
      <c r="AG92" s="45">
        <f>Migrationsartikel!R90</f>
        <v>1</v>
      </c>
      <c r="AH92" s="46" t="str">
        <f>Migrationsartikel!T90</f>
        <v>Stück</v>
      </c>
      <c r="AI92" s="46" t="str">
        <f t="shared" si="3"/>
        <v>7</v>
      </c>
      <c r="AJ92" s="46" t="s">
        <v>176</v>
      </c>
      <c r="AK92">
        <f>Migrationsartikel!S90</f>
        <v>1</v>
      </c>
      <c r="AL92">
        <f>Migrationsartikel!S90</f>
        <v>1</v>
      </c>
      <c r="AM92">
        <f>Migrationsartikel!S90</f>
        <v>1</v>
      </c>
      <c r="AN92" t="str">
        <f>Migrationsartikel!U90</f>
        <v>(PCE) Stück</v>
      </c>
      <c r="AO92" t="str">
        <f t="shared" si="4"/>
        <v>(PCE) Pièce</v>
      </c>
      <c r="AP92" t="str">
        <f t="shared" si="5"/>
        <v>(PCE) Pièce</v>
      </c>
      <c r="AQ92" s="31" t="s">
        <v>195</v>
      </c>
      <c r="AR92" s="47"/>
      <c r="AS92" s="47"/>
      <c r="AT92" s="31" t="s">
        <v>208</v>
      </c>
      <c r="AU92" s="47"/>
      <c r="AV92" s="47"/>
      <c r="AW92" t="str">
        <f>IF(Migrationsartikel!AB90="ja","true",FALSE)</f>
        <v>true</v>
      </c>
      <c r="AX92" t="str">
        <f>IF(Migrationsartikel!AC90="ja","true",FALSE)</f>
        <v>true</v>
      </c>
      <c r="AY92" t="str">
        <f>IF(Migrationsartikel!AD90="ja","true",FALSE)</f>
        <v>true</v>
      </c>
      <c r="AZ92" t="str">
        <f>IF(Migrationsartikel!AE90="ja","true",FALSE)</f>
        <v>true</v>
      </c>
      <c r="BA92" t="str">
        <f>IF(Migrationsartikel!AF90="ja","Denner Partner","")</f>
        <v/>
      </c>
      <c r="BB92" t="str">
        <f>IF(Migrationsartikel!AG90="ja","true","false")</f>
        <v>false</v>
      </c>
      <c r="BC92" t="s">
        <v>1923</v>
      </c>
      <c r="BD92" s="31" t="s">
        <v>235</v>
      </c>
      <c r="BE92" s="31" t="s">
        <v>233</v>
      </c>
    </row>
    <row r="93" spans="2:57" ht="21.75" customHeight="1" x14ac:dyDescent="0.45">
      <c r="B93" t="s">
        <v>115</v>
      </c>
      <c r="E93" s="31" t="s">
        <v>1519</v>
      </c>
      <c r="F93" t="str">
        <f>"Warengruppe&gt;&gt;"&amp;Migrationsartikel!V91&amp;"&gt;&gt;"&amp;Migrationsartikel!W91&amp;"&gt;&gt;"&amp;Migrationsartikel!X91</f>
        <v>Warengruppe&gt;&gt;Frische&gt;&gt;Käse&gt;&gt;Käse</v>
      </c>
      <c r="J93" s="31" t="s">
        <v>125</v>
      </c>
      <c r="M93" s="31" t="s">
        <v>137</v>
      </c>
      <c r="P93" s="31">
        <f>Migrationsartikel!B91</f>
        <v>841</v>
      </c>
      <c r="R93" t="str">
        <f>Migrationsartikel!F91&amp;" "&amp;Migrationsartikel!G91&amp;" "&amp;Migrationsartikel!H91</f>
        <v>Mutschli aus der Region 1Stk</v>
      </c>
      <c r="S93" t="str">
        <f>Migrationsartikel!J91&amp;" "&amp;Migrationsartikel!K91&amp;" "&amp;Migrationsartikel!L91</f>
        <v>Tomme  de la région 1pce</v>
      </c>
      <c r="T93" t="str">
        <f>Migrationsartikel!N91&amp;" "&amp;Migrationsartikel!O91&amp;" "&amp;Migrationsartikel!P91</f>
        <v>Tomino della regione 1pz</v>
      </c>
      <c r="U93" t="str">
        <f>Migrationsartikel!F91</f>
        <v>Mutschli</v>
      </c>
      <c r="V93" t="str">
        <f>Migrationsartikel!J91</f>
        <v xml:space="preserve">Tomme </v>
      </c>
      <c r="W93" t="str">
        <f>Migrationsartikel!N91</f>
        <v>Tomino</v>
      </c>
      <c r="X93" t="str">
        <f>Migrationsartikel!G91</f>
        <v>aus der Region</v>
      </c>
      <c r="Y93" t="str">
        <f>Migrationsartikel!K91</f>
        <v>de la région</v>
      </c>
      <c r="Z93" t="str">
        <f>Migrationsartikel!O91</f>
        <v>della regione</v>
      </c>
      <c r="AA93" s="31" t="str">
        <f>Migrationsartikel!H91</f>
        <v>1Stk</v>
      </c>
      <c r="AB93" s="31" t="str">
        <f>Migrationsartikel!L91</f>
        <v>1pce</v>
      </c>
      <c r="AC93" s="31" t="str">
        <f>Migrationsartikel!P91</f>
        <v>1pz</v>
      </c>
      <c r="AD93" t="str">
        <f>Migrationsartikel!I91</f>
        <v>Mutschli</v>
      </c>
      <c r="AE93" t="str">
        <f>Migrationsartikel!M91</f>
        <v xml:space="preserve">Tomme </v>
      </c>
      <c r="AF93" t="str">
        <f>Migrationsartikel!Q91</f>
        <v>Tomino</v>
      </c>
      <c r="AG93" s="45">
        <f>Migrationsartikel!R91</f>
        <v>1</v>
      </c>
      <c r="AH93" s="46" t="str">
        <f>Migrationsartikel!T91</f>
        <v>Gramm</v>
      </c>
      <c r="AI93" s="46" t="str">
        <f t="shared" si="3"/>
        <v>Gramm</v>
      </c>
      <c r="AJ93" s="46" t="s">
        <v>176</v>
      </c>
      <c r="AK93">
        <f>Migrationsartikel!S91</f>
        <v>100</v>
      </c>
      <c r="AL93">
        <f>Migrationsartikel!S91</f>
        <v>100</v>
      </c>
      <c r="AM93">
        <f>Migrationsartikel!S91</f>
        <v>100</v>
      </c>
      <c r="AN93" t="str">
        <f>Migrationsartikel!U91</f>
        <v>(PCE) Stück</v>
      </c>
      <c r="AO93" t="str">
        <f t="shared" si="4"/>
        <v>(PCE) Pièce</v>
      </c>
      <c r="AP93" t="str">
        <f t="shared" si="5"/>
        <v>(PCE) Pièce</v>
      </c>
      <c r="AQ93" s="31" t="s">
        <v>195</v>
      </c>
      <c r="AR93" s="47"/>
      <c r="AS93" s="47"/>
      <c r="AT93" s="31" t="s">
        <v>208</v>
      </c>
      <c r="AU93" s="47"/>
      <c r="AV93" s="47"/>
      <c r="AW93" t="str">
        <f>IF(Migrationsartikel!AB91="ja","true",FALSE)</f>
        <v>true</v>
      </c>
      <c r="AX93" t="str">
        <f>IF(Migrationsartikel!AC91="ja","true",FALSE)</f>
        <v>true</v>
      </c>
      <c r="AY93" t="str">
        <f>IF(Migrationsartikel!AD91="ja","true",FALSE)</f>
        <v>true</v>
      </c>
      <c r="AZ93" t="str">
        <f>IF(Migrationsartikel!AE91="ja","true",FALSE)</f>
        <v>true</v>
      </c>
      <c r="BA93" t="str">
        <f>IF(Migrationsartikel!AF91="ja","Denner Partner","")</f>
        <v/>
      </c>
      <c r="BB93" t="str">
        <f>IF(Migrationsartikel!AG91="ja","true","false")</f>
        <v>false</v>
      </c>
      <c r="BC93" t="s">
        <v>1923</v>
      </c>
      <c r="BD93" s="31" t="s">
        <v>235</v>
      </c>
      <c r="BE93" s="31" t="s">
        <v>233</v>
      </c>
    </row>
    <row r="94" spans="2:57" ht="21.75" customHeight="1" x14ac:dyDescent="0.45">
      <c r="B94" t="s">
        <v>115</v>
      </c>
      <c r="E94" s="31" t="s">
        <v>1520</v>
      </c>
      <c r="F94" t="str">
        <f>"Warengruppe&gt;&gt;"&amp;Migrationsartikel!V92&amp;"&gt;&gt;"&amp;Migrationsartikel!W92&amp;"&gt;&gt;"&amp;Migrationsartikel!X92</f>
        <v>Warengruppe&gt;&gt;Frische&gt;&gt;Käse&gt;&gt;Käse</v>
      </c>
      <c r="J94" s="31" t="s">
        <v>125</v>
      </c>
      <c r="M94" s="31" t="s">
        <v>137</v>
      </c>
      <c r="P94" s="31">
        <f>Migrationsartikel!B92</f>
        <v>842</v>
      </c>
      <c r="R94" t="str">
        <f>Migrationsartikel!F92&amp;" "&amp;Migrationsartikel!G92&amp;" "&amp;Migrationsartikel!H92</f>
        <v>Raclette aus der Region 1Stk</v>
      </c>
      <c r="S94" t="str">
        <f>Migrationsartikel!J92&amp;" "&amp;Migrationsartikel!K92&amp;" "&amp;Migrationsartikel!L92</f>
        <v>Raclette  de la région 1pce</v>
      </c>
      <c r="T94" t="str">
        <f>Migrationsartikel!N92&amp;" "&amp;Migrationsartikel!O92&amp;" "&amp;Migrationsartikel!P92</f>
        <v>Raclette della regione 1pz</v>
      </c>
      <c r="U94" t="str">
        <f>Migrationsartikel!F92</f>
        <v>Raclette</v>
      </c>
      <c r="V94" t="str">
        <f>Migrationsartikel!J92</f>
        <v xml:space="preserve">Raclette </v>
      </c>
      <c r="W94" t="str">
        <f>Migrationsartikel!N92</f>
        <v>Raclette</v>
      </c>
      <c r="X94" t="str">
        <f>Migrationsartikel!G92</f>
        <v>aus der Region</v>
      </c>
      <c r="Y94" t="str">
        <f>Migrationsartikel!K92</f>
        <v>de la région</v>
      </c>
      <c r="Z94" t="str">
        <f>Migrationsartikel!O92</f>
        <v>della regione</v>
      </c>
      <c r="AA94" s="31" t="str">
        <f>Migrationsartikel!H92</f>
        <v>1Stk</v>
      </c>
      <c r="AB94" s="31" t="str">
        <f>Migrationsartikel!L92</f>
        <v>1pce</v>
      </c>
      <c r="AC94" s="31" t="str">
        <f>Migrationsartikel!P92</f>
        <v>1pz</v>
      </c>
      <c r="AD94" t="str">
        <f>Migrationsartikel!I92</f>
        <v>Raclette</v>
      </c>
      <c r="AE94" t="str">
        <f>Migrationsartikel!M92</f>
        <v xml:space="preserve">Raclette </v>
      </c>
      <c r="AF94" t="str">
        <f>Migrationsartikel!Q92</f>
        <v>Raclette</v>
      </c>
      <c r="AG94" s="45">
        <f>Migrationsartikel!R92</f>
        <v>1</v>
      </c>
      <c r="AH94" s="46" t="str">
        <f>Migrationsartikel!T92</f>
        <v>Gramm</v>
      </c>
      <c r="AI94" s="46" t="str">
        <f t="shared" si="3"/>
        <v>Gramm</v>
      </c>
      <c r="AJ94" s="46" t="s">
        <v>176</v>
      </c>
      <c r="AK94">
        <f>Migrationsartikel!S92</f>
        <v>100</v>
      </c>
      <c r="AL94">
        <f>Migrationsartikel!S92</f>
        <v>100</v>
      </c>
      <c r="AM94">
        <f>Migrationsartikel!S92</f>
        <v>100</v>
      </c>
      <c r="AN94" t="str">
        <f>Migrationsartikel!U92</f>
        <v>(PCE) Stück</v>
      </c>
      <c r="AO94" t="str">
        <f t="shared" si="4"/>
        <v>(PCE) Pièce</v>
      </c>
      <c r="AP94" t="str">
        <f t="shared" si="5"/>
        <v>(PCE) Pièce</v>
      </c>
      <c r="AQ94" s="31" t="s">
        <v>195</v>
      </c>
      <c r="AR94" s="47"/>
      <c r="AS94" s="47"/>
      <c r="AT94" s="31" t="s">
        <v>208</v>
      </c>
      <c r="AU94" s="47"/>
      <c r="AV94" s="47"/>
      <c r="AW94" t="str">
        <f>IF(Migrationsartikel!AB92="ja","true",FALSE)</f>
        <v>true</v>
      </c>
      <c r="AX94" t="str">
        <f>IF(Migrationsartikel!AC92="ja","true",FALSE)</f>
        <v>true</v>
      </c>
      <c r="AY94" t="str">
        <f>IF(Migrationsartikel!AD92="ja","true",FALSE)</f>
        <v>true</v>
      </c>
      <c r="AZ94" t="str">
        <f>IF(Migrationsartikel!AE92="ja","true",FALSE)</f>
        <v>true</v>
      </c>
      <c r="BA94" t="str">
        <f>IF(Migrationsartikel!AF92="ja","Denner Partner","")</f>
        <v/>
      </c>
      <c r="BB94" t="str">
        <f>IF(Migrationsartikel!AG92="ja","true","false")</f>
        <v>false</v>
      </c>
      <c r="BC94" t="s">
        <v>1923</v>
      </c>
      <c r="BD94" s="31" t="s">
        <v>235</v>
      </c>
      <c r="BE94" s="31" t="s">
        <v>233</v>
      </c>
    </row>
    <row r="95" spans="2:57" ht="21.75" customHeight="1" x14ac:dyDescent="0.45">
      <c r="B95" t="s">
        <v>115</v>
      </c>
      <c r="E95" s="31" t="s">
        <v>1521</v>
      </c>
      <c r="F95" t="str">
        <f>"Warengruppe&gt;&gt;"&amp;Migrationsartikel!V93&amp;"&gt;&gt;"&amp;Migrationsartikel!W93&amp;"&gt;&gt;"&amp;Migrationsartikel!X93</f>
        <v>Warengruppe&gt;&gt;Frische&gt;&gt;Käse&gt;&gt;Käse</v>
      </c>
      <c r="J95" s="31" t="s">
        <v>125</v>
      </c>
      <c r="M95" s="31" t="s">
        <v>137</v>
      </c>
      <c r="P95" s="31">
        <f>Migrationsartikel!B93</f>
        <v>843</v>
      </c>
      <c r="R95" t="str">
        <f>Migrationsartikel!F93&amp;" "&amp;Migrationsartikel!G93&amp;" "&amp;Migrationsartikel!H93</f>
        <v>Zincarlin aus der Region 1Stk</v>
      </c>
      <c r="S95" t="str">
        <f>Migrationsartikel!J93&amp;" "&amp;Migrationsartikel!K93&amp;" "&amp;Migrationsartikel!L93</f>
        <v>Zincarlin de la région 1pce</v>
      </c>
      <c r="T95" t="str">
        <f>Migrationsartikel!N93&amp;" "&amp;Migrationsartikel!O93&amp;" "&amp;Migrationsartikel!P93</f>
        <v>Zincarlin della regione 1pz</v>
      </c>
      <c r="U95" t="str">
        <f>Migrationsartikel!F93</f>
        <v>Zincarlin</v>
      </c>
      <c r="V95" t="str">
        <f>Migrationsartikel!J93</f>
        <v>Zincarlin</v>
      </c>
      <c r="W95" t="str">
        <f>Migrationsartikel!N93</f>
        <v>Zincarlin</v>
      </c>
      <c r="X95" t="str">
        <f>Migrationsartikel!G93</f>
        <v>aus der Region</v>
      </c>
      <c r="Y95" t="str">
        <f>Migrationsartikel!K93</f>
        <v>de la région</v>
      </c>
      <c r="Z95" t="str">
        <f>Migrationsartikel!O93</f>
        <v>della regione</v>
      </c>
      <c r="AA95" s="31" t="str">
        <f>Migrationsartikel!H93</f>
        <v>1Stk</v>
      </c>
      <c r="AB95" s="31" t="str">
        <f>Migrationsartikel!L93</f>
        <v>1pce</v>
      </c>
      <c r="AC95" s="31" t="str">
        <f>Migrationsartikel!P93</f>
        <v>1pz</v>
      </c>
      <c r="AD95" t="str">
        <f>Migrationsartikel!I93</f>
        <v>Zincarlin</v>
      </c>
      <c r="AE95" t="str">
        <f>Migrationsartikel!M93</f>
        <v>Zincarlin</v>
      </c>
      <c r="AF95" t="str">
        <f>Migrationsartikel!Q93</f>
        <v>Zincarlin</v>
      </c>
      <c r="AG95" s="45">
        <f>Migrationsartikel!R93</f>
        <v>1</v>
      </c>
      <c r="AH95" s="46" t="str">
        <f>Migrationsartikel!T93</f>
        <v>Stück</v>
      </c>
      <c r="AI95" s="46" t="str">
        <f t="shared" si="3"/>
        <v>7</v>
      </c>
      <c r="AJ95" s="46" t="s">
        <v>176</v>
      </c>
      <c r="AK95">
        <f>Migrationsartikel!S93</f>
        <v>1</v>
      </c>
      <c r="AL95">
        <f>Migrationsartikel!S93</f>
        <v>1</v>
      </c>
      <c r="AM95">
        <f>Migrationsartikel!S93</f>
        <v>1</v>
      </c>
      <c r="AN95" t="str">
        <f>Migrationsartikel!U93</f>
        <v>(PCE) Stück</v>
      </c>
      <c r="AO95" t="str">
        <f t="shared" si="4"/>
        <v>(PCE) Pièce</v>
      </c>
      <c r="AP95" t="str">
        <f t="shared" si="5"/>
        <v>(PCE) Pièce</v>
      </c>
      <c r="AQ95" s="31" t="s">
        <v>195</v>
      </c>
      <c r="AR95" s="47"/>
      <c r="AS95" s="47"/>
      <c r="AT95" s="31" t="s">
        <v>208</v>
      </c>
      <c r="AU95" s="47"/>
      <c r="AV95" s="47"/>
      <c r="AW95" t="str">
        <f>IF(Migrationsartikel!AB93="ja","true",FALSE)</f>
        <v>true</v>
      </c>
      <c r="AX95" t="str">
        <f>IF(Migrationsartikel!AC93="ja","true",FALSE)</f>
        <v>true</v>
      </c>
      <c r="AY95" t="str">
        <f>IF(Migrationsartikel!AD93="ja","true",FALSE)</f>
        <v>true</v>
      </c>
      <c r="AZ95" t="str">
        <f>IF(Migrationsartikel!AE93="ja","true",FALSE)</f>
        <v>true</v>
      </c>
      <c r="BA95" t="str">
        <f>IF(Migrationsartikel!AF93="ja","Denner Partner","")</f>
        <v/>
      </c>
      <c r="BB95" t="str">
        <f>IF(Migrationsartikel!AG93="ja","true","false")</f>
        <v>false</v>
      </c>
      <c r="BC95" t="s">
        <v>1923</v>
      </c>
      <c r="BD95" s="31" t="s">
        <v>235</v>
      </c>
      <c r="BE95" s="31" t="s">
        <v>233</v>
      </c>
    </row>
    <row r="96" spans="2:57" ht="21.75" customHeight="1" x14ac:dyDescent="0.45">
      <c r="B96" t="s">
        <v>115</v>
      </c>
      <c r="E96" s="31" t="s">
        <v>1522</v>
      </c>
      <c r="F96" t="str">
        <f>"Warengruppe&gt;&gt;"&amp;Migrationsartikel!V94&amp;"&gt;&gt;"&amp;Migrationsartikel!W94&amp;"&gt;&gt;"&amp;Migrationsartikel!X94</f>
        <v>Warengruppe&gt;&gt;Frische&gt;&gt;Molkereiprodukte &amp; Eier &gt;&gt;Milchprodukte</v>
      </c>
      <c r="J96" s="31" t="s">
        <v>125</v>
      </c>
      <c r="M96" s="31" t="s">
        <v>137</v>
      </c>
      <c r="P96" s="31">
        <f>Migrationsartikel!B94</f>
        <v>844</v>
      </c>
      <c r="R96" t="str">
        <f>Migrationsartikel!F94&amp;" "&amp;Migrationsartikel!G94&amp;" "&amp;Migrationsartikel!H94</f>
        <v>Butter  aus der Region 100g</v>
      </c>
      <c r="S96" t="str">
        <f>Migrationsartikel!J94&amp;" "&amp;Migrationsartikel!K94&amp;" "&amp;Migrationsartikel!L94</f>
        <v>Beurre  de la région 100g</v>
      </c>
      <c r="T96" t="str">
        <f>Migrationsartikel!N94&amp;" "&amp;Migrationsartikel!O94&amp;" "&amp;Migrationsartikel!P94</f>
        <v>Burro  della regione 100g</v>
      </c>
      <c r="U96" t="str">
        <f>Migrationsartikel!F94</f>
        <v xml:space="preserve">Butter </v>
      </c>
      <c r="V96" t="str">
        <f>Migrationsartikel!J94</f>
        <v xml:space="preserve">Beurre </v>
      </c>
      <c r="W96" t="str">
        <f>Migrationsartikel!N94</f>
        <v xml:space="preserve">Burro </v>
      </c>
      <c r="X96" t="str">
        <f>Migrationsartikel!G94</f>
        <v>aus der Region</v>
      </c>
      <c r="Y96" t="str">
        <f>Migrationsartikel!K94</f>
        <v>de la région</v>
      </c>
      <c r="Z96" t="str">
        <f>Migrationsartikel!O94</f>
        <v>della regione</v>
      </c>
      <c r="AA96" s="31" t="str">
        <f>Migrationsartikel!H94</f>
        <v>100g</v>
      </c>
      <c r="AB96" s="31" t="str">
        <f>Migrationsartikel!L94</f>
        <v>100g</v>
      </c>
      <c r="AC96" s="31" t="str">
        <f>Migrationsartikel!P94</f>
        <v>100g</v>
      </c>
      <c r="AD96" t="str">
        <f>Migrationsartikel!I94</f>
        <v>Butter 100g</v>
      </c>
      <c r="AE96" t="str">
        <f>Migrationsartikel!M94</f>
        <v>Beurre 100g</v>
      </c>
      <c r="AF96" t="str">
        <f>Migrationsartikel!Q94</f>
        <v>Burro 100g</v>
      </c>
      <c r="AG96" s="45">
        <f>Migrationsartikel!R94</f>
        <v>0.1</v>
      </c>
      <c r="AH96" s="46" t="str">
        <f>Migrationsartikel!T94</f>
        <v>Gramm</v>
      </c>
      <c r="AI96" s="46" t="str">
        <f t="shared" si="3"/>
        <v>Gramm</v>
      </c>
      <c r="AJ96" s="46" t="s">
        <v>176</v>
      </c>
      <c r="AK96">
        <f>Migrationsartikel!S94</f>
        <v>100</v>
      </c>
      <c r="AL96">
        <f>Migrationsartikel!S94</f>
        <v>100</v>
      </c>
      <c r="AM96">
        <f>Migrationsartikel!S94</f>
        <v>100</v>
      </c>
      <c r="AN96" t="str">
        <f>Migrationsartikel!U94</f>
        <v>(PCE) Stück</v>
      </c>
      <c r="AO96" t="str">
        <f t="shared" si="4"/>
        <v>(PCE) Pièce</v>
      </c>
      <c r="AP96" t="str">
        <f t="shared" si="5"/>
        <v>(PCE) Pièce</v>
      </c>
      <c r="AQ96" s="31" t="s">
        <v>195</v>
      </c>
      <c r="AR96" s="47"/>
      <c r="AS96" s="47"/>
      <c r="AT96" s="31" t="s">
        <v>208</v>
      </c>
      <c r="AU96" s="47"/>
      <c r="AV96" s="47"/>
      <c r="AW96" t="str">
        <f>IF(Migrationsartikel!AB94="ja","true",FALSE)</f>
        <v>true</v>
      </c>
      <c r="AX96" t="str">
        <f>IF(Migrationsartikel!AC94="ja","true",FALSE)</f>
        <v>true</v>
      </c>
      <c r="AY96" t="str">
        <f>IF(Migrationsartikel!AD94="ja","true",FALSE)</f>
        <v>true</v>
      </c>
      <c r="AZ96" t="str">
        <f>IF(Migrationsartikel!AE94="ja","true",FALSE)</f>
        <v>true</v>
      </c>
      <c r="BA96" t="str">
        <f>IF(Migrationsartikel!AF94="ja","Denner Partner","")</f>
        <v/>
      </c>
      <c r="BB96" t="str">
        <f>IF(Migrationsartikel!AG94="ja","true","false")</f>
        <v>false</v>
      </c>
      <c r="BC96" t="s">
        <v>1923</v>
      </c>
      <c r="BD96" s="31" t="s">
        <v>235</v>
      </c>
      <c r="BE96" s="31" t="s">
        <v>233</v>
      </c>
    </row>
    <row r="97" spans="2:57" ht="21.75" customHeight="1" x14ac:dyDescent="0.45">
      <c r="B97" t="s">
        <v>115</v>
      </c>
      <c r="E97" s="31" t="s">
        <v>1523</v>
      </c>
      <c r="F97" t="str">
        <f>"Warengruppe&gt;&gt;"&amp;Migrationsartikel!V95&amp;"&gt;&gt;"&amp;Migrationsartikel!W95&amp;"&gt;&gt;"&amp;Migrationsartikel!X95</f>
        <v>Warengruppe&gt;&gt;Frische&gt;&gt;Molkereiprodukte &amp; Eier &gt;&gt;Milchprodukte</v>
      </c>
      <c r="J97" s="31" t="s">
        <v>125</v>
      </c>
      <c r="M97" s="31" t="s">
        <v>137</v>
      </c>
      <c r="P97" s="31">
        <f>Migrationsartikel!B95</f>
        <v>845</v>
      </c>
      <c r="R97" t="str">
        <f>Migrationsartikel!F95&amp;" "&amp;Migrationsartikel!G95&amp;" "&amp;Migrationsartikel!H95</f>
        <v>Butter  aus der Region 200g</v>
      </c>
      <c r="S97" t="str">
        <f>Migrationsartikel!J95&amp;" "&amp;Migrationsartikel!K95&amp;" "&amp;Migrationsartikel!L95</f>
        <v>Beurre de la région 200g</v>
      </c>
      <c r="T97" t="str">
        <f>Migrationsartikel!N95&amp;" "&amp;Migrationsartikel!O95&amp;" "&amp;Migrationsartikel!P95</f>
        <v>Burro  della regione 200g</v>
      </c>
      <c r="U97" t="str">
        <f>Migrationsartikel!F95</f>
        <v xml:space="preserve">Butter </v>
      </c>
      <c r="V97" t="str">
        <f>Migrationsartikel!J95</f>
        <v>Beurre</v>
      </c>
      <c r="W97" t="str">
        <f>Migrationsartikel!N95</f>
        <v xml:space="preserve">Burro </v>
      </c>
      <c r="X97" t="str">
        <f>Migrationsartikel!G95</f>
        <v>aus der Region</v>
      </c>
      <c r="Y97" t="str">
        <f>Migrationsartikel!K95</f>
        <v>de la région</v>
      </c>
      <c r="Z97" t="str">
        <f>Migrationsartikel!O95</f>
        <v>della regione</v>
      </c>
      <c r="AA97" s="31" t="str">
        <f>Migrationsartikel!H95</f>
        <v>200g</v>
      </c>
      <c r="AB97" s="31" t="str">
        <f>Migrationsartikel!L95</f>
        <v>200g</v>
      </c>
      <c r="AC97" s="31" t="str">
        <f>Migrationsartikel!P95</f>
        <v>200g</v>
      </c>
      <c r="AD97" t="str">
        <f>Migrationsartikel!I95</f>
        <v>Butter 200g</v>
      </c>
      <c r="AE97" t="str">
        <f>Migrationsartikel!M95</f>
        <v>Beurre 200g</v>
      </c>
      <c r="AF97" t="str">
        <f>Migrationsartikel!Q95</f>
        <v>Burro 200g</v>
      </c>
      <c r="AG97" s="45">
        <f>Migrationsartikel!R95</f>
        <v>0.2</v>
      </c>
      <c r="AH97" s="46" t="str">
        <f>Migrationsartikel!T95</f>
        <v>Gramm</v>
      </c>
      <c r="AI97" s="46" t="str">
        <f t="shared" si="3"/>
        <v>Gramm</v>
      </c>
      <c r="AJ97" s="46" t="s">
        <v>176</v>
      </c>
      <c r="AK97">
        <f>Migrationsartikel!S95</f>
        <v>100</v>
      </c>
      <c r="AL97">
        <f>Migrationsartikel!S95</f>
        <v>100</v>
      </c>
      <c r="AM97">
        <f>Migrationsartikel!S95</f>
        <v>100</v>
      </c>
      <c r="AN97" t="str">
        <f>Migrationsartikel!U95</f>
        <v>(PCE) Stück</v>
      </c>
      <c r="AO97" t="str">
        <f t="shared" si="4"/>
        <v>(PCE) Pièce</v>
      </c>
      <c r="AP97" t="str">
        <f t="shared" si="5"/>
        <v>(PCE) Pièce</v>
      </c>
      <c r="AQ97" s="31" t="s">
        <v>195</v>
      </c>
      <c r="AR97" s="47"/>
      <c r="AS97" s="47"/>
      <c r="AT97" s="31" t="s">
        <v>208</v>
      </c>
      <c r="AU97" s="47"/>
      <c r="AV97" s="47"/>
      <c r="AW97" t="str">
        <f>IF(Migrationsartikel!AB95="ja","true",FALSE)</f>
        <v>true</v>
      </c>
      <c r="AX97" t="str">
        <f>IF(Migrationsartikel!AC95="ja","true",FALSE)</f>
        <v>true</v>
      </c>
      <c r="AY97" t="str">
        <f>IF(Migrationsartikel!AD95="ja","true",FALSE)</f>
        <v>true</v>
      </c>
      <c r="AZ97" t="str">
        <f>IF(Migrationsartikel!AE95="ja","true",FALSE)</f>
        <v>true</v>
      </c>
      <c r="BA97" t="str">
        <f>IF(Migrationsartikel!AF95="ja","Denner Partner","")</f>
        <v/>
      </c>
      <c r="BB97" t="str">
        <f>IF(Migrationsartikel!AG95="ja","true","false")</f>
        <v>false</v>
      </c>
      <c r="BC97" t="s">
        <v>1923</v>
      </c>
      <c r="BD97" s="31" t="s">
        <v>235</v>
      </c>
      <c r="BE97" s="31" t="s">
        <v>233</v>
      </c>
    </row>
    <row r="98" spans="2:57" ht="21.75" customHeight="1" x14ac:dyDescent="0.45">
      <c r="B98" t="s">
        <v>115</v>
      </c>
      <c r="E98" s="31" t="s">
        <v>1524</v>
      </c>
      <c r="F98" t="str">
        <f>"Warengruppe&gt;&gt;"&amp;Migrationsartikel!V96&amp;"&gt;&gt;"&amp;Migrationsartikel!W96&amp;"&gt;&gt;"&amp;Migrationsartikel!X96</f>
        <v>Warengruppe&gt;&gt;Frische&gt;&gt;Molkereiprodukte &amp; Eier &gt;&gt;Milchprodukte</v>
      </c>
      <c r="J98" s="31" t="s">
        <v>125</v>
      </c>
      <c r="M98" s="31" t="s">
        <v>137</v>
      </c>
      <c r="P98" s="31">
        <f>Migrationsartikel!B96</f>
        <v>846</v>
      </c>
      <c r="R98" t="str">
        <f>Migrationsartikel!F96&amp;" "&amp;Migrationsartikel!G96&amp;" "&amp;Migrationsartikel!H96</f>
        <v>Butter  aus der Region 250g</v>
      </c>
      <c r="S98" t="str">
        <f>Migrationsartikel!J96&amp;" "&amp;Migrationsartikel!K96&amp;" "&amp;Migrationsartikel!L96</f>
        <v>Beurre de la région 250g</v>
      </c>
      <c r="T98" t="str">
        <f>Migrationsartikel!N96&amp;" "&amp;Migrationsartikel!O96&amp;" "&amp;Migrationsartikel!P96</f>
        <v>Burro  della regione 250g</v>
      </c>
      <c r="U98" t="str">
        <f>Migrationsartikel!F96</f>
        <v xml:space="preserve">Butter </v>
      </c>
      <c r="V98" t="str">
        <f>Migrationsartikel!J96</f>
        <v>Beurre</v>
      </c>
      <c r="W98" t="str">
        <f>Migrationsartikel!N96</f>
        <v xml:space="preserve">Burro </v>
      </c>
      <c r="X98" t="str">
        <f>Migrationsartikel!G96</f>
        <v>aus der Region</v>
      </c>
      <c r="Y98" t="str">
        <f>Migrationsartikel!K96</f>
        <v>de la région</v>
      </c>
      <c r="Z98" t="str">
        <f>Migrationsartikel!O96</f>
        <v>della regione</v>
      </c>
      <c r="AA98" s="31" t="str">
        <f>Migrationsartikel!H96</f>
        <v>250g</v>
      </c>
      <c r="AB98" s="31" t="str">
        <f>Migrationsartikel!L96</f>
        <v>250g</v>
      </c>
      <c r="AC98" s="31" t="str">
        <f>Migrationsartikel!P96</f>
        <v>250g</v>
      </c>
      <c r="AD98" t="str">
        <f>Migrationsartikel!I96</f>
        <v>Butter 250g</v>
      </c>
      <c r="AE98" t="str">
        <f>Migrationsartikel!M96</f>
        <v>Beurre 250g</v>
      </c>
      <c r="AF98" t="str">
        <f>Migrationsartikel!Q96</f>
        <v>Burro 250g</v>
      </c>
      <c r="AG98" s="45">
        <f>Migrationsartikel!R96</f>
        <v>0.25</v>
      </c>
      <c r="AH98" s="46" t="str">
        <f>Migrationsartikel!T96</f>
        <v>Gramm</v>
      </c>
      <c r="AI98" s="46" t="str">
        <f t="shared" si="3"/>
        <v>Gramm</v>
      </c>
      <c r="AJ98" s="46" t="s">
        <v>176</v>
      </c>
      <c r="AK98">
        <f>Migrationsartikel!S96</f>
        <v>100</v>
      </c>
      <c r="AL98">
        <f>Migrationsartikel!S96</f>
        <v>100</v>
      </c>
      <c r="AM98">
        <f>Migrationsartikel!S96</f>
        <v>100</v>
      </c>
      <c r="AN98" t="str">
        <f>Migrationsartikel!U96</f>
        <v>(PCE) Stück</v>
      </c>
      <c r="AO98" t="str">
        <f t="shared" si="4"/>
        <v>(PCE) Pièce</v>
      </c>
      <c r="AP98" t="str">
        <f t="shared" si="5"/>
        <v>(PCE) Pièce</v>
      </c>
      <c r="AQ98" s="31" t="s">
        <v>195</v>
      </c>
      <c r="AR98" s="47"/>
      <c r="AS98" s="47"/>
      <c r="AT98" s="31" t="s">
        <v>208</v>
      </c>
      <c r="AU98" s="47"/>
      <c r="AV98" s="47"/>
      <c r="AW98" t="str">
        <f>IF(Migrationsartikel!AB96="ja","true",FALSE)</f>
        <v>true</v>
      </c>
      <c r="AX98" t="str">
        <f>IF(Migrationsartikel!AC96="ja","true",FALSE)</f>
        <v>true</v>
      </c>
      <c r="AY98" t="str">
        <f>IF(Migrationsartikel!AD96="ja","true",FALSE)</f>
        <v>true</v>
      </c>
      <c r="AZ98" t="str">
        <f>IF(Migrationsartikel!AE96="ja","true",FALSE)</f>
        <v>true</v>
      </c>
      <c r="BA98" t="str">
        <f>IF(Migrationsartikel!AF96="ja","Denner Partner","")</f>
        <v/>
      </c>
      <c r="BB98" t="str">
        <f>IF(Migrationsartikel!AG96="ja","true","false")</f>
        <v>false</v>
      </c>
      <c r="BC98" t="s">
        <v>1923</v>
      </c>
      <c r="BD98" s="31" t="s">
        <v>235</v>
      </c>
      <c r="BE98" s="31" t="s">
        <v>233</v>
      </c>
    </row>
    <row r="99" spans="2:57" ht="21.75" customHeight="1" x14ac:dyDescent="0.45">
      <c r="B99" t="s">
        <v>115</v>
      </c>
      <c r="E99" s="31" t="s">
        <v>1525</v>
      </c>
      <c r="F99" t="str">
        <f>"Warengruppe&gt;&gt;"&amp;Migrationsartikel!V97&amp;"&gt;&gt;"&amp;Migrationsartikel!W97&amp;"&gt;&gt;"&amp;Migrationsartikel!X97</f>
        <v>Warengruppe&gt;&gt;Frische&gt;&gt;Molkereiprodukte &amp; Eier &gt;&gt;Milchprodukte</v>
      </c>
      <c r="J99" s="31" t="s">
        <v>125</v>
      </c>
      <c r="M99" s="31" t="s">
        <v>137</v>
      </c>
      <c r="P99" s="31">
        <f>Migrationsartikel!B97</f>
        <v>847</v>
      </c>
      <c r="R99" t="str">
        <f>Migrationsartikel!F97&amp;" "&amp;Migrationsartikel!G97&amp;" "&amp;Migrationsartikel!H97</f>
        <v>Doppel-Rahm aus der Region 200ml</v>
      </c>
      <c r="S99" t="str">
        <f>Migrationsartikel!J97&amp;" "&amp;Migrationsartikel!K97&amp;" "&amp;Migrationsartikel!L97</f>
        <v>Double crème de la région 200ml</v>
      </c>
      <c r="T99" t="str">
        <f>Migrationsartikel!N97&amp;" "&amp;Migrationsartikel!O97&amp;" "&amp;Migrationsartikel!P97</f>
        <v>Panna doppia della regione 200ml</v>
      </c>
      <c r="U99" t="str">
        <f>Migrationsartikel!F97</f>
        <v>Doppel-Rahm</v>
      </c>
      <c r="V99" t="str">
        <f>Migrationsartikel!J97</f>
        <v>Double crème</v>
      </c>
      <c r="W99" t="str">
        <f>Migrationsartikel!N97</f>
        <v>Panna doppia</v>
      </c>
      <c r="X99" t="str">
        <f>Migrationsartikel!G97</f>
        <v>aus der Region</v>
      </c>
      <c r="Y99" t="str">
        <f>Migrationsartikel!K97</f>
        <v>de la région</v>
      </c>
      <c r="Z99" t="str">
        <f>Migrationsartikel!O97</f>
        <v>della regione</v>
      </c>
      <c r="AA99" s="31" t="str">
        <f>Migrationsartikel!H97</f>
        <v>200ml</v>
      </c>
      <c r="AB99" s="31" t="str">
        <f>Migrationsartikel!L97</f>
        <v>200ml</v>
      </c>
      <c r="AC99" s="31" t="str">
        <f>Migrationsartikel!P97</f>
        <v>200ml</v>
      </c>
      <c r="AD99" t="str">
        <f>Migrationsartikel!I97</f>
        <v>Doppel-Rahm 200ml</v>
      </c>
      <c r="AE99" t="str">
        <f>Migrationsartikel!M97</f>
        <v>Double crème 200ml</v>
      </c>
      <c r="AF99" t="str">
        <f>Migrationsartikel!Q97</f>
        <v>Panna 200ml</v>
      </c>
      <c r="AG99" s="45">
        <f>Migrationsartikel!R97</f>
        <v>0.2</v>
      </c>
      <c r="AH99" s="46" t="str">
        <f>Migrationsartikel!T97</f>
        <v>Milliliter</v>
      </c>
      <c r="AI99" s="46" t="str">
        <f t="shared" si="3"/>
        <v>6</v>
      </c>
      <c r="AJ99" s="46" t="s">
        <v>176</v>
      </c>
      <c r="AK99">
        <f>Migrationsartikel!S97</f>
        <v>100</v>
      </c>
      <c r="AL99">
        <f>Migrationsartikel!S97</f>
        <v>100</v>
      </c>
      <c r="AM99">
        <f>Migrationsartikel!S97</f>
        <v>100</v>
      </c>
      <c r="AN99" t="str">
        <f>Migrationsartikel!U97</f>
        <v>(PCE) Stück</v>
      </c>
      <c r="AO99" t="str">
        <f t="shared" si="4"/>
        <v>(PCE) Pièce</v>
      </c>
      <c r="AP99" t="str">
        <f t="shared" si="5"/>
        <v>(PCE) Pièce</v>
      </c>
      <c r="AQ99" s="31" t="s">
        <v>195</v>
      </c>
      <c r="AR99" s="47"/>
      <c r="AS99" s="47"/>
      <c r="AT99" s="31" t="s">
        <v>208</v>
      </c>
      <c r="AU99" s="47"/>
      <c r="AV99" s="47"/>
      <c r="AW99" t="str">
        <f>IF(Migrationsartikel!AB97="ja","true",FALSE)</f>
        <v>true</v>
      </c>
      <c r="AX99" t="str">
        <f>IF(Migrationsartikel!AC97="ja","true",FALSE)</f>
        <v>true</v>
      </c>
      <c r="AY99" t="str">
        <f>IF(Migrationsartikel!AD97="ja","true",FALSE)</f>
        <v>true</v>
      </c>
      <c r="AZ99" t="str">
        <f>IF(Migrationsartikel!AE97="ja","true",FALSE)</f>
        <v>true</v>
      </c>
      <c r="BA99" t="str">
        <f>IF(Migrationsartikel!AF97="ja","Denner Partner","")</f>
        <v/>
      </c>
      <c r="BB99" t="str">
        <f>IF(Migrationsartikel!AG97="ja","true","false")</f>
        <v>false</v>
      </c>
      <c r="BC99" t="s">
        <v>1923</v>
      </c>
      <c r="BD99" s="31" t="s">
        <v>235</v>
      </c>
      <c r="BE99" s="31" t="s">
        <v>233</v>
      </c>
    </row>
    <row r="100" spans="2:57" ht="21.75" customHeight="1" x14ac:dyDescent="0.45">
      <c r="B100" t="s">
        <v>115</v>
      </c>
      <c r="E100" s="31" t="s">
        <v>1526</v>
      </c>
      <c r="F100" t="str">
        <f>"Warengruppe&gt;&gt;"&amp;Migrationsartikel!V98&amp;"&gt;&gt;"&amp;Migrationsartikel!W98&amp;"&gt;&gt;"&amp;Migrationsartikel!X98</f>
        <v>Warengruppe&gt;&gt;Frische&gt;&gt;Molkereiprodukte &amp; Eier &gt;&gt;Milchprodukte</v>
      </c>
      <c r="J100" s="31" t="s">
        <v>125</v>
      </c>
      <c r="M100" s="31" t="s">
        <v>137</v>
      </c>
      <c r="P100" s="31">
        <f>Migrationsartikel!B98</f>
        <v>848</v>
      </c>
      <c r="R100" t="str">
        <f>Migrationsartikel!F98&amp;" "&amp;Migrationsartikel!G98&amp;" "&amp;Migrationsartikel!H98</f>
        <v>Doppel-Rahm aus der Region 250ml</v>
      </c>
      <c r="S100" t="str">
        <f>Migrationsartikel!J98&amp;" "&amp;Migrationsartikel!K98&amp;" "&amp;Migrationsartikel!L98</f>
        <v>Double crème de la région 250ml</v>
      </c>
      <c r="T100" t="str">
        <f>Migrationsartikel!N98&amp;" "&amp;Migrationsartikel!O98&amp;" "&amp;Migrationsartikel!P98</f>
        <v>Panna doppia della regione 250ml</v>
      </c>
      <c r="U100" t="str">
        <f>Migrationsartikel!F98</f>
        <v>Doppel-Rahm</v>
      </c>
      <c r="V100" t="str">
        <f>Migrationsartikel!J98</f>
        <v>Double crème</v>
      </c>
      <c r="W100" t="str">
        <f>Migrationsartikel!N98</f>
        <v>Panna doppia</v>
      </c>
      <c r="X100" t="str">
        <f>Migrationsartikel!G98</f>
        <v>aus der Region</v>
      </c>
      <c r="Y100" t="str">
        <f>Migrationsartikel!K98</f>
        <v>de la région</v>
      </c>
      <c r="Z100" t="str">
        <f>Migrationsartikel!O98</f>
        <v>della regione</v>
      </c>
      <c r="AA100" s="31" t="str">
        <f>Migrationsartikel!H98</f>
        <v>250ml</v>
      </c>
      <c r="AB100" s="31" t="str">
        <f>Migrationsartikel!L98</f>
        <v>250ml</v>
      </c>
      <c r="AC100" s="31" t="str">
        <f>Migrationsartikel!P98</f>
        <v>250ml</v>
      </c>
      <c r="AD100" t="str">
        <f>Migrationsartikel!I98</f>
        <v>Doppel-Rahm 250ml</v>
      </c>
      <c r="AE100" t="str">
        <f>Migrationsartikel!M98</f>
        <v>Double crème 250ml</v>
      </c>
      <c r="AF100" t="str">
        <f>Migrationsartikel!Q98</f>
        <v>Panna 250ml</v>
      </c>
      <c r="AG100" s="45">
        <f>Migrationsartikel!R98</f>
        <v>0.25</v>
      </c>
      <c r="AH100" s="46" t="str">
        <f>Migrationsartikel!T98</f>
        <v>Milliliter</v>
      </c>
      <c r="AI100" s="46" t="str">
        <f t="shared" si="3"/>
        <v>6</v>
      </c>
      <c r="AJ100" s="46" t="s">
        <v>176</v>
      </c>
      <c r="AK100">
        <f>Migrationsartikel!S98</f>
        <v>100</v>
      </c>
      <c r="AL100">
        <f>Migrationsartikel!S98</f>
        <v>100</v>
      </c>
      <c r="AM100">
        <f>Migrationsartikel!S98</f>
        <v>100</v>
      </c>
      <c r="AN100" t="str">
        <f>Migrationsartikel!U98</f>
        <v>(PCE) Stück</v>
      </c>
      <c r="AO100" t="str">
        <f t="shared" si="4"/>
        <v>(PCE) Pièce</v>
      </c>
      <c r="AP100" t="str">
        <f t="shared" si="5"/>
        <v>(PCE) Pièce</v>
      </c>
      <c r="AQ100" s="31" t="s">
        <v>195</v>
      </c>
      <c r="AR100" s="47"/>
      <c r="AS100" s="47"/>
      <c r="AT100" s="31" t="s">
        <v>208</v>
      </c>
      <c r="AU100" s="47"/>
      <c r="AV100" s="47"/>
      <c r="AW100" t="str">
        <f>IF(Migrationsartikel!AB98="ja","true",FALSE)</f>
        <v>true</v>
      </c>
      <c r="AX100" t="str">
        <f>IF(Migrationsartikel!AC98="ja","true",FALSE)</f>
        <v>true</v>
      </c>
      <c r="AY100" t="str">
        <f>IF(Migrationsartikel!AD98="ja","true",FALSE)</f>
        <v>true</v>
      </c>
      <c r="AZ100" t="str">
        <f>IF(Migrationsartikel!AE98="ja","true",FALSE)</f>
        <v>true</v>
      </c>
      <c r="BA100" t="str">
        <f>IF(Migrationsartikel!AF98="ja","Denner Partner","")</f>
        <v/>
      </c>
      <c r="BB100" t="str">
        <f>IF(Migrationsartikel!AG98="ja","true","false")</f>
        <v>false</v>
      </c>
      <c r="BC100" t="s">
        <v>1923</v>
      </c>
      <c r="BD100" s="31" t="s">
        <v>235</v>
      </c>
      <c r="BE100" s="31" t="s">
        <v>233</v>
      </c>
    </row>
    <row r="101" spans="2:57" ht="21.75" customHeight="1" x14ac:dyDescent="0.45">
      <c r="B101" t="s">
        <v>115</v>
      </c>
      <c r="E101" s="31" t="s">
        <v>1527</v>
      </c>
      <c r="F101" t="str">
        <f>"Warengruppe&gt;&gt;"&amp;Migrationsartikel!V99&amp;"&gt;&gt;"&amp;Migrationsartikel!W99&amp;"&gt;&gt;"&amp;Migrationsartikel!X99</f>
        <v>Warengruppe&gt;&gt;Frische&gt;&gt;Molkereiprodukte &amp; Eier &gt;&gt;Milchprodukte</v>
      </c>
      <c r="J101" s="31" t="s">
        <v>125</v>
      </c>
      <c r="M101" s="31" t="s">
        <v>137</v>
      </c>
      <c r="P101" s="31">
        <f>Migrationsartikel!B99</f>
        <v>849</v>
      </c>
      <c r="R101" t="str">
        <f>Migrationsartikel!F99&amp;" "&amp;Migrationsartikel!G99&amp;" "&amp;Migrationsartikel!H99</f>
        <v>Jogurt aus der Region 130g</v>
      </c>
      <c r="S101" t="str">
        <f>Migrationsartikel!J99&amp;" "&amp;Migrationsartikel!K99&amp;" "&amp;Migrationsartikel!L99</f>
        <v>Yogourt de la région 130g</v>
      </c>
      <c r="T101" t="str">
        <f>Migrationsartikel!N99&amp;" "&amp;Migrationsartikel!O99&amp;" "&amp;Migrationsartikel!P99</f>
        <v>Yogourt della regione 130g</v>
      </c>
      <c r="U101" t="str">
        <f>Migrationsartikel!F99</f>
        <v>Jogurt</v>
      </c>
      <c r="V101" t="str">
        <f>Migrationsartikel!J99</f>
        <v>Yogourt</v>
      </c>
      <c r="W101" t="str">
        <f>Migrationsartikel!N99</f>
        <v>Yogourt</v>
      </c>
      <c r="X101" t="str">
        <f>Migrationsartikel!G99</f>
        <v>aus der Region</v>
      </c>
      <c r="Y101" t="str">
        <f>Migrationsartikel!K99</f>
        <v>de la région</v>
      </c>
      <c r="Z101" t="str">
        <f>Migrationsartikel!O99</f>
        <v>della regione</v>
      </c>
      <c r="AA101" s="31" t="str">
        <f>Migrationsartikel!H99</f>
        <v>130g</v>
      </c>
      <c r="AB101" s="31" t="str">
        <f>Migrationsartikel!L99</f>
        <v>130g</v>
      </c>
      <c r="AC101" s="31" t="str">
        <f>Migrationsartikel!P99</f>
        <v>130g</v>
      </c>
      <c r="AD101" t="str">
        <f>Migrationsartikel!I99</f>
        <v>Jogurt 130g</v>
      </c>
      <c r="AE101" t="str">
        <f>Migrationsartikel!M99</f>
        <v>Yogourt 130g</v>
      </c>
      <c r="AF101" t="str">
        <f>Migrationsartikel!Q99</f>
        <v>Yogourt 130g</v>
      </c>
      <c r="AG101" s="45">
        <f>Migrationsartikel!R99</f>
        <v>0.13</v>
      </c>
      <c r="AH101" s="46" t="str">
        <f>Migrationsartikel!T99</f>
        <v>Gramm</v>
      </c>
      <c r="AI101" s="46" t="str">
        <f t="shared" si="3"/>
        <v>Gramm</v>
      </c>
      <c r="AJ101" s="46" t="s">
        <v>176</v>
      </c>
      <c r="AK101">
        <f>Migrationsartikel!S99</f>
        <v>100</v>
      </c>
      <c r="AL101">
        <f>Migrationsartikel!S99</f>
        <v>100</v>
      </c>
      <c r="AM101">
        <f>Migrationsartikel!S99</f>
        <v>100</v>
      </c>
      <c r="AN101" t="str">
        <f>Migrationsartikel!U99</f>
        <v>(PCE) Stück</v>
      </c>
      <c r="AO101" t="str">
        <f t="shared" si="4"/>
        <v>(PCE) Pièce</v>
      </c>
      <c r="AP101" t="str">
        <f t="shared" si="5"/>
        <v>(PCE) Pièce</v>
      </c>
      <c r="AQ101" s="31" t="s">
        <v>195</v>
      </c>
      <c r="AR101" s="47"/>
      <c r="AS101" s="47"/>
      <c r="AT101" s="31" t="s">
        <v>208</v>
      </c>
      <c r="AU101" s="47"/>
      <c r="AV101" s="47"/>
      <c r="AW101" t="str">
        <f>IF(Migrationsartikel!AB99="ja","true",FALSE)</f>
        <v>true</v>
      </c>
      <c r="AX101" t="str">
        <f>IF(Migrationsartikel!AC99="ja","true",FALSE)</f>
        <v>true</v>
      </c>
      <c r="AY101" t="str">
        <f>IF(Migrationsartikel!AD99="ja","true",FALSE)</f>
        <v>true</v>
      </c>
      <c r="AZ101" t="str">
        <f>IF(Migrationsartikel!AE99="ja","true",FALSE)</f>
        <v>true</v>
      </c>
      <c r="BA101" t="str">
        <f>IF(Migrationsartikel!AF99="ja","Denner Partner","")</f>
        <v/>
      </c>
      <c r="BB101" t="str">
        <f>IF(Migrationsartikel!AG99="ja","true","false")</f>
        <v>false</v>
      </c>
      <c r="BC101" t="s">
        <v>1923</v>
      </c>
      <c r="BD101" s="31" t="s">
        <v>235</v>
      </c>
      <c r="BE101" s="31" t="s">
        <v>233</v>
      </c>
    </row>
    <row r="102" spans="2:57" ht="21.75" customHeight="1" x14ac:dyDescent="0.45">
      <c r="B102" t="s">
        <v>115</v>
      </c>
      <c r="E102" s="31" t="s">
        <v>1528</v>
      </c>
      <c r="F102" t="str">
        <f>"Warengruppe&gt;&gt;"&amp;Migrationsartikel!V100&amp;"&gt;&gt;"&amp;Migrationsartikel!W100&amp;"&gt;&gt;"&amp;Migrationsartikel!X100</f>
        <v>Warengruppe&gt;&gt;Frische&gt;&gt;Molkereiprodukte &amp; Eier &gt;&gt;Milchprodukte</v>
      </c>
      <c r="J102" s="31" t="s">
        <v>125</v>
      </c>
      <c r="M102" s="31" t="s">
        <v>137</v>
      </c>
      <c r="P102" s="31">
        <f>Migrationsartikel!B100</f>
        <v>850</v>
      </c>
      <c r="R102" t="str">
        <f>Migrationsartikel!F100&amp;" "&amp;Migrationsartikel!G100&amp;" "&amp;Migrationsartikel!H100</f>
        <v>Jogurt aus der Region 150g</v>
      </c>
      <c r="S102" t="str">
        <f>Migrationsartikel!J100&amp;" "&amp;Migrationsartikel!K100&amp;" "&amp;Migrationsartikel!L100</f>
        <v>Yogourt de la région 150g</v>
      </c>
      <c r="T102" t="str">
        <f>Migrationsartikel!N100&amp;" "&amp;Migrationsartikel!O100&amp;" "&amp;Migrationsartikel!P100</f>
        <v>Yogourt della regione 150g</v>
      </c>
      <c r="U102" t="str">
        <f>Migrationsartikel!F100</f>
        <v>Jogurt</v>
      </c>
      <c r="V102" t="str">
        <f>Migrationsartikel!J100</f>
        <v>Yogourt</v>
      </c>
      <c r="W102" t="str">
        <f>Migrationsartikel!N100</f>
        <v>Yogourt</v>
      </c>
      <c r="X102" t="str">
        <f>Migrationsartikel!G100</f>
        <v>aus der Region</v>
      </c>
      <c r="Y102" t="str">
        <f>Migrationsartikel!K100</f>
        <v>de la région</v>
      </c>
      <c r="Z102" t="str">
        <f>Migrationsartikel!O100</f>
        <v>della regione</v>
      </c>
      <c r="AA102" s="31" t="str">
        <f>Migrationsartikel!H100</f>
        <v>150g</v>
      </c>
      <c r="AB102" s="31" t="str">
        <f>Migrationsartikel!L100</f>
        <v>150g</v>
      </c>
      <c r="AC102" s="31" t="str">
        <f>Migrationsartikel!P100</f>
        <v>150g</v>
      </c>
      <c r="AD102" t="str">
        <f>Migrationsartikel!I100</f>
        <v>Jogurt 150g</v>
      </c>
      <c r="AE102" t="str">
        <f>Migrationsartikel!M100</f>
        <v>Yogourt 150g</v>
      </c>
      <c r="AF102" t="str">
        <f>Migrationsartikel!Q100</f>
        <v>Yogourt 150g</v>
      </c>
      <c r="AG102" s="45">
        <f>Migrationsartikel!R100</f>
        <v>0.15</v>
      </c>
      <c r="AH102" s="46" t="str">
        <f>Migrationsartikel!T100</f>
        <v>Gramm</v>
      </c>
      <c r="AI102" s="46" t="str">
        <f t="shared" si="3"/>
        <v>Gramm</v>
      </c>
      <c r="AJ102" s="46" t="s">
        <v>176</v>
      </c>
      <c r="AK102">
        <f>Migrationsartikel!S100</f>
        <v>100</v>
      </c>
      <c r="AL102">
        <f>Migrationsartikel!S100</f>
        <v>100</v>
      </c>
      <c r="AM102">
        <f>Migrationsartikel!S100</f>
        <v>100</v>
      </c>
      <c r="AN102" t="str">
        <f>Migrationsartikel!U100</f>
        <v>(PCE) Stück</v>
      </c>
      <c r="AO102" t="str">
        <f t="shared" si="4"/>
        <v>(PCE) Pièce</v>
      </c>
      <c r="AP102" t="str">
        <f t="shared" si="5"/>
        <v>(PCE) Pièce</v>
      </c>
      <c r="AQ102" s="31" t="s">
        <v>195</v>
      </c>
      <c r="AR102" s="47"/>
      <c r="AS102" s="47"/>
      <c r="AT102" s="31" t="s">
        <v>208</v>
      </c>
      <c r="AU102" s="47"/>
      <c r="AV102" s="47"/>
      <c r="AW102" t="str">
        <f>IF(Migrationsartikel!AB100="ja","true",FALSE)</f>
        <v>true</v>
      </c>
      <c r="AX102" t="str">
        <f>IF(Migrationsartikel!AC100="ja","true",FALSE)</f>
        <v>true</v>
      </c>
      <c r="AY102" t="str">
        <f>IF(Migrationsartikel!AD100="ja","true",FALSE)</f>
        <v>true</v>
      </c>
      <c r="AZ102" t="str">
        <f>IF(Migrationsartikel!AE100="ja","true",FALSE)</f>
        <v>true</v>
      </c>
      <c r="BA102" t="str">
        <f>IF(Migrationsartikel!AF100="ja","Denner Partner","")</f>
        <v/>
      </c>
      <c r="BB102" t="str">
        <f>IF(Migrationsartikel!AG100="ja","true","false")</f>
        <v>false</v>
      </c>
      <c r="BC102" t="s">
        <v>1923</v>
      </c>
      <c r="BD102" s="31" t="s">
        <v>235</v>
      </c>
      <c r="BE102" s="31" t="s">
        <v>233</v>
      </c>
    </row>
    <row r="103" spans="2:57" ht="21.75" customHeight="1" x14ac:dyDescent="0.45">
      <c r="B103" t="s">
        <v>115</v>
      </c>
      <c r="E103" s="31" t="s">
        <v>1529</v>
      </c>
      <c r="F103" t="str">
        <f>"Warengruppe&gt;&gt;"&amp;Migrationsartikel!V101&amp;"&gt;&gt;"&amp;Migrationsartikel!W101&amp;"&gt;&gt;"&amp;Migrationsartikel!X101</f>
        <v>Warengruppe&gt;&gt;Frische&gt;&gt;Molkereiprodukte &amp; Eier &gt;&gt;Milchprodukte</v>
      </c>
      <c r="J103" s="31" t="s">
        <v>125</v>
      </c>
      <c r="M103" s="31" t="s">
        <v>137</v>
      </c>
      <c r="P103" s="31">
        <f>Migrationsartikel!B101</f>
        <v>851</v>
      </c>
      <c r="R103" t="str">
        <f>Migrationsartikel!F101&amp;" "&amp;Migrationsartikel!G101&amp;" "&amp;Migrationsartikel!H101</f>
        <v>Jogurt aus der Region 180g</v>
      </c>
      <c r="S103" t="str">
        <f>Migrationsartikel!J101&amp;" "&amp;Migrationsartikel!K101&amp;" "&amp;Migrationsartikel!L101</f>
        <v>Yogourt de la région 180g</v>
      </c>
      <c r="T103" t="str">
        <f>Migrationsartikel!N101&amp;" "&amp;Migrationsartikel!O101&amp;" "&amp;Migrationsartikel!P101</f>
        <v>Yogourt della regione 180g</v>
      </c>
      <c r="U103" t="str">
        <f>Migrationsartikel!F101</f>
        <v>Jogurt</v>
      </c>
      <c r="V103" t="str">
        <f>Migrationsartikel!J101</f>
        <v>Yogourt</v>
      </c>
      <c r="W103" t="str">
        <f>Migrationsartikel!N101</f>
        <v>Yogourt</v>
      </c>
      <c r="X103" t="str">
        <f>Migrationsartikel!G101</f>
        <v>aus der Region</v>
      </c>
      <c r="Y103" t="str">
        <f>Migrationsartikel!K101</f>
        <v>de la région</v>
      </c>
      <c r="Z103" t="str">
        <f>Migrationsartikel!O101</f>
        <v>della regione</v>
      </c>
      <c r="AA103" s="31" t="str">
        <f>Migrationsartikel!H101</f>
        <v>180g</v>
      </c>
      <c r="AB103" s="31" t="str">
        <f>Migrationsartikel!L101</f>
        <v>180g</v>
      </c>
      <c r="AC103" s="31" t="str">
        <f>Migrationsartikel!P101</f>
        <v>180g</v>
      </c>
      <c r="AD103" t="str">
        <f>Migrationsartikel!I101</f>
        <v>Jogurt 180g</v>
      </c>
      <c r="AE103" t="str">
        <f>Migrationsartikel!M101</f>
        <v>Yogourt 180g</v>
      </c>
      <c r="AF103" t="str">
        <f>Migrationsartikel!Q101</f>
        <v>Yogourt 180g</v>
      </c>
      <c r="AG103" s="45">
        <f>Migrationsartikel!R101</f>
        <v>0.18</v>
      </c>
      <c r="AH103" s="46" t="str">
        <f>Migrationsartikel!T101</f>
        <v>Gramm</v>
      </c>
      <c r="AI103" s="46" t="str">
        <f t="shared" si="3"/>
        <v>Gramm</v>
      </c>
      <c r="AJ103" s="46" t="s">
        <v>176</v>
      </c>
      <c r="AK103">
        <f>Migrationsartikel!S101</f>
        <v>100</v>
      </c>
      <c r="AL103">
        <f>Migrationsartikel!S101</f>
        <v>100</v>
      </c>
      <c r="AM103">
        <f>Migrationsartikel!S101</f>
        <v>100</v>
      </c>
      <c r="AN103" t="str">
        <f>Migrationsartikel!U101</f>
        <v>(PCE) Stück</v>
      </c>
      <c r="AO103" t="str">
        <f t="shared" si="4"/>
        <v>(PCE) Pièce</v>
      </c>
      <c r="AP103" t="str">
        <f t="shared" si="5"/>
        <v>(PCE) Pièce</v>
      </c>
      <c r="AQ103" s="31" t="s">
        <v>195</v>
      </c>
      <c r="AR103" s="47"/>
      <c r="AS103" s="47"/>
      <c r="AT103" s="31" t="s">
        <v>208</v>
      </c>
      <c r="AU103" s="47"/>
      <c r="AV103" s="47"/>
      <c r="AW103" t="str">
        <f>IF(Migrationsartikel!AB101="ja","true",FALSE)</f>
        <v>true</v>
      </c>
      <c r="AX103" t="str">
        <f>IF(Migrationsartikel!AC101="ja","true",FALSE)</f>
        <v>true</v>
      </c>
      <c r="AY103" t="str">
        <f>IF(Migrationsartikel!AD101="ja","true",FALSE)</f>
        <v>true</v>
      </c>
      <c r="AZ103" t="str">
        <f>IF(Migrationsartikel!AE101="ja","true",FALSE)</f>
        <v>true</v>
      </c>
      <c r="BA103" t="str">
        <f>IF(Migrationsartikel!AF101="ja","Denner Partner","")</f>
        <v/>
      </c>
      <c r="BB103" t="str">
        <f>IF(Migrationsartikel!AG101="ja","true","false")</f>
        <v>false</v>
      </c>
      <c r="BC103" t="s">
        <v>1923</v>
      </c>
      <c r="BD103" s="31" t="s">
        <v>235</v>
      </c>
      <c r="BE103" s="31" t="s">
        <v>233</v>
      </c>
    </row>
    <row r="104" spans="2:57" ht="21.75" customHeight="1" x14ac:dyDescent="0.45">
      <c r="B104" t="s">
        <v>115</v>
      </c>
      <c r="E104" s="31" t="s">
        <v>1530</v>
      </c>
      <c r="F104" t="str">
        <f>"Warengruppe&gt;&gt;"&amp;Migrationsartikel!V102&amp;"&gt;&gt;"&amp;Migrationsartikel!W102&amp;"&gt;&gt;"&amp;Migrationsartikel!X102</f>
        <v>Warengruppe&gt;&gt;Frische&gt;&gt;Molkereiprodukte &amp; Eier &gt;&gt;Milchprodukte</v>
      </c>
      <c r="J104" s="31" t="s">
        <v>125</v>
      </c>
      <c r="M104" s="31" t="s">
        <v>137</v>
      </c>
      <c r="P104" s="31">
        <f>Migrationsartikel!B102</f>
        <v>852</v>
      </c>
      <c r="R104" t="str">
        <f>Migrationsartikel!F102&amp;" "&amp;Migrationsartikel!G102&amp;" "&amp;Migrationsartikel!H102</f>
        <v>Jogurt aus der Region 200g</v>
      </c>
      <c r="S104" t="str">
        <f>Migrationsartikel!J102&amp;" "&amp;Migrationsartikel!K102&amp;" "&amp;Migrationsartikel!L102</f>
        <v>Yogourt de la région 200g</v>
      </c>
      <c r="T104" t="str">
        <f>Migrationsartikel!N102&amp;" "&amp;Migrationsartikel!O102&amp;" "&amp;Migrationsartikel!P102</f>
        <v>Yogourt della regione 200g</v>
      </c>
      <c r="U104" t="str">
        <f>Migrationsartikel!F102</f>
        <v>Jogurt</v>
      </c>
      <c r="V104" t="str">
        <f>Migrationsartikel!J102</f>
        <v>Yogourt</v>
      </c>
      <c r="W104" t="str">
        <f>Migrationsartikel!N102</f>
        <v>Yogourt</v>
      </c>
      <c r="X104" t="str">
        <f>Migrationsartikel!G102</f>
        <v>aus der Region</v>
      </c>
      <c r="Y104" t="str">
        <f>Migrationsartikel!K102</f>
        <v>de la région</v>
      </c>
      <c r="Z104" t="str">
        <f>Migrationsartikel!O102</f>
        <v>della regione</v>
      </c>
      <c r="AA104" s="31" t="str">
        <f>Migrationsartikel!H102</f>
        <v>200g</v>
      </c>
      <c r="AB104" s="31" t="str">
        <f>Migrationsartikel!L102</f>
        <v>200g</v>
      </c>
      <c r="AC104" s="31" t="str">
        <f>Migrationsartikel!P102</f>
        <v>200g</v>
      </c>
      <c r="AD104" t="str">
        <f>Migrationsartikel!I102</f>
        <v>Jogurt 200g</v>
      </c>
      <c r="AE104" t="str">
        <f>Migrationsartikel!M102</f>
        <v>Yogourt 200g</v>
      </c>
      <c r="AF104" t="str">
        <f>Migrationsartikel!Q102</f>
        <v>Yogourt 200g</v>
      </c>
      <c r="AG104" s="45">
        <f>Migrationsartikel!R102</f>
        <v>0.2</v>
      </c>
      <c r="AH104" s="46" t="str">
        <f>Migrationsartikel!T102</f>
        <v>Gramm</v>
      </c>
      <c r="AI104" s="46" t="str">
        <f t="shared" si="3"/>
        <v>Gramm</v>
      </c>
      <c r="AJ104" s="46" t="s">
        <v>176</v>
      </c>
      <c r="AK104">
        <f>Migrationsartikel!S102</f>
        <v>100</v>
      </c>
      <c r="AL104">
        <f>Migrationsartikel!S102</f>
        <v>100</v>
      </c>
      <c r="AM104">
        <f>Migrationsartikel!S102</f>
        <v>100</v>
      </c>
      <c r="AN104" t="str">
        <f>Migrationsartikel!U102</f>
        <v>(PCE) Stück</v>
      </c>
      <c r="AO104" t="str">
        <f t="shared" si="4"/>
        <v>(PCE) Pièce</v>
      </c>
      <c r="AP104" t="str">
        <f t="shared" si="5"/>
        <v>(PCE) Pièce</v>
      </c>
      <c r="AQ104" s="31" t="s">
        <v>195</v>
      </c>
      <c r="AR104" s="47"/>
      <c r="AS104" s="47"/>
      <c r="AT104" s="31" t="s">
        <v>208</v>
      </c>
      <c r="AU104" s="47"/>
      <c r="AV104" s="47"/>
      <c r="AW104" t="str">
        <f>IF(Migrationsartikel!AB102="ja","true",FALSE)</f>
        <v>true</v>
      </c>
      <c r="AX104" t="str">
        <f>IF(Migrationsartikel!AC102="ja","true",FALSE)</f>
        <v>true</v>
      </c>
      <c r="AY104" t="str">
        <f>IF(Migrationsartikel!AD102="ja","true",FALSE)</f>
        <v>true</v>
      </c>
      <c r="AZ104" t="str">
        <f>IF(Migrationsartikel!AE102="ja","true",FALSE)</f>
        <v>true</v>
      </c>
      <c r="BA104" t="str">
        <f>IF(Migrationsartikel!AF102="ja","Denner Partner","")</f>
        <v/>
      </c>
      <c r="BB104" t="str">
        <f>IF(Migrationsartikel!AG102="ja","true","false")</f>
        <v>false</v>
      </c>
      <c r="BC104" t="s">
        <v>1923</v>
      </c>
      <c r="BD104" s="31" t="s">
        <v>235</v>
      </c>
      <c r="BE104" s="31" t="s">
        <v>233</v>
      </c>
    </row>
    <row r="105" spans="2:57" ht="21.75" customHeight="1" x14ac:dyDescent="0.45">
      <c r="B105" t="s">
        <v>115</v>
      </c>
      <c r="E105" s="31" t="s">
        <v>1531</v>
      </c>
      <c r="F105" t="str">
        <f>"Warengruppe&gt;&gt;"&amp;Migrationsartikel!V103&amp;"&gt;&gt;"&amp;Migrationsartikel!W103&amp;"&gt;&gt;"&amp;Migrationsartikel!X103</f>
        <v>Warengruppe&gt;&gt;Frische&gt;&gt;Molkereiprodukte &amp; Eier &gt;&gt;Milchprodukte</v>
      </c>
      <c r="J105" s="31" t="s">
        <v>125</v>
      </c>
      <c r="M105" s="31" t="s">
        <v>137</v>
      </c>
      <c r="P105" s="31">
        <f>Migrationsartikel!B103</f>
        <v>853</v>
      </c>
      <c r="R105" t="str">
        <f>Migrationsartikel!F103&amp;" "&amp;Migrationsartikel!G103&amp;" "&amp;Migrationsartikel!H103</f>
        <v>Jogurt aus der Region 250g</v>
      </c>
      <c r="S105" t="str">
        <f>Migrationsartikel!J103&amp;" "&amp;Migrationsartikel!K103&amp;" "&amp;Migrationsartikel!L103</f>
        <v>Yogourt de la région 250g</v>
      </c>
      <c r="T105" t="str">
        <f>Migrationsartikel!N103&amp;" "&amp;Migrationsartikel!O103&amp;" "&amp;Migrationsartikel!P103</f>
        <v>Yogourt della regione 250g</v>
      </c>
      <c r="U105" t="str">
        <f>Migrationsartikel!F103</f>
        <v>Jogurt</v>
      </c>
      <c r="V105" t="str">
        <f>Migrationsartikel!J103</f>
        <v>Yogourt</v>
      </c>
      <c r="W105" t="str">
        <f>Migrationsartikel!N103</f>
        <v>Yogourt</v>
      </c>
      <c r="X105" t="str">
        <f>Migrationsartikel!G103</f>
        <v>aus der Region</v>
      </c>
      <c r="Y105" t="str">
        <f>Migrationsartikel!K103</f>
        <v>de la région</v>
      </c>
      <c r="Z105" t="str">
        <f>Migrationsartikel!O103</f>
        <v>della regione</v>
      </c>
      <c r="AA105" s="31" t="str">
        <f>Migrationsartikel!H103</f>
        <v>250g</v>
      </c>
      <c r="AB105" s="31" t="str">
        <f>Migrationsartikel!L103</f>
        <v>250g</v>
      </c>
      <c r="AC105" s="31" t="str">
        <f>Migrationsartikel!P103</f>
        <v>250g</v>
      </c>
      <c r="AD105" t="str">
        <f>Migrationsartikel!I103</f>
        <v>Jogurt 250g</v>
      </c>
      <c r="AE105" t="str">
        <f>Migrationsartikel!M103</f>
        <v>Yogourt 250g</v>
      </c>
      <c r="AF105" t="str">
        <f>Migrationsartikel!Q103</f>
        <v>Yogourt 250g</v>
      </c>
      <c r="AG105" s="45">
        <f>Migrationsartikel!R103</f>
        <v>0.25</v>
      </c>
      <c r="AH105" s="46" t="str">
        <f>Migrationsartikel!T103</f>
        <v>Gramm</v>
      </c>
      <c r="AI105" s="46" t="str">
        <f t="shared" si="3"/>
        <v>Gramm</v>
      </c>
      <c r="AJ105" s="46" t="s">
        <v>176</v>
      </c>
      <c r="AK105">
        <f>Migrationsartikel!S103</f>
        <v>100</v>
      </c>
      <c r="AL105">
        <f>Migrationsartikel!S103</f>
        <v>100</v>
      </c>
      <c r="AM105">
        <f>Migrationsartikel!S103</f>
        <v>100</v>
      </c>
      <c r="AN105" t="str">
        <f>Migrationsartikel!U103</f>
        <v>(PCE) Stück</v>
      </c>
      <c r="AO105" t="str">
        <f t="shared" si="4"/>
        <v>(PCE) Pièce</v>
      </c>
      <c r="AP105" t="str">
        <f t="shared" si="5"/>
        <v>(PCE) Pièce</v>
      </c>
      <c r="AQ105" s="31" t="s">
        <v>195</v>
      </c>
      <c r="AR105" s="47"/>
      <c r="AS105" s="47"/>
      <c r="AT105" s="31" t="s">
        <v>208</v>
      </c>
      <c r="AU105" s="47"/>
      <c r="AV105" s="47"/>
      <c r="AW105" t="str">
        <f>IF(Migrationsartikel!AB103="ja","true",FALSE)</f>
        <v>true</v>
      </c>
      <c r="AX105" t="str">
        <f>IF(Migrationsartikel!AC103="ja","true",FALSE)</f>
        <v>true</v>
      </c>
      <c r="AY105" t="str">
        <f>IF(Migrationsartikel!AD103="ja","true",FALSE)</f>
        <v>true</v>
      </c>
      <c r="AZ105" t="str">
        <f>IF(Migrationsartikel!AE103="ja","true",FALSE)</f>
        <v>true</v>
      </c>
      <c r="BA105" t="str">
        <f>IF(Migrationsartikel!AF103="ja","Denner Partner","")</f>
        <v/>
      </c>
      <c r="BB105" t="str">
        <f>IF(Migrationsartikel!AG103="ja","true","false")</f>
        <v>false</v>
      </c>
      <c r="BC105" t="s">
        <v>1923</v>
      </c>
      <c r="BD105" s="31" t="s">
        <v>235</v>
      </c>
      <c r="BE105" s="31" t="s">
        <v>233</v>
      </c>
    </row>
    <row r="106" spans="2:57" ht="21.75" customHeight="1" x14ac:dyDescent="0.45">
      <c r="B106" t="s">
        <v>115</v>
      </c>
      <c r="E106" s="31" t="s">
        <v>1532</v>
      </c>
      <c r="F106" t="str">
        <f>"Warengruppe&gt;&gt;"&amp;Migrationsartikel!V104&amp;"&gt;&gt;"&amp;Migrationsartikel!W104&amp;"&gt;&gt;"&amp;Migrationsartikel!X104</f>
        <v>Warengruppe&gt;&gt;Frische&gt;&gt;Molkereiprodukte &amp; Eier &gt;&gt;Milchprodukte</v>
      </c>
      <c r="J106" s="31" t="s">
        <v>125</v>
      </c>
      <c r="M106" s="31" t="s">
        <v>137</v>
      </c>
      <c r="P106" s="31">
        <f>Migrationsartikel!B104</f>
        <v>854</v>
      </c>
      <c r="R106" t="str">
        <f>Migrationsartikel!F104&amp;" "&amp;Migrationsartikel!G104&amp;" "&amp;Migrationsartikel!H104</f>
        <v>Jogurt aus der Region 400g</v>
      </c>
      <c r="S106" t="str">
        <f>Migrationsartikel!J104&amp;" "&amp;Migrationsartikel!K104&amp;" "&amp;Migrationsartikel!L104</f>
        <v>Yogourt de la région 400g</v>
      </c>
      <c r="T106" t="str">
        <f>Migrationsartikel!N104&amp;" "&amp;Migrationsartikel!O104&amp;" "&amp;Migrationsartikel!P104</f>
        <v>Yogourt della regione 400g</v>
      </c>
      <c r="U106" t="str">
        <f>Migrationsartikel!F104</f>
        <v>Jogurt</v>
      </c>
      <c r="V106" t="str">
        <f>Migrationsartikel!J104</f>
        <v>Yogourt</v>
      </c>
      <c r="W106" t="str">
        <f>Migrationsartikel!N104</f>
        <v>Yogourt</v>
      </c>
      <c r="X106" t="str">
        <f>Migrationsartikel!G104</f>
        <v>aus der Region</v>
      </c>
      <c r="Y106" t="str">
        <f>Migrationsartikel!K104</f>
        <v>de la région</v>
      </c>
      <c r="Z106" t="str">
        <f>Migrationsartikel!O104</f>
        <v>della regione</v>
      </c>
      <c r="AA106" s="31" t="str">
        <f>Migrationsartikel!H104</f>
        <v>400g</v>
      </c>
      <c r="AB106" s="31" t="str">
        <f>Migrationsartikel!L104</f>
        <v>400g</v>
      </c>
      <c r="AC106" s="31" t="str">
        <f>Migrationsartikel!P104</f>
        <v>400g</v>
      </c>
      <c r="AD106" t="str">
        <f>Migrationsartikel!I104</f>
        <v>Jogurt 400g</v>
      </c>
      <c r="AE106" t="str">
        <f>Migrationsartikel!M104</f>
        <v>Yogourt 400g</v>
      </c>
      <c r="AF106" t="str">
        <f>Migrationsartikel!Q104</f>
        <v>Yogourt 400g</v>
      </c>
      <c r="AG106" s="45">
        <f>Migrationsartikel!R104</f>
        <v>0.4</v>
      </c>
      <c r="AH106" s="46" t="str">
        <f>Migrationsartikel!T104</f>
        <v>Gramm</v>
      </c>
      <c r="AI106" s="46" t="str">
        <f t="shared" si="3"/>
        <v>Gramm</v>
      </c>
      <c r="AJ106" s="46" t="s">
        <v>176</v>
      </c>
      <c r="AK106">
        <f>Migrationsartikel!S104</f>
        <v>100</v>
      </c>
      <c r="AL106">
        <f>Migrationsartikel!S104</f>
        <v>100</v>
      </c>
      <c r="AM106">
        <f>Migrationsartikel!S104</f>
        <v>100</v>
      </c>
      <c r="AN106" t="str">
        <f>Migrationsartikel!U104</f>
        <v>(PCE) Stück</v>
      </c>
      <c r="AO106" t="str">
        <f t="shared" si="4"/>
        <v>(PCE) Pièce</v>
      </c>
      <c r="AP106" t="str">
        <f t="shared" si="5"/>
        <v>(PCE) Pièce</v>
      </c>
      <c r="AQ106" s="31" t="s">
        <v>195</v>
      </c>
      <c r="AR106" s="47"/>
      <c r="AS106" s="47"/>
      <c r="AT106" s="31" t="s">
        <v>208</v>
      </c>
      <c r="AU106" s="47"/>
      <c r="AV106" s="47"/>
      <c r="AW106" t="str">
        <f>IF(Migrationsartikel!AB104="ja","true",FALSE)</f>
        <v>true</v>
      </c>
      <c r="AX106" t="str">
        <f>IF(Migrationsartikel!AC104="ja","true",FALSE)</f>
        <v>true</v>
      </c>
      <c r="AY106" t="str">
        <f>IF(Migrationsartikel!AD104="ja","true",FALSE)</f>
        <v>true</v>
      </c>
      <c r="AZ106" t="str">
        <f>IF(Migrationsartikel!AE104="ja","true",FALSE)</f>
        <v>true</v>
      </c>
      <c r="BA106" t="str">
        <f>IF(Migrationsartikel!AF104="ja","Denner Partner","")</f>
        <v/>
      </c>
      <c r="BB106" t="str">
        <f>IF(Migrationsartikel!AG104="ja","true","false")</f>
        <v>false</v>
      </c>
      <c r="BC106" t="s">
        <v>1923</v>
      </c>
      <c r="BD106" s="31" t="s">
        <v>235</v>
      </c>
      <c r="BE106" s="31" t="s">
        <v>233</v>
      </c>
    </row>
    <row r="107" spans="2:57" ht="21.75" customHeight="1" x14ac:dyDescent="0.45">
      <c r="B107" t="s">
        <v>115</v>
      </c>
      <c r="E107" s="31" t="s">
        <v>1533</v>
      </c>
      <c r="F107" t="str">
        <f>"Warengruppe&gt;&gt;"&amp;Migrationsartikel!V105&amp;"&gt;&gt;"&amp;Migrationsartikel!W105&amp;"&gt;&gt;"&amp;Migrationsartikel!X105</f>
        <v>Warengruppe&gt;&gt;Frische&gt;&gt;Molkereiprodukte &amp; Eier &gt;&gt;Milchprodukte</v>
      </c>
      <c r="J107" s="31" t="s">
        <v>125</v>
      </c>
      <c r="M107" s="31" t="s">
        <v>137</v>
      </c>
      <c r="P107" s="31">
        <f>Migrationsartikel!B105</f>
        <v>855</v>
      </c>
      <c r="R107" t="str">
        <f>Migrationsartikel!F105&amp;" "&amp;Migrationsartikel!G105&amp;" "&amp;Migrationsartikel!H105</f>
        <v>Jogurt aus der Region 500g</v>
      </c>
      <c r="S107" t="str">
        <f>Migrationsartikel!J105&amp;" "&amp;Migrationsartikel!K105&amp;" "&amp;Migrationsartikel!L105</f>
        <v>Yogourt de la région 500g</v>
      </c>
      <c r="T107" t="str">
        <f>Migrationsartikel!N105&amp;" "&amp;Migrationsartikel!O105&amp;" "&amp;Migrationsartikel!P105</f>
        <v>Yogourt della regione 500g</v>
      </c>
      <c r="U107" t="str">
        <f>Migrationsartikel!F105</f>
        <v>Jogurt</v>
      </c>
      <c r="V107" t="str">
        <f>Migrationsartikel!J105</f>
        <v>Yogourt</v>
      </c>
      <c r="W107" t="str">
        <f>Migrationsartikel!N105</f>
        <v>Yogourt</v>
      </c>
      <c r="X107" t="str">
        <f>Migrationsartikel!G105</f>
        <v>aus der Region</v>
      </c>
      <c r="Y107" t="str">
        <f>Migrationsartikel!K105</f>
        <v>de la région</v>
      </c>
      <c r="Z107" t="str">
        <f>Migrationsartikel!O105</f>
        <v>della regione</v>
      </c>
      <c r="AA107" s="31" t="str">
        <f>Migrationsartikel!H105</f>
        <v>500g</v>
      </c>
      <c r="AB107" s="31" t="str">
        <f>Migrationsartikel!L105</f>
        <v>500g</v>
      </c>
      <c r="AC107" s="31" t="str">
        <f>Migrationsartikel!P105</f>
        <v>500g</v>
      </c>
      <c r="AD107" t="str">
        <f>Migrationsartikel!I105</f>
        <v>Jogurt 500g</v>
      </c>
      <c r="AE107" t="str">
        <f>Migrationsartikel!M105</f>
        <v>Yogourt 500g</v>
      </c>
      <c r="AF107" t="str">
        <f>Migrationsartikel!Q105</f>
        <v>Yogourt 500g</v>
      </c>
      <c r="AG107" s="45">
        <f>Migrationsartikel!R105</f>
        <v>0.5</v>
      </c>
      <c r="AH107" s="46" t="str">
        <f>Migrationsartikel!T105</f>
        <v>Gramm</v>
      </c>
      <c r="AI107" s="46" t="str">
        <f t="shared" si="3"/>
        <v>Gramm</v>
      </c>
      <c r="AJ107" s="46" t="s">
        <v>176</v>
      </c>
      <c r="AK107">
        <f>Migrationsartikel!S105</f>
        <v>100</v>
      </c>
      <c r="AL107">
        <f>Migrationsartikel!S105</f>
        <v>100</v>
      </c>
      <c r="AM107">
        <f>Migrationsartikel!S105</f>
        <v>100</v>
      </c>
      <c r="AN107" t="str">
        <f>Migrationsartikel!U105</f>
        <v>(PCE) Stück</v>
      </c>
      <c r="AO107" t="str">
        <f t="shared" si="4"/>
        <v>(PCE) Pièce</v>
      </c>
      <c r="AP107" t="str">
        <f t="shared" si="5"/>
        <v>(PCE) Pièce</v>
      </c>
      <c r="AQ107" s="31" t="s">
        <v>195</v>
      </c>
      <c r="AR107" s="47"/>
      <c r="AS107" s="47"/>
      <c r="AT107" s="31" t="s">
        <v>208</v>
      </c>
      <c r="AU107" s="47"/>
      <c r="AV107" s="47"/>
      <c r="AW107" t="str">
        <f>IF(Migrationsartikel!AB105="ja","true",FALSE)</f>
        <v>true</v>
      </c>
      <c r="AX107" t="str">
        <f>IF(Migrationsartikel!AC105="ja","true",FALSE)</f>
        <v>true</v>
      </c>
      <c r="AY107" t="str">
        <f>IF(Migrationsartikel!AD105="ja","true",FALSE)</f>
        <v>true</v>
      </c>
      <c r="AZ107" t="str">
        <f>IF(Migrationsartikel!AE105="ja","true",FALSE)</f>
        <v>true</v>
      </c>
      <c r="BA107" t="str">
        <f>IF(Migrationsartikel!AF105="ja","Denner Partner","")</f>
        <v/>
      </c>
      <c r="BB107" t="str">
        <f>IF(Migrationsartikel!AG105="ja","true","false")</f>
        <v>false</v>
      </c>
      <c r="BC107" t="s">
        <v>1923</v>
      </c>
      <c r="BD107" s="31" t="s">
        <v>235</v>
      </c>
      <c r="BE107" s="31" t="s">
        <v>233</v>
      </c>
    </row>
    <row r="108" spans="2:57" ht="21.75" customHeight="1" x14ac:dyDescent="0.45">
      <c r="B108" t="s">
        <v>115</v>
      </c>
      <c r="E108" s="31" t="s">
        <v>1534</v>
      </c>
      <c r="F108" t="str">
        <f>"Warengruppe&gt;&gt;"&amp;Migrationsartikel!V106&amp;"&gt;&gt;"&amp;Migrationsartikel!W106&amp;"&gt;&gt;"&amp;Migrationsartikel!X106</f>
        <v>Warengruppe&gt;&gt;Frische&gt;&gt;Molkereiprodukte &amp; Eier &gt;&gt;Milchprodukte</v>
      </c>
      <c r="J108" s="31" t="s">
        <v>125</v>
      </c>
      <c r="M108" s="31" t="s">
        <v>137</v>
      </c>
      <c r="P108" s="31">
        <f>Migrationsartikel!B106</f>
        <v>856</v>
      </c>
      <c r="R108" t="str">
        <f>Migrationsartikel!F106&amp;" "&amp;Migrationsartikel!G106&amp;" "&amp;Migrationsartikel!H106</f>
        <v>Kräuterbutter  aus der Region 40g</v>
      </c>
      <c r="S108" t="str">
        <f>Migrationsartikel!J106&amp;" "&amp;Migrationsartikel!K106&amp;" "&amp;Migrationsartikel!L106</f>
        <v>Beurre aux herbes de la région 40g</v>
      </c>
      <c r="T108" t="str">
        <f>Migrationsartikel!N106&amp;" "&amp;Migrationsartikel!O106&amp;" "&amp;Migrationsartikel!P106</f>
        <v>Burro alle erbe della regione 40g</v>
      </c>
      <c r="U108" t="str">
        <f>Migrationsartikel!F106</f>
        <v xml:space="preserve">Kräuterbutter </v>
      </c>
      <c r="V108" t="str">
        <f>Migrationsartikel!J106</f>
        <v>Beurre aux herbes</v>
      </c>
      <c r="W108" t="str">
        <f>Migrationsartikel!N106</f>
        <v>Burro alle erbe</v>
      </c>
      <c r="X108" t="str">
        <f>Migrationsartikel!G106</f>
        <v>aus der Region</v>
      </c>
      <c r="Y108" t="str">
        <f>Migrationsartikel!K106</f>
        <v>de la région</v>
      </c>
      <c r="Z108" t="str">
        <f>Migrationsartikel!O106</f>
        <v>della regione</v>
      </c>
      <c r="AA108" s="31" t="str">
        <f>Migrationsartikel!H106</f>
        <v>40g</v>
      </c>
      <c r="AB108" s="31" t="str">
        <f>Migrationsartikel!L106</f>
        <v>40g</v>
      </c>
      <c r="AC108" s="31" t="str">
        <f>Migrationsartikel!P106</f>
        <v>40g</v>
      </c>
      <c r="AD108" t="str">
        <f>Migrationsartikel!I106</f>
        <v>Kräuterbutter 40g</v>
      </c>
      <c r="AE108" t="str">
        <f>Migrationsartikel!M106</f>
        <v>Beurre aux herbes 40g</v>
      </c>
      <c r="AF108" t="str">
        <f>Migrationsartikel!Q106</f>
        <v>Burro alle erbe 40g</v>
      </c>
      <c r="AG108" s="45">
        <f>Migrationsartikel!R106</f>
        <v>0.04</v>
      </c>
      <c r="AH108" s="46" t="str">
        <f>Migrationsartikel!T106</f>
        <v>Gramm</v>
      </c>
      <c r="AI108" s="46" t="str">
        <f t="shared" si="3"/>
        <v>Gramm</v>
      </c>
      <c r="AJ108" s="46" t="s">
        <v>176</v>
      </c>
      <c r="AK108">
        <f>Migrationsartikel!S106</f>
        <v>100</v>
      </c>
      <c r="AL108">
        <f>Migrationsartikel!S106</f>
        <v>100</v>
      </c>
      <c r="AM108">
        <f>Migrationsartikel!S106</f>
        <v>100</v>
      </c>
      <c r="AN108" t="str">
        <f>Migrationsartikel!U106</f>
        <v>(PCE) Stück</v>
      </c>
      <c r="AO108" t="str">
        <f t="shared" si="4"/>
        <v>(PCE) Pièce</v>
      </c>
      <c r="AP108" t="str">
        <f t="shared" si="5"/>
        <v>(PCE) Pièce</v>
      </c>
      <c r="AQ108" s="31" t="s">
        <v>195</v>
      </c>
      <c r="AR108" s="47"/>
      <c r="AS108" s="47"/>
      <c r="AT108" s="31" t="s">
        <v>208</v>
      </c>
      <c r="AU108" s="47"/>
      <c r="AV108" s="47"/>
      <c r="AW108" t="str">
        <f>IF(Migrationsartikel!AB106="ja","true",FALSE)</f>
        <v>true</v>
      </c>
      <c r="AX108" t="str">
        <f>IF(Migrationsartikel!AC106="ja","true",FALSE)</f>
        <v>true</v>
      </c>
      <c r="AY108" t="str">
        <f>IF(Migrationsartikel!AD106="ja","true",FALSE)</f>
        <v>true</v>
      </c>
      <c r="AZ108" t="str">
        <f>IF(Migrationsartikel!AE106="ja","true",FALSE)</f>
        <v>true</v>
      </c>
      <c r="BA108" t="str">
        <f>IF(Migrationsartikel!AF106="ja","Denner Partner","")</f>
        <v/>
      </c>
      <c r="BB108" t="str">
        <f>IF(Migrationsartikel!AG106="ja","true","false")</f>
        <v>false</v>
      </c>
      <c r="BC108" t="s">
        <v>1923</v>
      </c>
      <c r="BD108" s="31" t="s">
        <v>235</v>
      </c>
      <c r="BE108" s="31" t="s">
        <v>233</v>
      </c>
    </row>
    <row r="109" spans="2:57" ht="21.75" customHeight="1" x14ac:dyDescent="0.45">
      <c r="B109" t="s">
        <v>115</v>
      </c>
      <c r="E109" s="31" t="s">
        <v>1535</v>
      </c>
      <c r="F109" t="str">
        <f>"Warengruppe&gt;&gt;"&amp;Migrationsartikel!V107&amp;"&gt;&gt;"&amp;Migrationsartikel!W107&amp;"&gt;&gt;"&amp;Migrationsartikel!X107</f>
        <v>Warengruppe&gt;&gt;Frische&gt;&gt;Molkereiprodukte &amp; Eier &gt;&gt;Milchprodukte</v>
      </c>
      <c r="J109" s="31" t="s">
        <v>125</v>
      </c>
      <c r="M109" s="31" t="s">
        <v>137</v>
      </c>
      <c r="P109" s="31">
        <f>Migrationsartikel!B107</f>
        <v>857</v>
      </c>
      <c r="R109" t="str">
        <f>Migrationsartikel!F107&amp;" "&amp;Migrationsartikel!G107&amp;" "&amp;Migrationsartikel!H107</f>
        <v>Kräuterbutter  aus der Region 60g</v>
      </c>
      <c r="S109" t="str">
        <f>Migrationsartikel!J107&amp;" "&amp;Migrationsartikel!K107&amp;" "&amp;Migrationsartikel!L107</f>
        <v>Beurre aux herbes de la région 60g</v>
      </c>
      <c r="T109" t="str">
        <f>Migrationsartikel!N107&amp;" "&amp;Migrationsartikel!O107&amp;" "&amp;Migrationsartikel!P107</f>
        <v>Burro alle erbe della regione 60g</v>
      </c>
      <c r="U109" t="str">
        <f>Migrationsartikel!F107</f>
        <v xml:space="preserve">Kräuterbutter </v>
      </c>
      <c r="V109" t="str">
        <f>Migrationsartikel!J107</f>
        <v>Beurre aux herbes</v>
      </c>
      <c r="W109" t="str">
        <f>Migrationsartikel!N107</f>
        <v>Burro alle erbe</v>
      </c>
      <c r="X109" t="str">
        <f>Migrationsartikel!G107</f>
        <v>aus der Region</v>
      </c>
      <c r="Y109" t="str">
        <f>Migrationsartikel!K107</f>
        <v>de la région</v>
      </c>
      <c r="Z109" t="str">
        <f>Migrationsartikel!O107</f>
        <v>della regione</v>
      </c>
      <c r="AA109" s="31" t="str">
        <f>Migrationsartikel!H107</f>
        <v>60g</v>
      </c>
      <c r="AB109" s="31" t="str">
        <f>Migrationsartikel!L107</f>
        <v>60g</v>
      </c>
      <c r="AC109" s="31" t="str">
        <f>Migrationsartikel!P107</f>
        <v>60g</v>
      </c>
      <c r="AD109" t="str">
        <f>Migrationsartikel!I107</f>
        <v>Kräuterbutter 60g</v>
      </c>
      <c r="AE109" t="str">
        <f>Migrationsartikel!M107</f>
        <v>Beurre aux herbes 60g</v>
      </c>
      <c r="AF109" t="str">
        <f>Migrationsartikel!Q107</f>
        <v>Burro alle erbe 60g</v>
      </c>
      <c r="AG109" s="45">
        <f>Migrationsartikel!R107</f>
        <v>0.06</v>
      </c>
      <c r="AH109" s="46" t="str">
        <f>Migrationsartikel!T107</f>
        <v>Gramm</v>
      </c>
      <c r="AI109" s="46" t="str">
        <f t="shared" si="3"/>
        <v>Gramm</v>
      </c>
      <c r="AJ109" s="46" t="s">
        <v>176</v>
      </c>
      <c r="AK109">
        <f>Migrationsartikel!S107</f>
        <v>100</v>
      </c>
      <c r="AL109">
        <f>Migrationsartikel!S107</f>
        <v>100</v>
      </c>
      <c r="AM109">
        <f>Migrationsartikel!S107</f>
        <v>100</v>
      </c>
      <c r="AN109" t="str">
        <f>Migrationsartikel!U107</f>
        <v>(PCE) Stück</v>
      </c>
      <c r="AO109" t="str">
        <f t="shared" si="4"/>
        <v>(PCE) Pièce</v>
      </c>
      <c r="AP109" t="str">
        <f t="shared" si="5"/>
        <v>(PCE) Pièce</v>
      </c>
      <c r="AQ109" s="31" t="s">
        <v>195</v>
      </c>
      <c r="AR109" s="47"/>
      <c r="AS109" s="47"/>
      <c r="AT109" s="31" t="s">
        <v>208</v>
      </c>
      <c r="AU109" s="47"/>
      <c r="AV109" s="47"/>
      <c r="AW109" t="str">
        <f>IF(Migrationsartikel!AB107="ja","true",FALSE)</f>
        <v>true</v>
      </c>
      <c r="AX109" t="str">
        <f>IF(Migrationsartikel!AC107="ja","true",FALSE)</f>
        <v>true</v>
      </c>
      <c r="AY109" t="str">
        <f>IF(Migrationsartikel!AD107="ja","true",FALSE)</f>
        <v>true</v>
      </c>
      <c r="AZ109" t="str">
        <f>IF(Migrationsartikel!AE107="ja","true",FALSE)</f>
        <v>true</v>
      </c>
      <c r="BA109" t="str">
        <f>IF(Migrationsartikel!AF107="ja","Denner Partner","")</f>
        <v/>
      </c>
      <c r="BB109" t="str">
        <f>IF(Migrationsartikel!AG107="ja","true","false")</f>
        <v>false</v>
      </c>
      <c r="BC109" t="s">
        <v>1923</v>
      </c>
      <c r="BD109" s="31" t="s">
        <v>235</v>
      </c>
      <c r="BE109" s="31" t="s">
        <v>233</v>
      </c>
    </row>
    <row r="110" spans="2:57" ht="21.75" customHeight="1" x14ac:dyDescent="0.45">
      <c r="B110" t="s">
        <v>115</v>
      </c>
      <c r="E110" s="31" t="s">
        <v>1536</v>
      </c>
      <c r="F110" t="str">
        <f>"Warengruppe&gt;&gt;"&amp;Migrationsartikel!V108&amp;"&gt;&gt;"&amp;Migrationsartikel!W108&amp;"&gt;&gt;"&amp;Migrationsartikel!X108</f>
        <v>Warengruppe&gt;&gt;Frische&gt;&gt;Molkereiprodukte &amp; Eier &gt;&gt;Milchprodukte</v>
      </c>
      <c r="J110" s="31" t="s">
        <v>125</v>
      </c>
      <c r="M110" s="31" t="s">
        <v>137</v>
      </c>
      <c r="P110" s="31">
        <f>Migrationsartikel!B108</f>
        <v>858</v>
      </c>
      <c r="R110" t="str">
        <f>Migrationsartikel!F108&amp;" "&amp;Migrationsartikel!G108&amp;" "&amp;Migrationsartikel!H108</f>
        <v>Kräuterbutter  aus der Region 100g</v>
      </c>
      <c r="S110" t="str">
        <f>Migrationsartikel!J108&amp;" "&amp;Migrationsartikel!K108&amp;" "&amp;Migrationsartikel!L108</f>
        <v>Beurre aux herbes de la région 100g</v>
      </c>
      <c r="T110" t="str">
        <f>Migrationsartikel!N108&amp;" "&amp;Migrationsartikel!O108&amp;" "&amp;Migrationsartikel!P108</f>
        <v>Burro alle erbe della regione 100g</v>
      </c>
      <c r="U110" t="str">
        <f>Migrationsartikel!F108</f>
        <v xml:space="preserve">Kräuterbutter </v>
      </c>
      <c r="V110" t="str">
        <f>Migrationsartikel!J108</f>
        <v>Beurre aux herbes</v>
      </c>
      <c r="W110" t="str">
        <f>Migrationsartikel!N108</f>
        <v>Burro alle erbe</v>
      </c>
      <c r="X110" t="str">
        <f>Migrationsartikel!G108</f>
        <v>aus der Region</v>
      </c>
      <c r="Y110" t="str">
        <f>Migrationsartikel!K108</f>
        <v>de la région</v>
      </c>
      <c r="Z110" t="str">
        <f>Migrationsartikel!O108</f>
        <v>della regione</v>
      </c>
      <c r="AA110" s="31" t="str">
        <f>Migrationsartikel!H108</f>
        <v>100g</v>
      </c>
      <c r="AB110" s="31" t="str">
        <f>Migrationsartikel!L108</f>
        <v>100g</v>
      </c>
      <c r="AC110" s="31" t="str">
        <f>Migrationsartikel!P108</f>
        <v>100g</v>
      </c>
      <c r="AD110" t="str">
        <f>Migrationsartikel!I108</f>
        <v>Kräuterbutter 100g</v>
      </c>
      <c r="AE110" t="str">
        <f>Migrationsartikel!M108</f>
        <v>Beurre aux herbes 100g</v>
      </c>
      <c r="AF110" t="str">
        <f>Migrationsartikel!Q108</f>
        <v>Burro alle erbe 100g</v>
      </c>
      <c r="AG110" s="45">
        <f>Migrationsartikel!R108</f>
        <v>0.1</v>
      </c>
      <c r="AH110" s="46" t="str">
        <f>Migrationsartikel!T108</f>
        <v>Gramm</v>
      </c>
      <c r="AI110" s="46" t="str">
        <f t="shared" si="3"/>
        <v>Gramm</v>
      </c>
      <c r="AJ110" s="46" t="s">
        <v>176</v>
      </c>
      <c r="AK110">
        <f>Migrationsartikel!S108</f>
        <v>100</v>
      </c>
      <c r="AL110">
        <f>Migrationsartikel!S108</f>
        <v>100</v>
      </c>
      <c r="AM110">
        <f>Migrationsartikel!S108</f>
        <v>100</v>
      </c>
      <c r="AN110" t="str">
        <f>Migrationsartikel!U108</f>
        <v>(PCE) Stück</v>
      </c>
      <c r="AO110" t="str">
        <f t="shared" si="4"/>
        <v>(PCE) Pièce</v>
      </c>
      <c r="AP110" t="str">
        <f t="shared" si="5"/>
        <v>(PCE) Pièce</v>
      </c>
      <c r="AQ110" s="31" t="s">
        <v>195</v>
      </c>
      <c r="AR110" s="47"/>
      <c r="AS110" s="47"/>
      <c r="AT110" s="31" t="s">
        <v>208</v>
      </c>
      <c r="AU110" s="47"/>
      <c r="AV110" s="47"/>
      <c r="AW110" t="str">
        <f>IF(Migrationsartikel!AB108="ja","true",FALSE)</f>
        <v>true</v>
      </c>
      <c r="AX110" t="str">
        <f>IF(Migrationsartikel!AC108="ja","true",FALSE)</f>
        <v>true</v>
      </c>
      <c r="AY110" t="str">
        <f>IF(Migrationsartikel!AD108="ja","true",FALSE)</f>
        <v>true</v>
      </c>
      <c r="AZ110" t="str">
        <f>IF(Migrationsartikel!AE108="ja","true",FALSE)</f>
        <v>true</v>
      </c>
      <c r="BA110" t="str">
        <f>IF(Migrationsartikel!AF108="ja","Denner Partner","")</f>
        <v/>
      </c>
      <c r="BB110" t="str">
        <f>IF(Migrationsartikel!AG108="ja","true","false")</f>
        <v>false</v>
      </c>
      <c r="BC110" t="s">
        <v>1923</v>
      </c>
      <c r="BD110" s="31" t="s">
        <v>235</v>
      </c>
      <c r="BE110" s="31" t="s">
        <v>233</v>
      </c>
    </row>
    <row r="111" spans="2:57" ht="21.75" customHeight="1" x14ac:dyDescent="0.45">
      <c r="B111" t="s">
        <v>115</v>
      </c>
      <c r="E111" s="31" t="s">
        <v>1537</v>
      </c>
      <c r="F111" t="str">
        <f>"Warengruppe&gt;&gt;"&amp;Migrationsartikel!V109&amp;"&gt;&gt;"&amp;Migrationsartikel!W109&amp;"&gt;&gt;"&amp;Migrationsartikel!X109</f>
        <v>Warengruppe&gt;&gt;Frische&gt;&gt;Molkereiprodukte &amp; Eier &gt;&gt;Milchprodukte</v>
      </c>
      <c r="J111" s="31" t="s">
        <v>125</v>
      </c>
      <c r="M111" s="31" t="s">
        <v>137</v>
      </c>
      <c r="P111" s="31">
        <f>Migrationsartikel!B109</f>
        <v>859</v>
      </c>
      <c r="R111" t="str">
        <f>Migrationsartikel!F109&amp;" "&amp;Migrationsartikel!G109&amp;" "&amp;Migrationsartikel!H109</f>
        <v>Molki Spezialitäten aus der Region 1Stk</v>
      </c>
      <c r="S111" t="str">
        <f>Migrationsartikel!J109&amp;" "&amp;Migrationsartikel!K109&amp;" "&amp;Migrationsartikel!L109</f>
        <v>Spécialités laiterie de la région 1pce</v>
      </c>
      <c r="T111" t="str">
        <f>Migrationsartikel!N109&amp;" "&amp;Migrationsartikel!O109&amp;" "&amp;Migrationsartikel!P109</f>
        <v>Specialità di latteria della regione 1pz</v>
      </c>
      <c r="U111" t="str">
        <f>Migrationsartikel!F109</f>
        <v>Molki Spezialitäten</v>
      </c>
      <c r="V111" t="str">
        <f>Migrationsartikel!J109</f>
        <v>Spécialités laiterie</v>
      </c>
      <c r="W111" t="str">
        <f>Migrationsartikel!N109</f>
        <v>Specialità di latteria</v>
      </c>
      <c r="X111" t="str">
        <f>Migrationsartikel!G109</f>
        <v>aus der Region</v>
      </c>
      <c r="Y111" t="str">
        <f>Migrationsartikel!K109</f>
        <v>de la région</v>
      </c>
      <c r="Z111" t="str">
        <f>Migrationsartikel!O109</f>
        <v>della regione</v>
      </c>
      <c r="AA111" s="31" t="str">
        <f>Migrationsartikel!H109</f>
        <v>1Stk</v>
      </c>
      <c r="AB111" s="31" t="str">
        <f>Migrationsartikel!L109</f>
        <v>1pce</v>
      </c>
      <c r="AC111" s="31" t="str">
        <f>Migrationsartikel!P109</f>
        <v>1pz</v>
      </c>
      <c r="AD111" t="str">
        <f>Migrationsartikel!I109</f>
        <v>Molki Spezialitäten</v>
      </c>
      <c r="AE111" t="str">
        <f>Migrationsartikel!M109</f>
        <v>Spécialités laiterie</v>
      </c>
      <c r="AF111" t="str">
        <f>Migrationsartikel!Q109</f>
        <v>Specialità di latteria</v>
      </c>
      <c r="AG111" s="45">
        <f>Migrationsartikel!R109</f>
        <v>1</v>
      </c>
      <c r="AH111" s="46" t="str">
        <f>Migrationsartikel!T109</f>
        <v>Stück</v>
      </c>
      <c r="AI111" s="46" t="str">
        <f t="shared" si="3"/>
        <v>7</v>
      </c>
      <c r="AJ111" s="46" t="s">
        <v>176</v>
      </c>
      <c r="AK111">
        <f>Migrationsartikel!S109</f>
        <v>1</v>
      </c>
      <c r="AL111">
        <f>Migrationsartikel!S109</f>
        <v>1</v>
      </c>
      <c r="AM111">
        <f>Migrationsartikel!S109</f>
        <v>1</v>
      </c>
      <c r="AN111" t="str">
        <f>Migrationsartikel!U109</f>
        <v>(PCE) Stück</v>
      </c>
      <c r="AO111" t="str">
        <f t="shared" si="4"/>
        <v>(PCE) Pièce</v>
      </c>
      <c r="AP111" t="str">
        <f t="shared" si="5"/>
        <v>(PCE) Pièce</v>
      </c>
      <c r="AQ111" s="31" t="s">
        <v>195</v>
      </c>
      <c r="AR111" s="47"/>
      <c r="AS111" s="47"/>
      <c r="AT111" s="31" t="s">
        <v>208</v>
      </c>
      <c r="AU111" s="47"/>
      <c r="AV111" s="47"/>
      <c r="AW111" t="str">
        <f>IF(Migrationsartikel!AB109="ja","true",FALSE)</f>
        <v>true</v>
      </c>
      <c r="AX111" t="str">
        <f>IF(Migrationsartikel!AC109="ja","true",FALSE)</f>
        <v>true</v>
      </c>
      <c r="AY111" t="str">
        <f>IF(Migrationsartikel!AD109="ja","true",FALSE)</f>
        <v>true</v>
      </c>
      <c r="AZ111" t="str">
        <f>IF(Migrationsartikel!AE109="ja","true",FALSE)</f>
        <v>true</v>
      </c>
      <c r="BA111" t="str">
        <f>IF(Migrationsartikel!AF109="ja","Denner Partner","")</f>
        <v/>
      </c>
      <c r="BB111" t="str">
        <f>IF(Migrationsartikel!AG109="ja","true","false")</f>
        <v>false</v>
      </c>
      <c r="BC111" t="s">
        <v>1923</v>
      </c>
      <c r="BD111" s="31" t="s">
        <v>235</v>
      </c>
      <c r="BE111" s="31" t="s">
        <v>233</v>
      </c>
    </row>
    <row r="112" spans="2:57" ht="21.75" customHeight="1" x14ac:dyDescent="0.45">
      <c r="B112" t="s">
        <v>115</v>
      </c>
      <c r="E112" s="31" t="s">
        <v>1538</v>
      </c>
      <c r="F112" t="str">
        <f>"Warengruppe&gt;&gt;"&amp;Migrationsartikel!V110&amp;"&gt;&gt;"&amp;Migrationsartikel!W110&amp;"&gt;&gt;"&amp;Migrationsartikel!X110</f>
        <v>Warengruppe&gt;&gt;Frische&gt;&gt;SB - Fleisch&gt;&gt;SB - Fleisch andere</v>
      </c>
      <c r="J112" s="31" t="s">
        <v>125</v>
      </c>
      <c r="M112" s="31" t="s">
        <v>137</v>
      </c>
      <c r="P112" s="31">
        <f>Migrationsartikel!B110</f>
        <v>860</v>
      </c>
      <c r="R112" t="str">
        <f>Migrationsartikel!F110&amp;" "&amp;Migrationsartikel!G110&amp;" "&amp;Migrationsartikel!H110</f>
        <v>Fleischtheke aus der Region 1Stk</v>
      </c>
      <c r="S112" t="str">
        <f>Migrationsartikel!J110&amp;" "&amp;Migrationsartikel!K110&amp;" "&amp;Migrationsartikel!L110</f>
        <v>Boucherie  de la région 1pce</v>
      </c>
      <c r="T112" t="str">
        <f>Migrationsartikel!N110&amp;" "&amp;Migrationsartikel!O110&amp;" "&amp;Migrationsartikel!P110</f>
        <v>Banco carni  della regione 1pz</v>
      </c>
      <c r="U112" t="str">
        <f>Migrationsartikel!F110</f>
        <v>Fleischtheke</v>
      </c>
      <c r="V112" t="str">
        <f>Migrationsartikel!J110</f>
        <v xml:space="preserve">Boucherie </v>
      </c>
      <c r="W112" t="str">
        <f>Migrationsartikel!N110</f>
        <v xml:space="preserve">Banco carni </v>
      </c>
      <c r="X112" t="str">
        <f>Migrationsartikel!G110</f>
        <v>aus der Region</v>
      </c>
      <c r="Y112" t="str">
        <f>Migrationsartikel!K110</f>
        <v>de la région</v>
      </c>
      <c r="Z112" t="str">
        <f>Migrationsartikel!O110</f>
        <v>della regione</v>
      </c>
      <c r="AA112" s="31" t="str">
        <f>Migrationsartikel!H110</f>
        <v>1Stk</v>
      </c>
      <c r="AB112" s="31" t="str">
        <f>Migrationsartikel!L110</f>
        <v>1pce</v>
      </c>
      <c r="AC112" s="31" t="str">
        <f>Migrationsartikel!P110</f>
        <v>1pz</v>
      </c>
      <c r="AD112" t="str">
        <f>Migrationsartikel!I110</f>
        <v>Fleischtheke</v>
      </c>
      <c r="AE112" t="str">
        <f>Migrationsartikel!M110</f>
        <v xml:space="preserve">Boucherie </v>
      </c>
      <c r="AF112" t="str">
        <f>Migrationsartikel!Q110</f>
        <v xml:space="preserve">Banco carni </v>
      </c>
      <c r="AG112" s="45">
        <f>Migrationsartikel!R110</f>
        <v>1</v>
      </c>
      <c r="AH112" s="46" t="str">
        <f>Migrationsartikel!T110</f>
        <v>Stück</v>
      </c>
      <c r="AI112" s="46" t="str">
        <f t="shared" si="3"/>
        <v>7</v>
      </c>
      <c r="AJ112" s="46" t="s">
        <v>176</v>
      </c>
      <c r="AK112">
        <f>Migrationsartikel!S110</f>
        <v>1</v>
      </c>
      <c r="AL112">
        <f>Migrationsartikel!S110</f>
        <v>1</v>
      </c>
      <c r="AM112">
        <f>Migrationsartikel!S110</f>
        <v>1</v>
      </c>
      <c r="AN112" t="str">
        <f>Migrationsartikel!U110</f>
        <v>(PCE) Stück</v>
      </c>
      <c r="AO112" t="str">
        <f t="shared" si="4"/>
        <v>(PCE) Pièce</v>
      </c>
      <c r="AP112" t="str">
        <f t="shared" si="5"/>
        <v>(PCE) Pièce</v>
      </c>
      <c r="AQ112" s="31" t="s">
        <v>195</v>
      </c>
      <c r="AR112" s="47"/>
      <c r="AS112" s="47"/>
      <c r="AT112" s="31" t="s">
        <v>208</v>
      </c>
      <c r="AU112" s="47"/>
      <c r="AV112" s="47"/>
      <c r="AW112" t="str">
        <f>IF(Migrationsartikel!AB110="ja","true",FALSE)</f>
        <v>true</v>
      </c>
      <c r="AX112" t="str">
        <f>IF(Migrationsartikel!AC110="ja","true",FALSE)</f>
        <v>true</v>
      </c>
      <c r="AY112" t="str">
        <f>IF(Migrationsartikel!AD110="ja","true",FALSE)</f>
        <v>true</v>
      </c>
      <c r="AZ112" t="str">
        <f>IF(Migrationsartikel!AE110="ja","true",FALSE)</f>
        <v>true</v>
      </c>
      <c r="BA112" t="str">
        <f>IF(Migrationsartikel!AF110="ja","Denner Partner","")</f>
        <v/>
      </c>
      <c r="BB112" t="str">
        <f>IF(Migrationsartikel!AG110="ja","true","false")</f>
        <v>false</v>
      </c>
      <c r="BC112" t="s">
        <v>1923</v>
      </c>
      <c r="BD112" s="31" t="s">
        <v>235</v>
      </c>
      <c r="BE112" s="31" t="s">
        <v>233</v>
      </c>
    </row>
    <row r="113" spans="2:57" ht="21.75" customHeight="1" x14ac:dyDescent="0.45">
      <c r="B113" t="s">
        <v>115</v>
      </c>
      <c r="E113" s="31" t="s">
        <v>1539</v>
      </c>
      <c r="F113" t="str">
        <f>"Warengruppe&gt;&gt;"&amp;Migrationsartikel!V111&amp;"&gt;&gt;"&amp;Migrationsartikel!W111&amp;"&gt;&gt;"&amp;Migrationsartikel!X111</f>
        <v>Warengruppe&gt;&gt;Frische&gt;&gt;Fleisch- und Wurstwaren&gt;&gt;Wurstwaren</v>
      </c>
      <c r="J113" s="31" t="s">
        <v>125</v>
      </c>
      <c r="M113" s="31" t="s">
        <v>137</v>
      </c>
      <c r="P113" s="31">
        <f>Migrationsartikel!B111</f>
        <v>861</v>
      </c>
      <c r="R113" t="str">
        <f>Migrationsartikel!F111&amp;" "&amp;Migrationsartikel!G111&amp;" "&amp;Migrationsartikel!H111</f>
        <v>Bauernschüblig  aus der Region 2Stk</v>
      </c>
      <c r="S113" t="str">
        <f>Migrationsartikel!J111&amp;" "&amp;Migrationsartikel!K111&amp;" "&amp;Migrationsartikel!L111</f>
        <v>Schüblig  de la région 2pces</v>
      </c>
      <c r="T113" t="str">
        <f>Migrationsartikel!N111&amp;" "&amp;Migrationsartikel!O111&amp;" "&amp;Migrationsartikel!P111</f>
        <v>Schüblig contadino della regione 2pz</v>
      </c>
      <c r="U113" t="str">
        <f>Migrationsartikel!F111</f>
        <v xml:space="preserve">Bauernschüblig </v>
      </c>
      <c r="V113" t="str">
        <f>Migrationsartikel!J111</f>
        <v xml:space="preserve">Schüblig </v>
      </c>
      <c r="W113" t="str">
        <f>Migrationsartikel!N111</f>
        <v>Schüblig contadino</v>
      </c>
      <c r="X113" t="str">
        <f>Migrationsartikel!G111</f>
        <v>aus der Region</v>
      </c>
      <c r="Y113" t="str">
        <f>Migrationsartikel!K111</f>
        <v>de la région</v>
      </c>
      <c r="Z113" t="str">
        <f>Migrationsartikel!O111</f>
        <v>della regione</v>
      </c>
      <c r="AA113" s="31" t="str">
        <f>Migrationsartikel!H111</f>
        <v>2Stk</v>
      </c>
      <c r="AB113" s="31" t="str">
        <f>Migrationsartikel!L111</f>
        <v>2pces</v>
      </c>
      <c r="AC113" s="31" t="str">
        <f>Migrationsartikel!P111</f>
        <v>2pz</v>
      </c>
      <c r="AD113" t="str">
        <f>Migrationsartikel!I111</f>
        <v>Bauernschüblig 2Stk</v>
      </c>
      <c r="AE113" t="str">
        <f>Migrationsartikel!M111</f>
        <v>Schüblig 2pces</v>
      </c>
      <c r="AF113" t="str">
        <f>Migrationsartikel!Q111</f>
        <v>Schüblig contadino 2pz</v>
      </c>
      <c r="AG113" s="45">
        <f>Migrationsartikel!R111</f>
        <v>2</v>
      </c>
      <c r="AH113" s="46" t="str">
        <f>Migrationsartikel!T111</f>
        <v>Gramm</v>
      </c>
      <c r="AI113" s="46" t="str">
        <f t="shared" si="3"/>
        <v>Gramm</v>
      </c>
      <c r="AJ113" s="46" t="s">
        <v>176</v>
      </c>
      <c r="AK113">
        <f>Migrationsartikel!S111</f>
        <v>100</v>
      </c>
      <c r="AL113">
        <f>Migrationsartikel!S111</f>
        <v>100</v>
      </c>
      <c r="AM113">
        <f>Migrationsartikel!S111</f>
        <v>100</v>
      </c>
      <c r="AN113" t="str">
        <f>Migrationsartikel!U111</f>
        <v>(PCE) Stück</v>
      </c>
      <c r="AO113" t="str">
        <f t="shared" si="4"/>
        <v>(PCE) Pièce</v>
      </c>
      <c r="AP113" t="str">
        <f t="shared" si="5"/>
        <v>(PCE) Pièce</v>
      </c>
      <c r="AQ113" s="31" t="s">
        <v>195</v>
      </c>
      <c r="AR113" s="47"/>
      <c r="AS113" s="47"/>
      <c r="AT113" s="31" t="s">
        <v>208</v>
      </c>
      <c r="AU113" s="47"/>
      <c r="AV113" s="47"/>
      <c r="AW113" t="str">
        <f>IF(Migrationsartikel!AB111="ja","true",FALSE)</f>
        <v>true</v>
      </c>
      <c r="AX113" t="str">
        <f>IF(Migrationsartikel!AC111="ja","true",FALSE)</f>
        <v>true</v>
      </c>
      <c r="AY113" t="str">
        <f>IF(Migrationsartikel!AD111="ja","true",FALSE)</f>
        <v>true</v>
      </c>
      <c r="AZ113" t="str">
        <f>IF(Migrationsartikel!AE111="ja","true",FALSE)</f>
        <v>true</v>
      </c>
      <c r="BA113" t="str">
        <f>IF(Migrationsartikel!AF111="ja","Denner Partner","")</f>
        <v/>
      </c>
      <c r="BB113" t="str">
        <f>IF(Migrationsartikel!AG111="ja","true","false")</f>
        <v>false</v>
      </c>
      <c r="BC113" t="s">
        <v>1923</v>
      </c>
      <c r="BD113" s="31" t="s">
        <v>235</v>
      </c>
      <c r="BE113" s="31" t="s">
        <v>233</v>
      </c>
    </row>
    <row r="114" spans="2:57" ht="21.75" customHeight="1" x14ac:dyDescent="0.45">
      <c r="B114" t="s">
        <v>115</v>
      </c>
      <c r="E114" s="31" t="s">
        <v>1540</v>
      </c>
      <c r="F114" t="str">
        <f>"Warengruppe&gt;&gt;"&amp;Migrationsartikel!V112&amp;"&gt;&gt;"&amp;Migrationsartikel!W112&amp;"&gt;&gt;"&amp;Migrationsartikel!X112</f>
        <v>Warengruppe&gt;&gt;Frische&gt;&gt;Fleisch- und Wurstwaren&gt;&gt;Wurstwaren</v>
      </c>
      <c r="J114" s="31" t="s">
        <v>125</v>
      </c>
      <c r="M114" s="31" t="s">
        <v>137</v>
      </c>
      <c r="P114" s="31">
        <f>Migrationsartikel!B112</f>
        <v>862</v>
      </c>
      <c r="R114" t="str">
        <f>Migrationsartikel!F112&amp;" "&amp;Migrationsartikel!G112&amp;" "&amp;Migrationsartikel!H112</f>
        <v>Cervelat  aus der Region 2Stk</v>
      </c>
      <c r="S114" t="str">
        <f>Migrationsartikel!J112&amp;" "&amp;Migrationsartikel!K112&amp;" "&amp;Migrationsartikel!L112</f>
        <v>Cervelas  de la région 2pces</v>
      </c>
      <c r="T114" t="str">
        <f>Migrationsartikel!N112&amp;" "&amp;Migrationsartikel!O112&amp;" "&amp;Migrationsartikel!P112</f>
        <v>Cervelat  della regione 2pz</v>
      </c>
      <c r="U114" t="str">
        <f>Migrationsartikel!F112</f>
        <v xml:space="preserve">Cervelat </v>
      </c>
      <c r="V114" t="str">
        <f>Migrationsartikel!J112</f>
        <v xml:space="preserve">Cervelas </v>
      </c>
      <c r="W114" t="str">
        <f>Migrationsartikel!N112</f>
        <v xml:space="preserve">Cervelat </v>
      </c>
      <c r="X114" t="str">
        <f>Migrationsartikel!G112</f>
        <v>aus der Region</v>
      </c>
      <c r="Y114" t="str">
        <f>Migrationsartikel!K112</f>
        <v>de la région</v>
      </c>
      <c r="Z114" t="str">
        <f>Migrationsartikel!O112</f>
        <v>della regione</v>
      </c>
      <c r="AA114" s="31" t="str">
        <f>Migrationsartikel!H112</f>
        <v>2Stk</v>
      </c>
      <c r="AB114" s="31" t="str">
        <f>Migrationsartikel!L112</f>
        <v>2pces</v>
      </c>
      <c r="AC114" s="31" t="str">
        <f>Migrationsartikel!P112</f>
        <v>2pz</v>
      </c>
      <c r="AD114" t="str">
        <f>Migrationsartikel!I112</f>
        <v>Cervelat 2Stk</v>
      </c>
      <c r="AE114" t="str">
        <f>Migrationsartikel!M112</f>
        <v>Cervelas 2pces</v>
      </c>
      <c r="AF114" t="str">
        <f>Migrationsartikel!Q112</f>
        <v>Cervelat 2pz</v>
      </c>
      <c r="AG114" s="45">
        <f>Migrationsartikel!R112</f>
        <v>2</v>
      </c>
      <c r="AH114" s="46" t="str">
        <f>Migrationsartikel!T112</f>
        <v>Gramm</v>
      </c>
      <c r="AI114" s="46" t="str">
        <f t="shared" si="3"/>
        <v>Gramm</v>
      </c>
      <c r="AJ114" s="46" t="s">
        <v>176</v>
      </c>
      <c r="AK114">
        <f>Migrationsartikel!S112</f>
        <v>100</v>
      </c>
      <c r="AL114">
        <f>Migrationsartikel!S112</f>
        <v>100</v>
      </c>
      <c r="AM114">
        <f>Migrationsartikel!S112</f>
        <v>100</v>
      </c>
      <c r="AN114" t="str">
        <f>Migrationsartikel!U112</f>
        <v>(PCE) Stück</v>
      </c>
      <c r="AO114" t="str">
        <f t="shared" si="4"/>
        <v>(PCE) Pièce</v>
      </c>
      <c r="AP114" t="str">
        <f t="shared" si="5"/>
        <v>(PCE) Pièce</v>
      </c>
      <c r="AQ114" s="31" t="s">
        <v>195</v>
      </c>
      <c r="AR114" s="47"/>
      <c r="AS114" s="47"/>
      <c r="AT114" s="31" t="s">
        <v>208</v>
      </c>
      <c r="AU114" s="47"/>
      <c r="AV114" s="47"/>
      <c r="AW114" t="str">
        <f>IF(Migrationsartikel!AB112="ja","true",FALSE)</f>
        <v>true</v>
      </c>
      <c r="AX114" t="str">
        <f>IF(Migrationsartikel!AC112="ja","true",FALSE)</f>
        <v>true</v>
      </c>
      <c r="AY114" t="str">
        <f>IF(Migrationsartikel!AD112="ja","true",FALSE)</f>
        <v>true</v>
      </c>
      <c r="AZ114" t="str">
        <f>IF(Migrationsartikel!AE112="ja","true",FALSE)</f>
        <v>true</v>
      </c>
      <c r="BA114" t="str">
        <f>IF(Migrationsartikel!AF112="ja","Denner Partner","")</f>
        <v/>
      </c>
      <c r="BB114" t="str">
        <f>IF(Migrationsartikel!AG112="ja","true","false")</f>
        <v>false</v>
      </c>
      <c r="BC114" t="s">
        <v>1923</v>
      </c>
      <c r="BD114" s="31" t="s">
        <v>235</v>
      </c>
      <c r="BE114" s="31" t="s">
        <v>233</v>
      </c>
    </row>
    <row r="115" spans="2:57" ht="21.75" customHeight="1" x14ac:dyDescent="0.45">
      <c r="B115" t="s">
        <v>115</v>
      </c>
      <c r="E115" s="31" t="s">
        <v>1541</v>
      </c>
      <c r="F115" t="str">
        <f>"Warengruppe&gt;&gt;"&amp;Migrationsartikel!V113&amp;"&gt;&gt;"&amp;Migrationsartikel!W113&amp;"&gt;&gt;"&amp;Migrationsartikel!X113</f>
        <v>Warengruppe&gt;&gt;Frische&gt;&gt;Fleisch- und Wurstwaren&gt;&gt;Wurstwaren</v>
      </c>
      <c r="J115" s="31" t="s">
        <v>125</v>
      </c>
      <c r="M115" s="31" t="s">
        <v>137</v>
      </c>
      <c r="P115" s="31">
        <f>Migrationsartikel!B113</f>
        <v>863</v>
      </c>
      <c r="R115" t="str">
        <f>Migrationsartikel!F113&amp;" "&amp;Migrationsartikel!G113&amp;" "&amp;Migrationsartikel!H113</f>
        <v>Hauswurst  aus der Region 2Stk</v>
      </c>
      <c r="S115" t="str">
        <f>Migrationsartikel!J113&amp;" "&amp;Migrationsartikel!K113&amp;" "&amp;Migrationsartikel!L113</f>
        <v>Saucisse  de la région 2pces</v>
      </c>
      <c r="T115" t="str">
        <f>Migrationsartikel!N113&amp;" "&amp;Migrationsartikel!O113&amp;" "&amp;Migrationsartikel!P113</f>
        <v>Salsiccia  della regione 2pz</v>
      </c>
      <c r="U115" t="str">
        <f>Migrationsartikel!F113</f>
        <v xml:space="preserve">Hauswurst </v>
      </c>
      <c r="V115" t="str">
        <f>Migrationsartikel!J113</f>
        <v xml:space="preserve">Saucisse </v>
      </c>
      <c r="W115" t="str">
        <f>Migrationsartikel!N113</f>
        <v xml:space="preserve">Salsiccia </v>
      </c>
      <c r="X115" t="str">
        <f>Migrationsartikel!G113</f>
        <v>aus der Region</v>
      </c>
      <c r="Y115" t="str">
        <f>Migrationsartikel!K113</f>
        <v>de la région</v>
      </c>
      <c r="Z115" t="str">
        <f>Migrationsartikel!O113</f>
        <v>della regione</v>
      </c>
      <c r="AA115" s="31" t="str">
        <f>Migrationsartikel!H113</f>
        <v>2Stk</v>
      </c>
      <c r="AB115" s="31" t="str">
        <f>Migrationsartikel!L113</f>
        <v>2pces</v>
      </c>
      <c r="AC115" s="31" t="str">
        <f>Migrationsartikel!P113</f>
        <v>2pz</v>
      </c>
      <c r="AD115" t="str">
        <f>Migrationsartikel!I113</f>
        <v>Hauswurst 2Stk</v>
      </c>
      <c r="AE115" t="str">
        <f>Migrationsartikel!M113</f>
        <v>Saucisse 2pces</v>
      </c>
      <c r="AF115" t="str">
        <f>Migrationsartikel!Q113</f>
        <v>Salsiccia 2pz</v>
      </c>
      <c r="AG115" s="45">
        <f>Migrationsartikel!R113</f>
        <v>2</v>
      </c>
      <c r="AH115" s="46" t="str">
        <f>Migrationsartikel!T113</f>
        <v>Gramm</v>
      </c>
      <c r="AI115" s="46" t="str">
        <f t="shared" si="3"/>
        <v>Gramm</v>
      </c>
      <c r="AJ115" s="46" t="s">
        <v>176</v>
      </c>
      <c r="AK115">
        <f>Migrationsartikel!S113</f>
        <v>100</v>
      </c>
      <c r="AL115">
        <f>Migrationsartikel!S113</f>
        <v>100</v>
      </c>
      <c r="AM115">
        <f>Migrationsartikel!S113</f>
        <v>100</v>
      </c>
      <c r="AN115" t="str">
        <f>Migrationsartikel!U113</f>
        <v>(PCE) Stück</v>
      </c>
      <c r="AO115" t="str">
        <f t="shared" si="4"/>
        <v>(PCE) Pièce</v>
      </c>
      <c r="AP115" t="str">
        <f t="shared" si="5"/>
        <v>(PCE) Pièce</v>
      </c>
      <c r="AQ115" s="31" t="s">
        <v>195</v>
      </c>
      <c r="AR115" s="47"/>
      <c r="AS115" s="47"/>
      <c r="AT115" s="31" t="s">
        <v>208</v>
      </c>
      <c r="AU115" s="47"/>
      <c r="AV115" s="47"/>
      <c r="AW115" t="str">
        <f>IF(Migrationsartikel!AB113="ja","true",FALSE)</f>
        <v>true</v>
      </c>
      <c r="AX115" t="str">
        <f>IF(Migrationsartikel!AC113="ja","true",FALSE)</f>
        <v>true</v>
      </c>
      <c r="AY115" t="str">
        <f>IF(Migrationsartikel!AD113="ja","true",FALSE)</f>
        <v>true</v>
      </c>
      <c r="AZ115" t="str">
        <f>IF(Migrationsartikel!AE113="ja","true",FALSE)</f>
        <v>true</v>
      </c>
      <c r="BA115" t="str">
        <f>IF(Migrationsartikel!AF113="ja","Denner Partner","")</f>
        <v/>
      </c>
      <c r="BB115" t="str">
        <f>IF(Migrationsartikel!AG113="ja","true","false")</f>
        <v>false</v>
      </c>
      <c r="BC115" t="s">
        <v>1923</v>
      </c>
      <c r="BD115" s="31" t="s">
        <v>235</v>
      </c>
      <c r="BE115" s="31" t="s">
        <v>233</v>
      </c>
    </row>
    <row r="116" spans="2:57" ht="21.75" customHeight="1" x14ac:dyDescent="0.45">
      <c r="B116" t="s">
        <v>115</v>
      </c>
      <c r="E116" s="31" t="s">
        <v>1542</v>
      </c>
      <c r="F116" t="str">
        <f>"Warengruppe&gt;&gt;"&amp;Migrationsartikel!V114&amp;"&gt;&gt;"&amp;Migrationsartikel!W114&amp;"&gt;&gt;"&amp;Migrationsartikel!X114</f>
        <v>Warengruppe&gt;&gt;Frische&gt;&gt;Fleisch- und Wurstwaren&gt;&gt;Wurstwaren</v>
      </c>
      <c r="J116" s="31" t="s">
        <v>125</v>
      </c>
      <c r="M116" s="31" t="s">
        <v>137</v>
      </c>
      <c r="P116" s="31">
        <f>Migrationsartikel!B114</f>
        <v>864</v>
      </c>
      <c r="R116" t="str">
        <f>Migrationsartikel!F114&amp;" "&amp;Migrationsartikel!G114&amp;" "&amp;Migrationsartikel!H114</f>
        <v>Landjäger dunkel  aus der Region 2Stk</v>
      </c>
      <c r="S116" t="str">
        <f>Migrationsartikel!J114&amp;" "&amp;Migrationsartikel!K114&amp;" "&amp;Migrationsartikel!L114</f>
        <v>Sauc. Landjäger foncée de la région 2pces</v>
      </c>
      <c r="T116" t="str">
        <f>Migrationsartikel!N114&amp;" "&amp;Migrationsartikel!O114&amp;" "&amp;Migrationsartikel!P114</f>
        <v>Sals. Landjäger scura della regione 2pz</v>
      </c>
      <c r="U116" t="str">
        <f>Migrationsartikel!F114</f>
        <v xml:space="preserve">Landjäger dunkel </v>
      </c>
      <c r="V116" t="str">
        <f>Migrationsartikel!J114</f>
        <v>Sauc. Landjäger foncée</v>
      </c>
      <c r="W116" t="str">
        <f>Migrationsartikel!N114</f>
        <v>Sals. Landjäger scura</v>
      </c>
      <c r="X116" t="str">
        <f>Migrationsartikel!G114</f>
        <v>aus der Region</v>
      </c>
      <c r="Y116" t="str">
        <f>Migrationsartikel!K114</f>
        <v>de la région</v>
      </c>
      <c r="Z116" t="str">
        <f>Migrationsartikel!O114</f>
        <v>della regione</v>
      </c>
      <c r="AA116" s="31" t="str">
        <f>Migrationsartikel!H114</f>
        <v>2Stk</v>
      </c>
      <c r="AB116" s="31" t="str">
        <f>Migrationsartikel!L114</f>
        <v>2pces</v>
      </c>
      <c r="AC116" s="31" t="str">
        <f>Migrationsartikel!P114</f>
        <v>2pz</v>
      </c>
      <c r="AD116" t="str">
        <f>Migrationsartikel!I114</f>
        <v>Landjäger dunkel 2Stk</v>
      </c>
      <c r="AE116" t="str">
        <f>Migrationsartikel!M114</f>
        <v>Sauc. foncée 2pces</v>
      </c>
      <c r="AF116" t="str">
        <f>Migrationsartikel!Q114</f>
        <v>Sals. scura 2pz</v>
      </c>
      <c r="AG116" s="45">
        <f>Migrationsartikel!R114</f>
        <v>2</v>
      </c>
      <c r="AH116" s="46" t="str">
        <f>Migrationsartikel!T114</f>
        <v>Gramm</v>
      </c>
      <c r="AI116" s="46" t="str">
        <f t="shared" si="3"/>
        <v>Gramm</v>
      </c>
      <c r="AJ116" s="46" t="s">
        <v>176</v>
      </c>
      <c r="AK116">
        <f>Migrationsartikel!S114</f>
        <v>100</v>
      </c>
      <c r="AL116">
        <f>Migrationsartikel!S114</f>
        <v>100</v>
      </c>
      <c r="AM116">
        <f>Migrationsartikel!S114</f>
        <v>100</v>
      </c>
      <c r="AN116" t="str">
        <f>Migrationsartikel!U114</f>
        <v>(PCE) Stück</v>
      </c>
      <c r="AO116" t="str">
        <f t="shared" si="4"/>
        <v>(PCE) Pièce</v>
      </c>
      <c r="AP116" t="str">
        <f t="shared" si="5"/>
        <v>(PCE) Pièce</v>
      </c>
      <c r="AQ116" s="31" t="s">
        <v>195</v>
      </c>
      <c r="AR116" s="47"/>
      <c r="AS116" s="47"/>
      <c r="AT116" s="31" t="s">
        <v>208</v>
      </c>
      <c r="AU116" s="47"/>
      <c r="AV116" s="47"/>
      <c r="AW116" t="str">
        <f>IF(Migrationsartikel!AB114="ja","true",FALSE)</f>
        <v>true</v>
      </c>
      <c r="AX116" t="str">
        <f>IF(Migrationsartikel!AC114="ja","true",FALSE)</f>
        <v>true</v>
      </c>
      <c r="AY116" t="str">
        <f>IF(Migrationsartikel!AD114="ja","true",FALSE)</f>
        <v>true</v>
      </c>
      <c r="AZ116" t="str">
        <f>IF(Migrationsartikel!AE114="ja","true",FALSE)</f>
        <v>true</v>
      </c>
      <c r="BA116" t="str">
        <f>IF(Migrationsartikel!AF114="ja","Denner Partner","")</f>
        <v/>
      </c>
      <c r="BB116" t="str">
        <f>IF(Migrationsartikel!AG114="ja","true","false")</f>
        <v>false</v>
      </c>
      <c r="BC116" t="s">
        <v>1923</v>
      </c>
      <c r="BD116" s="31" t="s">
        <v>235</v>
      </c>
      <c r="BE116" s="31" t="s">
        <v>233</v>
      </c>
    </row>
    <row r="117" spans="2:57" ht="21.75" customHeight="1" x14ac:dyDescent="0.45">
      <c r="B117" t="s">
        <v>115</v>
      </c>
      <c r="E117" s="31" t="s">
        <v>1543</v>
      </c>
      <c r="F117" t="str">
        <f>"Warengruppe&gt;&gt;"&amp;Migrationsartikel!V115&amp;"&gt;&gt;"&amp;Migrationsartikel!W115&amp;"&gt;&gt;"&amp;Migrationsartikel!X115</f>
        <v>Warengruppe&gt;&gt;Frische&gt;&gt;Fleisch- und Wurstwaren&gt;&gt;Wurstwaren</v>
      </c>
      <c r="J117" s="31" t="s">
        <v>125</v>
      </c>
      <c r="M117" s="31" t="s">
        <v>137</v>
      </c>
      <c r="P117" s="31">
        <f>Migrationsartikel!B115</f>
        <v>865</v>
      </c>
      <c r="R117" t="str">
        <f>Migrationsartikel!F115&amp;" "&amp;Migrationsartikel!G115&amp;" "&amp;Migrationsartikel!H115</f>
        <v>Landjäger hell  aus der Region 2Stk</v>
      </c>
      <c r="S117" t="str">
        <f>Migrationsartikel!J115&amp;" "&amp;Migrationsartikel!K115&amp;" "&amp;Migrationsartikel!L115</f>
        <v>Sauc. Landjäger claire de la région 2pces</v>
      </c>
      <c r="T117" t="str">
        <f>Migrationsartikel!N115&amp;" "&amp;Migrationsartikel!O115&amp;" "&amp;Migrationsartikel!P115</f>
        <v>Sals. Landjäger chiara della regione 2pz</v>
      </c>
      <c r="U117" t="str">
        <f>Migrationsartikel!F115</f>
        <v xml:space="preserve">Landjäger hell </v>
      </c>
      <c r="V117" t="str">
        <f>Migrationsartikel!J115</f>
        <v>Sauc. Landjäger claire</v>
      </c>
      <c r="W117" t="str">
        <f>Migrationsartikel!N115</f>
        <v>Sals. Landjäger chiara</v>
      </c>
      <c r="X117" t="str">
        <f>Migrationsartikel!G115</f>
        <v>aus der Region</v>
      </c>
      <c r="Y117" t="str">
        <f>Migrationsartikel!K115</f>
        <v>de la région</v>
      </c>
      <c r="Z117" t="str">
        <f>Migrationsartikel!O115</f>
        <v>della regione</v>
      </c>
      <c r="AA117" s="31" t="str">
        <f>Migrationsartikel!H115</f>
        <v>2Stk</v>
      </c>
      <c r="AB117" s="31" t="str">
        <f>Migrationsartikel!L115</f>
        <v>2pces</v>
      </c>
      <c r="AC117" s="31" t="str">
        <f>Migrationsartikel!P115</f>
        <v>2pz</v>
      </c>
      <c r="AD117" t="str">
        <f>Migrationsartikel!I115</f>
        <v>Landjäger hell 2Stk</v>
      </c>
      <c r="AE117" t="str">
        <f>Migrationsartikel!M115</f>
        <v>Sauc. claire 2pces</v>
      </c>
      <c r="AF117" t="str">
        <f>Migrationsartikel!Q115</f>
        <v>Sals. chiara 2pz</v>
      </c>
      <c r="AG117" s="45">
        <f>Migrationsartikel!R115</f>
        <v>2</v>
      </c>
      <c r="AH117" s="46" t="str">
        <f>Migrationsartikel!T115</f>
        <v>Gramm</v>
      </c>
      <c r="AI117" s="46" t="str">
        <f t="shared" si="3"/>
        <v>Gramm</v>
      </c>
      <c r="AJ117" s="46" t="s">
        <v>176</v>
      </c>
      <c r="AK117">
        <f>Migrationsartikel!S115</f>
        <v>100</v>
      </c>
      <c r="AL117">
        <f>Migrationsartikel!S115</f>
        <v>100</v>
      </c>
      <c r="AM117">
        <f>Migrationsartikel!S115</f>
        <v>100</v>
      </c>
      <c r="AN117" t="str">
        <f>Migrationsartikel!U115</f>
        <v>(PCE) Stück</v>
      </c>
      <c r="AO117" t="str">
        <f t="shared" si="4"/>
        <v>(PCE) Pièce</v>
      </c>
      <c r="AP117" t="str">
        <f t="shared" si="5"/>
        <v>(PCE) Pièce</v>
      </c>
      <c r="AQ117" s="31" t="s">
        <v>195</v>
      </c>
      <c r="AR117" s="47"/>
      <c r="AS117" s="47"/>
      <c r="AT117" s="31" t="s">
        <v>208</v>
      </c>
      <c r="AU117" s="47"/>
      <c r="AV117" s="47"/>
      <c r="AW117" t="str">
        <f>IF(Migrationsartikel!AB115="ja","true",FALSE)</f>
        <v>true</v>
      </c>
      <c r="AX117" t="str">
        <f>IF(Migrationsartikel!AC115="ja","true",FALSE)</f>
        <v>true</v>
      </c>
      <c r="AY117" t="str">
        <f>IF(Migrationsartikel!AD115="ja","true",FALSE)</f>
        <v>true</v>
      </c>
      <c r="AZ117" t="str">
        <f>IF(Migrationsartikel!AE115="ja","true",FALSE)</f>
        <v>true</v>
      </c>
      <c r="BA117" t="str">
        <f>IF(Migrationsartikel!AF115="ja","Denner Partner","")</f>
        <v/>
      </c>
      <c r="BB117" t="str">
        <f>IF(Migrationsartikel!AG115="ja","true","false")</f>
        <v>false</v>
      </c>
      <c r="BC117" t="s">
        <v>1923</v>
      </c>
      <c r="BD117" s="31" t="s">
        <v>235</v>
      </c>
      <c r="BE117" s="31" t="s">
        <v>233</v>
      </c>
    </row>
    <row r="118" spans="2:57" ht="21.75" customHeight="1" x14ac:dyDescent="0.45">
      <c r="B118" t="s">
        <v>115</v>
      </c>
      <c r="E118" s="31" t="s">
        <v>1544</v>
      </c>
      <c r="F118" t="str">
        <f>"Warengruppe&gt;&gt;"&amp;Migrationsartikel!V116&amp;"&gt;&gt;"&amp;Migrationsartikel!W116&amp;"&gt;&gt;"&amp;Migrationsartikel!X116</f>
        <v>Warengruppe&gt;&gt;Frische&gt;&gt;Fleisch- und Wurstwaren&gt;&gt;Wurstwaren</v>
      </c>
      <c r="J118" s="31" t="s">
        <v>125</v>
      </c>
      <c r="M118" s="31" t="s">
        <v>137</v>
      </c>
      <c r="P118" s="31">
        <f>Migrationsartikel!B116</f>
        <v>866</v>
      </c>
      <c r="R118" t="str">
        <f>Migrationsartikel!F116&amp;" "&amp;Migrationsartikel!G116&amp;" "&amp;Migrationsartikel!H116</f>
        <v>Rauchwurst  aus der Region 2Stk</v>
      </c>
      <c r="S118" t="str">
        <f>Migrationsartikel!J116&amp;" "&amp;Migrationsartikel!K116&amp;" "&amp;Migrationsartikel!L116</f>
        <v>Saucisse fumée de la région 2pces</v>
      </c>
      <c r="T118" t="str">
        <f>Migrationsartikel!N116&amp;" "&amp;Migrationsartikel!O116&amp;" "&amp;Migrationsartikel!P116</f>
        <v>Salsiccia affumicata  della regione 2pz</v>
      </c>
      <c r="U118" t="str">
        <f>Migrationsartikel!F116</f>
        <v xml:space="preserve">Rauchwurst </v>
      </c>
      <c r="V118" t="str">
        <f>Migrationsartikel!J116</f>
        <v>Saucisse fumée</v>
      </c>
      <c r="W118" t="str">
        <f>Migrationsartikel!N116</f>
        <v xml:space="preserve">Salsiccia affumicata </v>
      </c>
      <c r="X118" t="str">
        <f>Migrationsartikel!G116</f>
        <v>aus der Region</v>
      </c>
      <c r="Y118" t="str">
        <f>Migrationsartikel!K116</f>
        <v>de la région</v>
      </c>
      <c r="Z118" t="str">
        <f>Migrationsartikel!O116</f>
        <v>della regione</v>
      </c>
      <c r="AA118" s="31" t="str">
        <f>Migrationsartikel!H116</f>
        <v>2Stk</v>
      </c>
      <c r="AB118" s="31" t="str">
        <f>Migrationsartikel!L116</f>
        <v>2pces</v>
      </c>
      <c r="AC118" s="31" t="str">
        <f>Migrationsartikel!P116</f>
        <v>2pz</v>
      </c>
      <c r="AD118" t="str">
        <f>Migrationsartikel!I116</f>
        <v>Rauchwurst 2Stk</v>
      </c>
      <c r="AE118" t="str">
        <f>Migrationsartikel!M116</f>
        <v>Saucisse fumée 2pces</v>
      </c>
      <c r="AF118" t="str">
        <f>Migrationsartikel!Q116</f>
        <v>Salsiccia affumicata 2pz</v>
      </c>
      <c r="AG118" s="45">
        <f>Migrationsartikel!R116</f>
        <v>2</v>
      </c>
      <c r="AH118" s="46" t="str">
        <f>Migrationsartikel!T116</f>
        <v>Gramm</v>
      </c>
      <c r="AI118" s="46" t="str">
        <f t="shared" si="3"/>
        <v>Gramm</v>
      </c>
      <c r="AJ118" s="46" t="s">
        <v>176</v>
      </c>
      <c r="AK118">
        <f>Migrationsartikel!S116</f>
        <v>100</v>
      </c>
      <c r="AL118">
        <f>Migrationsartikel!S116</f>
        <v>100</v>
      </c>
      <c r="AM118">
        <f>Migrationsartikel!S116</f>
        <v>100</v>
      </c>
      <c r="AN118" t="str">
        <f>Migrationsartikel!U116</f>
        <v>(PCE) Stück</v>
      </c>
      <c r="AO118" t="str">
        <f t="shared" si="4"/>
        <v>(PCE) Pièce</v>
      </c>
      <c r="AP118" t="str">
        <f t="shared" si="5"/>
        <v>(PCE) Pièce</v>
      </c>
      <c r="AQ118" s="31" t="s">
        <v>195</v>
      </c>
      <c r="AR118" s="47"/>
      <c r="AS118" s="47"/>
      <c r="AT118" s="31" t="s">
        <v>208</v>
      </c>
      <c r="AU118" s="47"/>
      <c r="AV118" s="47"/>
      <c r="AW118" t="str">
        <f>IF(Migrationsartikel!AB116="ja","true",FALSE)</f>
        <v>true</v>
      </c>
      <c r="AX118" t="str">
        <f>IF(Migrationsartikel!AC116="ja","true",FALSE)</f>
        <v>true</v>
      </c>
      <c r="AY118" t="str">
        <f>IF(Migrationsartikel!AD116="ja","true",FALSE)</f>
        <v>true</v>
      </c>
      <c r="AZ118" t="str">
        <f>IF(Migrationsartikel!AE116="ja","true",FALSE)</f>
        <v>true</v>
      </c>
      <c r="BA118" t="str">
        <f>IF(Migrationsartikel!AF116="ja","Denner Partner","")</f>
        <v/>
      </c>
      <c r="BB118" t="str">
        <f>IF(Migrationsartikel!AG116="ja","true","false")</f>
        <v>false</v>
      </c>
      <c r="BC118" t="s">
        <v>1923</v>
      </c>
      <c r="BD118" s="31" t="s">
        <v>235</v>
      </c>
      <c r="BE118" s="31" t="s">
        <v>233</v>
      </c>
    </row>
    <row r="119" spans="2:57" ht="21.75" customHeight="1" x14ac:dyDescent="0.45">
      <c r="B119" t="s">
        <v>115</v>
      </c>
      <c r="E119" s="31" t="s">
        <v>1545</v>
      </c>
      <c r="F119" t="str">
        <f>"Warengruppe&gt;&gt;"&amp;Migrationsartikel!V117&amp;"&gt;&gt;"&amp;Migrationsartikel!W117&amp;"&gt;&gt;"&amp;Migrationsartikel!X117</f>
        <v>Warengruppe&gt;&gt;Getränke&gt;&gt;Bier&gt;&gt;Bier</v>
      </c>
      <c r="J119" s="31" t="s">
        <v>125</v>
      </c>
      <c r="M119" s="31" t="s">
        <v>137</v>
      </c>
      <c r="P119" s="31">
        <f>Migrationsartikel!B117</f>
        <v>867</v>
      </c>
      <c r="R119" t="str">
        <f>Migrationsartikel!F117&amp;" "&amp;Migrationsartikel!G117&amp;" "&amp;Migrationsartikel!H117</f>
        <v>Bier aus der Region 6x25cl</v>
      </c>
      <c r="S119" t="str">
        <f>Migrationsartikel!J117&amp;" "&amp;Migrationsartikel!K117&amp;" "&amp;Migrationsartikel!L117</f>
        <v>Bière de la région 6x25cl</v>
      </c>
      <c r="T119" t="str">
        <f>Migrationsartikel!N117&amp;" "&amp;Migrationsartikel!O117&amp;" "&amp;Migrationsartikel!P117</f>
        <v>Birra della regione 6x25cl</v>
      </c>
      <c r="U119" t="str">
        <f>Migrationsartikel!F117</f>
        <v>Bier</v>
      </c>
      <c r="V119" t="str">
        <f>Migrationsartikel!J117</f>
        <v>Bière</v>
      </c>
      <c r="W119" t="str">
        <f>Migrationsartikel!N117</f>
        <v>Birra</v>
      </c>
      <c r="X119" t="str">
        <f>Migrationsartikel!G117</f>
        <v>aus der Region</v>
      </c>
      <c r="Y119" t="str">
        <f>Migrationsartikel!K117</f>
        <v>de la région</v>
      </c>
      <c r="Z119" t="str">
        <f>Migrationsartikel!O117</f>
        <v>della regione</v>
      </c>
      <c r="AA119" s="31" t="str">
        <f>Migrationsartikel!H117</f>
        <v>6x25cl</v>
      </c>
      <c r="AB119" s="31" t="str">
        <f>Migrationsartikel!L117</f>
        <v>6x25cl</v>
      </c>
      <c r="AC119" s="31" t="str">
        <f>Migrationsartikel!P117</f>
        <v>6x25cl</v>
      </c>
      <c r="AD119" t="str">
        <f>Migrationsartikel!I117</f>
        <v>Bier 6x25cl</v>
      </c>
      <c r="AE119" t="str">
        <f>Migrationsartikel!M117</f>
        <v>Bière 6x25cl</v>
      </c>
      <c r="AF119" t="str">
        <f>Migrationsartikel!Q117</f>
        <v>Birra 6x25cl</v>
      </c>
      <c r="AG119" s="45">
        <f>Migrationsartikel!R117</f>
        <v>0.25</v>
      </c>
      <c r="AH119" s="46" t="str">
        <f>Migrationsartikel!T117</f>
        <v>Centiliter</v>
      </c>
      <c r="AI119" s="46" t="str">
        <f t="shared" si="3"/>
        <v>2</v>
      </c>
      <c r="AJ119" s="46" t="s">
        <v>176</v>
      </c>
      <c r="AK119">
        <f>Migrationsartikel!S117</f>
        <v>10</v>
      </c>
      <c r="AL119">
        <f>Migrationsartikel!S117</f>
        <v>10</v>
      </c>
      <c r="AM119">
        <f>Migrationsartikel!S117</f>
        <v>10</v>
      </c>
      <c r="AN119" t="str">
        <f>Migrationsartikel!U117</f>
        <v>(PCE) Stück</v>
      </c>
      <c r="AO119" t="str">
        <f t="shared" si="4"/>
        <v>(PCE) Pièce</v>
      </c>
      <c r="AP119" t="str">
        <f t="shared" si="5"/>
        <v>(PCE) Pièce</v>
      </c>
      <c r="AQ119" s="31" t="s">
        <v>195</v>
      </c>
      <c r="AR119" s="47"/>
      <c r="AS119" s="47"/>
      <c r="AT119" s="31" t="s">
        <v>208</v>
      </c>
      <c r="AU119" s="47"/>
      <c r="AV119" s="47"/>
      <c r="AW119" t="str">
        <f>IF(Migrationsartikel!AB117="ja","true",FALSE)</f>
        <v>true</v>
      </c>
      <c r="AX119" t="str">
        <f>IF(Migrationsartikel!AC117="ja","true",FALSE)</f>
        <v>true</v>
      </c>
      <c r="AY119" t="str">
        <f>IF(Migrationsartikel!AD117="ja","true",FALSE)</f>
        <v>true</v>
      </c>
      <c r="AZ119" t="str">
        <f>IF(Migrationsartikel!AE117="ja","true",FALSE)</f>
        <v>true</v>
      </c>
      <c r="BA119" t="str">
        <f>IF(Migrationsartikel!AF117="ja","Denner Partner","")</f>
        <v/>
      </c>
      <c r="BB119" t="str">
        <f>IF(Migrationsartikel!AG117="ja","true","false")</f>
        <v>false</v>
      </c>
      <c r="BC119" t="s">
        <v>1923</v>
      </c>
      <c r="BD119" s="31" t="s">
        <v>235</v>
      </c>
      <c r="BE119" s="31" t="s">
        <v>233</v>
      </c>
    </row>
    <row r="120" spans="2:57" ht="21.75" customHeight="1" x14ac:dyDescent="0.45">
      <c r="B120" t="s">
        <v>115</v>
      </c>
      <c r="E120" s="31" t="s">
        <v>1546</v>
      </c>
      <c r="F120" t="str">
        <f>"Warengruppe&gt;&gt;"&amp;Migrationsartikel!V118&amp;"&gt;&gt;"&amp;Migrationsartikel!W118&amp;"&gt;&gt;"&amp;Migrationsartikel!X118</f>
        <v>Warengruppe&gt;&gt;Getränke&gt;&gt;Bier&gt;&gt;Bier</v>
      </c>
      <c r="J120" s="31" t="s">
        <v>125</v>
      </c>
      <c r="M120" s="31" t="s">
        <v>137</v>
      </c>
      <c r="P120" s="31">
        <f>Migrationsartikel!B118</f>
        <v>868</v>
      </c>
      <c r="R120" t="str">
        <f>Migrationsartikel!F118&amp;" "&amp;Migrationsartikel!G118&amp;" "&amp;Migrationsartikel!H118</f>
        <v>Bier aus der Region 4x25cl</v>
      </c>
      <c r="S120" t="str">
        <f>Migrationsartikel!J118&amp;" "&amp;Migrationsartikel!K118&amp;" "&amp;Migrationsartikel!L118</f>
        <v>Bière de la région 4x25cl</v>
      </c>
      <c r="T120" t="str">
        <f>Migrationsartikel!N118&amp;" "&amp;Migrationsartikel!O118&amp;" "&amp;Migrationsartikel!P118</f>
        <v>Birra della regione 4x25cl</v>
      </c>
      <c r="U120" t="str">
        <f>Migrationsartikel!F118</f>
        <v>Bier</v>
      </c>
      <c r="V120" t="str">
        <f>Migrationsartikel!J118</f>
        <v>Bière</v>
      </c>
      <c r="W120" t="str">
        <f>Migrationsartikel!N118</f>
        <v>Birra</v>
      </c>
      <c r="X120" t="str">
        <f>Migrationsartikel!G118</f>
        <v>aus der Region</v>
      </c>
      <c r="Y120" t="str">
        <f>Migrationsartikel!K118</f>
        <v>de la région</v>
      </c>
      <c r="Z120" t="str">
        <f>Migrationsartikel!O118</f>
        <v>della regione</v>
      </c>
      <c r="AA120" s="31" t="str">
        <f>Migrationsartikel!H118</f>
        <v>4x25cl</v>
      </c>
      <c r="AB120" s="31" t="str">
        <f>Migrationsartikel!L118</f>
        <v>4x25cl</v>
      </c>
      <c r="AC120" s="31" t="str">
        <f>Migrationsartikel!P118</f>
        <v>4x25cl</v>
      </c>
      <c r="AD120" t="str">
        <f>Migrationsartikel!I118</f>
        <v>Bier 4x25cl</v>
      </c>
      <c r="AE120" t="str">
        <f>Migrationsartikel!M118</f>
        <v>Bière 4x25cl</v>
      </c>
      <c r="AF120" t="str">
        <f>Migrationsartikel!Q118</f>
        <v>Birra 4x25cl</v>
      </c>
      <c r="AG120" s="45">
        <f>Migrationsartikel!R118</f>
        <v>0.25</v>
      </c>
      <c r="AH120" s="46" t="str">
        <f>Migrationsartikel!T118</f>
        <v>Centiliter</v>
      </c>
      <c r="AI120" s="46" t="str">
        <f t="shared" si="3"/>
        <v>2</v>
      </c>
      <c r="AJ120" s="46" t="s">
        <v>176</v>
      </c>
      <c r="AK120">
        <f>Migrationsartikel!S118</f>
        <v>10</v>
      </c>
      <c r="AL120">
        <f>Migrationsartikel!S118</f>
        <v>10</v>
      </c>
      <c r="AM120">
        <f>Migrationsartikel!S118</f>
        <v>10</v>
      </c>
      <c r="AN120" t="str">
        <f>Migrationsartikel!U118</f>
        <v>(PCE) Stück</v>
      </c>
      <c r="AO120" t="str">
        <f t="shared" si="4"/>
        <v>(PCE) Pièce</v>
      </c>
      <c r="AP120" t="str">
        <f t="shared" si="5"/>
        <v>(PCE) Pièce</v>
      </c>
      <c r="AQ120" s="31" t="s">
        <v>195</v>
      </c>
      <c r="AR120" s="47"/>
      <c r="AS120" s="47"/>
      <c r="AT120" s="31" t="s">
        <v>208</v>
      </c>
      <c r="AU120" s="47"/>
      <c r="AV120" s="47"/>
      <c r="AW120" t="str">
        <f>IF(Migrationsartikel!AB118="ja","true",FALSE)</f>
        <v>true</v>
      </c>
      <c r="AX120" t="str">
        <f>IF(Migrationsartikel!AC118="ja","true",FALSE)</f>
        <v>true</v>
      </c>
      <c r="AY120" t="str">
        <f>IF(Migrationsartikel!AD118="ja","true",FALSE)</f>
        <v>true</v>
      </c>
      <c r="AZ120" t="str">
        <f>IF(Migrationsartikel!AE118="ja","true",FALSE)</f>
        <v>true</v>
      </c>
      <c r="BA120" t="str">
        <f>IF(Migrationsartikel!AF118="ja","Denner Partner","")</f>
        <v/>
      </c>
      <c r="BB120" t="str">
        <f>IF(Migrationsartikel!AG118="ja","true","false")</f>
        <v>false</v>
      </c>
      <c r="BC120" t="s">
        <v>1923</v>
      </c>
      <c r="BD120" s="31" t="s">
        <v>235</v>
      </c>
      <c r="BE120" s="31" t="s">
        <v>233</v>
      </c>
    </row>
    <row r="121" spans="2:57" ht="21.75" customHeight="1" x14ac:dyDescent="0.45">
      <c r="B121" t="s">
        <v>115</v>
      </c>
      <c r="E121" s="31" t="s">
        <v>1547</v>
      </c>
      <c r="F121" t="str">
        <f>"Warengruppe&gt;&gt;"&amp;Migrationsartikel!V119&amp;"&gt;&gt;"&amp;Migrationsartikel!W119&amp;"&gt;&gt;"&amp;Migrationsartikel!X119</f>
        <v>Warengruppe&gt;&gt;Getränke&gt;&gt;Bier&gt;&gt;Bier</v>
      </c>
      <c r="J121" s="31" t="s">
        <v>125</v>
      </c>
      <c r="M121" s="31" t="s">
        <v>137</v>
      </c>
      <c r="P121" s="31">
        <f>Migrationsartikel!B119</f>
        <v>869</v>
      </c>
      <c r="R121" t="str">
        <f>Migrationsartikel!F119&amp;" "&amp;Migrationsartikel!G119&amp;" "&amp;Migrationsartikel!H119</f>
        <v>Bier aus der Region 25cl</v>
      </c>
      <c r="S121" t="str">
        <f>Migrationsartikel!J119&amp;" "&amp;Migrationsartikel!K119&amp;" "&amp;Migrationsartikel!L119</f>
        <v>Bière de la région 25cl</v>
      </c>
      <c r="T121" t="str">
        <f>Migrationsartikel!N119&amp;" "&amp;Migrationsartikel!O119&amp;" "&amp;Migrationsartikel!P119</f>
        <v>Birra della regione 25cl</v>
      </c>
      <c r="U121" t="str">
        <f>Migrationsartikel!F119</f>
        <v>Bier</v>
      </c>
      <c r="V121" t="str">
        <f>Migrationsartikel!J119</f>
        <v>Bière</v>
      </c>
      <c r="W121" t="str">
        <f>Migrationsartikel!N119</f>
        <v>Birra</v>
      </c>
      <c r="X121" t="str">
        <f>Migrationsartikel!G119</f>
        <v>aus der Region</v>
      </c>
      <c r="Y121" t="str">
        <f>Migrationsartikel!K119</f>
        <v>de la région</v>
      </c>
      <c r="Z121" t="str">
        <f>Migrationsartikel!O119</f>
        <v>della regione</v>
      </c>
      <c r="AA121" s="31" t="str">
        <f>Migrationsartikel!H119</f>
        <v>25cl</v>
      </c>
      <c r="AB121" s="31" t="str">
        <f>Migrationsartikel!L119</f>
        <v>25cl</v>
      </c>
      <c r="AC121" s="31" t="str">
        <f>Migrationsartikel!P119</f>
        <v>25cl</v>
      </c>
      <c r="AD121" t="str">
        <f>Migrationsartikel!I119</f>
        <v>Bier 25cl</v>
      </c>
      <c r="AE121" t="str">
        <f>Migrationsartikel!M119</f>
        <v>Bière 25cl</v>
      </c>
      <c r="AF121" t="str">
        <f>Migrationsartikel!Q119</f>
        <v>Birra 25cl</v>
      </c>
      <c r="AG121" s="45">
        <f>Migrationsartikel!R119</f>
        <v>0.25</v>
      </c>
      <c r="AH121" s="46" t="str">
        <f>Migrationsartikel!T119</f>
        <v>Centiliter</v>
      </c>
      <c r="AI121" s="46" t="str">
        <f t="shared" si="3"/>
        <v>2</v>
      </c>
      <c r="AJ121" s="46" t="s">
        <v>176</v>
      </c>
      <c r="AK121">
        <f>Migrationsartikel!S119</f>
        <v>10</v>
      </c>
      <c r="AL121">
        <f>Migrationsartikel!S119</f>
        <v>10</v>
      </c>
      <c r="AM121">
        <f>Migrationsartikel!S119</f>
        <v>10</v>
      </c>
      <c r="AN121" t="str">
        <f>Migrationsartikel!U119</f>
        <v>(PCE) Stück</v>
      </c>
      <c r="AO121" t="str">
        <f t="shared" si="4"/>
        <v>(PCE) Pièce</v>
      </c>
      <c r="AP121" t="str">
        <f t="shared" si="5"/>
        <v>(PCE) Pièce</v>
      </c>
      <c r="AQ121" s="31" t="s">
        <v>195</v>
      </c>
      <c r="AR121" s="47"/>
      <c r="AS121" s="47"/>
      <c r="AT121" s="31" t="s">
        <v>208</v>
      </c>
      <c r="AU121" s="47"/>
      <c r="AV121" s="47"/>
      <c r="AW121" t="str">
        <f>IF(Migrationsartikel!AB119="ja","true",FALSE)</f>
        <v>true</v>
      </c>
      <c r="AX121" t="str">
        <f>IF(Migrationsartikel!AC119="ja","true",FALSE)</f>
        <v>true</v>
      </c>
      <c r="AY121" t="str">
        <f>IF(Migrationsartikel!AD119="ja","true",FALSE)</f>
        <v>true</v>
      </c>
      <c r="AZ121" t="str">
        <f>IF(Migrationsartikel!AE119="ja","true",FALSE)</f>
        <v>true</v>
      </c>
      <c r="BA121" t="str">
        <f>IF(Migrationsartikel!AF119="ja","Denner Partner","")</f>
        <v/>
      </c>
      <c r="BB121" t="str">
        <f>IF(Migrationsartikel!AG119="ja","true","false")</f>
        <v>false</v>
      </c>
      <c r="BC121" t="s">
        <v>1923</v>
      </c>
      <c r="BD121" s="31" t="s">
        <v>235</v>
      </c>
      <c r="BE121" s="31" t="s">
        <v>233</v>
      </c>
    </row>
    <row r="122" spans="2:57" ht="21.75" customHeight="1" x14ac:dyDescent="0.45">
      <c r="B122" t="s">
        <v>115</v>
      </c>
      <c r="E122" s="31" t="s">
        <v>1548</v>
      </c>
      <c r="F122" t="str">
        <f>"Warengruppe&gt;&gt;"&amp;Migrationsartikel!V120&amp;"&gt;&gt;"&amp;Migrationsartikel!W120&amp;"&gt;&gt;"&amp;Migrationsartikel!X120</f>
        <v>Warengruppe&gt;&gt;Getränke&gt;&gt;Bier&gt;&gt;Bier</v>
      </c>
      <c r="J122" s="31" t="s">
        <v>125</v>
      </c>
      <c r="M122" s="31" t="s">
        <v>137</v>
      </c>
      <c r="P122" s="31">
        <f>Migrationsartikel!B120</f>
        <v>870</v>
      </c>
      <c r="R122" t="str">
        <f>Migrationsartikel!F120&amp;" "&amp;Migrationsartikel!G120&amp;" "&amp;Migrationsartikel!H120</f>
        <v>Bier aus der Region 10x33cl</v>
      </c>
      <c r="S122" t="str">
        <f>Migrationsartikel!J120&amp;" "&amp;Migrationsartikel!K120&amp;" "&amp;Migrationsartikel!L120</f>
        <v>Bière de la région 10x33cl</v>
      </c>
      <c r="T122" t="str">
        <f>Migrationsartikel!N120&amp;" "&amp;Migrationsartikel!O120&amp;" "&amp;Migrationsartikel!P120</f>
        <v>Birra della regione 10x33cl</v>
      </c>
      <c r="U122" t="str">
        <f>Migrationsartikel!F120</f>
        <v>Bier</v>
      </c>
      <c r="V122" t="str">
        <f>Migrationsartikel!J120</f>
        <v>Bière</v>
      </c>
      <c r="W122" t="str">
        <f>Migrationsartikel!N120</f>
        <v>Birra</v>
      </c>
      <c r="X122" t="str">
        <f>Migrationsartikel!G120</f>
        <v>aus der Region</v>
      </c>
      <c r="Y122" t="str">
        <f>Migrationsartikel!K120</f>
        <v>de la région</v>
      </c>
      <c r="Z122" t="str">
        <f>Migrationsartikel!O120</f>
        <v>della regione</v>
      </c>
      <c r="AA122" s="31" t="str">
        <f>Migrationsartikel!H120</f>
        <v>10x33cl</v>
      </c>
      <c r="AB122" s="31" t="str">
        <f>Migrationsartikel!L120</f>
        <v>10x33cl</v>
      </c>
      <c r="AC122" s="31" t="str">
        <f>Migrationsartikel!P120</f>
        <v>10x33cl</v>
      </c>
      <c r="AD122" t="str">
        <f>Migrationsartikel!I120</f>
        <v>Bier 10x33cl</v>
      </c>
      <c r="AE122" t="str">
        <f>Migrationsartikel!M120</f>
        <v>Bière 10x33cl</v>
      </c>
      <c r="AF122" t="str">
        <f>Migrationsartikel!Q120</f>
        <v>Birra 10x33cl</v>
      </c>
      <c r="AG122" s="45">
        <f>Migrationsartikel!R120</f>
        <v>0.33</v>
      </c>
      <c r="AH122" s="46" t="str">
        <f>Migrationsartikel!T120</f>
        <v>Centiliter</v>
      </c>
      <c r="AI122" s="46" t="str">
        <f t="shared" si="3"/>
        <v>2</v>
      </c>
      <c r="AJ122" s="46" t="s">
        <v>176</v>
      </c>
      <c r="AK122">
        <f>Migrationsartikel!S120</f>
        <v>10</v>
      </c>
      <c r="AL122">
        <f>Migrationsartikel!S120</f>
        <v>10</v>
      </c>
      <c r="AM122">
        <f>Migrationsartikel!S120</f>
        <v>10</v>
      </c>
      <c r="AN122" t="str">
        <f>Migrationsartikel!U120</f>
        <v>(PCE) Stück</v>
      </c>
      <c r="AO122" t="str">
        <f t="shared" si="4"/>
        <v>(PCE) Pièce</v>
      </c>
      <c r="AP122" t="str">
        <f t="shared" si="5"/>
        <v>(PCE) Pièce</v>
      </c>
      <c r="AQ122" s="31" t="s">
        <v>195</v>
      </c>
      <c r="AR122" s="47"/>
      <c r="AS122" s="47"/>
      <c r="AT122" s="31" t="s">
        <v>208</v>
      </c>
      <c r="AU122" s="47"/>
      <c r="AV122" s="47"/>
      <c r="AW122" t="str">
        <f>IF(Migrationsartikel!AB120="ja","true",FALSE)</f>
        <v>true</v>
      </c>
      <c r="AX122" t="str">
        <f>IF(Migrationsartikel!AC120="ja","true",FALSE)</f>
        <v>true</v>
      </c>
      <c r="AY122" t="str">
        <f>IF(Migrationsartikel!AD120="ja","true",FALSE)</f>
        <v>true</v>
      </c>
      <c r="AZ122" t="str">
        <f>IF(Migrationsartikel!AE120="ja","true",FALSE)</f>
        <v>true</v>
      </c>
      <c r="BA122" t="str">
        <f>IF(Migrationsartikel!AF120="ja","Denner Partner","")</f>
        <v/>
      </c>
      <c r="BB122" t="str">
        <f>IF(Migrationsartikel!AG120="ja","true","false")</f>
        <v>false</v>
      </c>
      <c r="BC122" t="s">
        <v>1923</v>
      </c>
      <c r="BD122" s="31" t="s">
        <v>235</v>
      </c>
      <c r="BE122" s="31" t="s">
        <v>233</v>
      </c>
    </row>
    <row r="123" spans="2:57" ht="21.75" customHeight="1" x14ac:dyDescent="0.45">
      <c r="B123" t="s">
        <v>115</v>
      </c>
      <c r="E123" s="31" t="s">
        <v>1549</v>
      </c>
      <c r="F123" t="str">
        <f>"Warengruppe&gt;&gt;"&amp;Migrationsartikel!V121&amp;"&gt;&gt;"&amp;Migrationsartikel!W121&amp;"&gt;&gt;"&amp;Migrationsartikel!X121</f>
        <v>Warengruppe&gt;&gt;Getränke&gt;&gt;Bier&gt;&gt;Bier</v>
      </c>
      <c r="J123" s="31" t="s">
        <v>125</v>
      </c>
      <c r="M123" s="31" t="s">
        <v>137</v>
      </c>
      <c r="P123" s="31">
        <f>Migrationsartikel!B121</f>
        <v>871</v>
      </c>
      <c r="R123" t="str">
        <f>Migrationsartikel!F121&amp;" "&amp;Migrationsartikel!G121&amp;" "&amp;Migrationsartikel!H121</f>
        <v>Bier aus der Region 6x33cl</v>
      </c>
      <c r="S123" t="str">
        <f>Migrationsartikel!J121&amp;" "&amp;Migrationsartikel!K121&amp;" "&amp;Migrationsartikel!L121</f>
        <v>Bière de la région 6x33cl</v>
      </c>
      <c r="T123" t="str">
        <f>Migrationsartikel!N121&amp;" "&amp;Migrationsartikel!O121&amp;" "&amp;Migrationsartikel!P121</f>
        <v>Birra della regione 6x33cl</v>
      </c>
      <c r="U123" t="str">
        <f>Migrationsartikel!F121</f>
        <v>Bier</v>
      </c>
      <c r="V123" t="str">
        <f>Migrationsartikel!J121</f>
        <v>Bière</v>
      </c>
      <c r="W123" t="str">
        <f>Migrationsartikel!N121</f>
        <v>Birra</v>
      </c>
      <c r="X123" t="str">
        <f>Migrationsartikel!G121</f>
        <v>aus der Region</v>
      </c>
      <c r="Y123" t="str">
        <f>Migrationsartikel!K121</f>
        <v>de la région</v>
      </c>
      <c r="Z123" t="str">
        <f>Migrationsartikel!O121</f>
        <v>della regione</v>
      </c>
      <c r="AA123" s="31" t="str">
        <f>Migrationsartikel!H121</f>
        <v>6x33cl</v>
      </c>
      <c r="AB123" s="31" t="str">
        <f>Migrationsartikel!L121</f>
        <v>6x33cl</v>
      </c>
      <c r="AC123" s="31" t="str">
        <f>Migrationsartikel!P121</f>
        <v>6x33cl</v>
      </c>
      <c r="AD123" t="str">
        <f>Migrationsartikel!I121</f>
        <v>Bier 6x33cl</v>
      </c>
      <c r="AE123" t="str">
        <f>Migrationsartikel!M121</f>
        <v>Bière 6x33cl</v>
      </c>
      <c r="AF123" t="str">
        <f>Migrationsartikel!Q121</f>
        <v>Birra 6x33cl</v>
      </c>
      <c r="AG123" s="45">
        <f>Migrationsartikel!R121</f>
        <v>0.33</v>
      </c>
      <c r="AH123" s="46" t="str">
        <f>Migrationsartikel!T121</f>
        <v>Centiliter</v>
      </c>
      <c r="AI123" s="46" t="str">
        <f t="shared" si="3"/>
        <v>2</v>
      </c>
      <c r="AJ123" s="46" t="s">
        <v>176</v>
      </c>
      <c r="AK123">
        <f>Migrationsartikel!S121</f>
        <v>10</v>
      </c>
      <c r="AL123">
        <f>Migrationsartikel!S121</f>
        <v>10</v>
      </c>
      <c r="AM123">
        <f>Migrationsartikel!S121</f>
        <v>10</v>
      </c>
      <c r="AN123" t="str">
        <f>Migrationsartikel!U121</f>
        <v>(PCE) Stück</v>
      </c>
      <c r="AO123" t="str">
        <f t="shared" si="4"/>
        <v>(PCE) Pièce</v>
      </c>
      <c r="AP123" t="str">
        <f t="shared" si="5"/>
        <v>(PCE) Pièce</v>
      </c>
      <c r="AQ123" s="31" t="s">
        <v>195</v>
      </c>
      <c r="AR123" s="47"/>
      <c r="AS123" s="47"/>
      <c r="AT123" s="31" t="s">
        <v>208</v>
      </c>
      <c r="AU123" s="47"/>
      <c r="AV123" s="47"/>
      <c r="AW123" t="str">
        <f>IF(Migrationsartikel!AB121="ja","true",FALSE)</f>
        <v>true</v>
      </c>
      <c r="AX123" t="str">
        <f>IF(Migrationsartikel!AC121="ja","true",FALSE)</f>
        <v>true</v>
      </c>
      <c r="AY123" t="str">
        <f>IF(Migrationsartikel!AD121="ja","true",FALSE)</f>
        <v>true</v>
      </c>
      <c r="AZ123" t="str">
        <f>IF(Migrationsartikel!AE121="ja","true",FALSE)</f>
        <v>true</v>
      </c>
      <c r="BA123" t="str">
        <f>IF(Migrationsartikel!AF121="ja","Denner Partner","")</f>
        <v/>
      </c>
      <c r="BB123" t="str">
        <f>IF(Migrationsartikel!AG121="ja","true","false")</f>
        <v>false</v>
      </c>
      <c r="BC123" t="s">
        <v>1923</v>
      </c>
      <c r="BD123" s="31" t="s">
        <v>235</v>
      </c>
      <c r="BE123" s="31" t="s">
        <v>233</v>
      </c>
    </row>
    <row r="124" spans="2:57" ht="21.75" customHeight="1" x14ac:dyDescent="0.45">
      <c r="B124" t="s">
        <v>115</v>
      </c>
      <c r="E124" s="31" t="s">
        <v>1550</v>
      </c>
      <c r="F124" t="str">
        <f>"Warengruppe&gt;&gt;"&amp;Migrationsartikel!V122&amp;"&gt;&gt;"&amp;Migrationsartikel!W122&amp;"&gt;&gt;"&amp;Migrationsartikel!X122</f>
        <v>Warengruppe&gt;&gt;Getränke&gt;&gt;Bier&gt;&gt;Bier</v>
      </c>
      <c r="J124" s="31" t="s">
        <v>125</v>
      </c>
      <c r="M124" s="31" t="s">
        <v>137</v>
      </c>
      <c r="P124" s="31">
        <f>Migrationsartikel!B122</f>
        <v>872</v>
      </c>
      <c r="R124" t="str">
        <f>Migrationsartikel!F122&amp;" "&amp;Migrationsartikel!G122&amp;" "&amp;Migrationsartikel!H122</f>
        <v>Bier aus der Region 4x33cl</v>
      </c>
      <c r="S124" t="str">
        <f>Migrationsartikel!J122&amp;" "&amp;Migrationsartikel!K122&amp;" "&amp;Migrationsartikel!L122</f>
        <v>Bière de la région 4x33cl</v>
      </c>
      <c r="T124" t="str">
        <f>Migrationsartikel!N122&amp;" "&amp;Migrationsartikel!O122&amp;" "&amp;Migrationsartikel!P122</f>
        <v>Birra della regione 4x33cl</v>
      </c>
      <c r="U124" t="str">
        <f>Migrationsartikel!F122</f>
        <v>Bier</v>
      </c>
      <c r="V124" t="str">
        <f>Migrationsartikel!J122</f>
        <v>Bière</v>
      </c>
      <c r="W124" t="str">
        <f>Migrationsartikel!N122</f>
        <v>Birra</v>
      </c>
      <c r="X124" t="str">
        <f>Migrationsartikel!G122</f>
        <v>aus der Region</v>
      </c>
      <c r="Y124" t="str">
        <f>Migrationsartikel!K122</f>
        <v>de la région</v>
      </c>
      <c r="Z124" t="str">
        <f>Migrationsartikel!O122</f>
        <v>della regione</v>
      </c>
      <c r="AA124" s="31" t="str">
        <f>Migrationsartikel!H122</f>
        <v>4x33cl</v>
      </c>
      <c r="AB124" s="31" t="str">
        <f>Migrationsartikel!L122</f>
        <v>4x33cl</v>
      </c>
      <c r="AC124" s="31" t="str">
        <f>Migrationsartikel!P122</f>
        <v>4x33cl</v>
      </c>
      <c r="AD124" t="str">
        <f>Migrationsartikel!I122</f>
        <v>Bier 4x33cl</v>
      </c>
      <c r="AE124" t="str">
        <f>Migrationsartikel!M122</f>
        <v>Bière 4x33cl</v>
      </c>
      <c r="AF124" t="str">
        <f>Migrationsartikel!Q122</f>
        <v>Birra 4x33cl</v>
      </c>
      <c r="AG124" s="45">
        <f>Migrationsartikel!R122</f>
        <v>0.33</v>
      </c>
      <c r="AH124" s="46" t="str">
        <f>Migrationsartikel!T122</f>
        <v>Centiliter</v>
      </c>
      <c r="AI124" s="46" t="str">
        <f t="shared" si="3"/>
        <v>2</v>
      </c>
      <c r="AJ124" s="46" t="s">
        <v>176</v>
      </c>
      <c r="AK124">
        <f>Migrationsartikel!S122</f>
        <v>10</v>
      </c>
      <c r="AL124">
        <f>Migrationsartikel!S122</f>
        <v>10</v>
      </c>
      <c r="AM124">
        <f>Migrationsartikel!S122</f>
        <v>10</v>
      </c>
      <c r="AN124" t="str">
        <f>Migrationsartikel!U122</f>
        <v>(PCE) Stück</v>
      </c>
      <c r="AO124" t="str">
        <f t="shared" si="4"/>
        <v>(PCE) Pièce</v>
      </c>
      <c r="AP124" t="str">
        <f t="shared" si="5"/>
        <v>(PCE) Pièce</v>
      </c>
      <c r="AQ124" s="31" t="s">
        <v>195</v>
      </c>
      <c r="AR124" s="47"/>
      <c r="AS124" s="47"/>
      <c r="AT124" s="31" t="s">
        <v>208</v>
      </c>
      <c r="AU124" s="47"/>
      <c r="AV124" s="47"/>
      <c r="AW124" t="str">
        <f>IF(Migrationsartikel!AB122="ja","true",FALSE)</f>
        <v>true</v>
      </c>
      <c r="AX124" t="str">
        <f>IF(Migrationsartikel!AC122="ja","true",FALSE)</f>
        <v>true</v>
      </c>
      <c r="AY124" t="str">
        <f>IF(Migrationsartikel!AD122="ja","true",FALSE)</f>
        <v>true</v>
      </c>
      <c r="AZ124" t="str">
        <f>IF(Migrationsartikel!AE122="ja","true",FALSE)</f>
        <v>true</v>
      </c>
      <c r="BA124" t="str">
        <f>IF(Migrationsartikel!AF122="ja","Denner Partner","")</f>
        <v/>
      </c>
      <c r="BB124" t="str">
        <f>IF(Migrationsartikel!AG122="ja","true","false")</f>
        <v>false</v>
      </c>
      <c r="BC124" t="s">
        <v>1923</v>
      </c>
      <c r="BD124" s="31" t="s">
        <v>235</v>
      </c>
      <c r="BE124" s="31" t="s">
        <v>233</v>
      </c>
    </row>
    <row r="125" spans="2:57" ht="21.75" customHeight="1" x14ac:dyDescent="0.45">
      <c r="B125" t="s">
        <v>115</v>
      </c>
      <c r="E125" s="31" t="s">
        <v>1551</v>
      </c>
      <c r="F125" t="str">
        <f>"Warengruppe&gt;&gt;"&amp;Migrationsartikel!V123&amp;"&gt;&gt;"&amp;Migrationsartikel!W123&amp;"&gt;&gt;"&amp;Migrationsartikel!X123</f>
        <v>Warengruppe&gt;&gt;Getränke&gt;&gt;Bier&gt;&gt;Bier</v>
      </c>
      <c r="J125" s="31" t="s">
        <v>125</v>
      </c>
      <c r="M125" s="31" t="s">
        <v>137</v>
      </c>
      <c r="P125" s="31">
        <f>Migrationsartikel!B123</f>
        <v>873</v>
      </c>
      <c r="R125" t="str">
        <f>Migrationsartikel!F123&amp;" "&amp;Migrationsartikel!G123&amp;" "&amp;Migrationsartikel!H123</f>
        <v>Bier aus der Region 3x33cl</v>
      </c>
      <c r="S125" t="str">
        <f>Migrationsartikel!J123&amp;" "&amp;Migrationsartikel!K123&amp;" "&amp;Migrationsartikel!L123</f>
        <v>Bière de la région 3x33cl</v>
      </c>
      <c r="T125" t="str">
        <f>Migrationsartikel!N123&amp;" "&amp;Migrationsartikel!O123&amp;" "&amp;Migrationsartikel!P123</f>
        <v>Birra della regione 3x33cl</v>
      </c>
      <c r="U125" t="str">
        <f>Migrationsartikel!F123</f>
        <v>Bier</v>
      </c>
      <c r="V125" t="str">
        <f>Migrationsartikel!J123</f>
        <v>Bière</v>
      </c>
      <c r="W125" t="str">
        <f>Migrationsartikel!N123</f>
        <v>Birra</v>
      </c>
      <c r="X125" t="str">
        <f>Migrationsartikel!G123</f>
        <v>aus der Region</v>
      </c>
      <c r="Y125" t="str">
        <f>Migrationsartikel!K123</f>
        <v>de la région</v>
      </c>
      <c r="Z125" t="str">
        <f>Migrationsartikel!O123</f>
        <v>della regione</v>
      </c>
      <c r="AA125" s="31" t="str">
        <f>Migrationsartikel!H123</f>
        <v>3x33cl</v>
      </c>
      <c r="AB125" s="31" t="str">
        <f>Migrationsartikel!L123</f>
        <v>3x33cl</v>
      </c>
      <c r="AC125" s="31" t="str">
        <f>Migrationsartikel!P123</f>
        <v>3x33cl</v>
      </c>
      <c r="AD125" t="str">
        <f>Migrationsartikel!I123</f>
        <v>Bier 3x33cl</v>
      </c>
      <c r="AE125" t="str">
        <f>Migrationsartikel!M123</f>
        <v>Bière 3x33cl</v>
      </c>
      <c r="AF125" t="str">
        <f>Migrationsartikel!Q123</f>
        <v>Birra 3x33cl</v>
      </c>
      <c r="AG125" s="45">
        <f>Migrationsartikel!R123</f>
        <v>0.33</v>
      </c>
      <c r="AH125" s="46" t="str">
        <f>Migrationsartikel!T123</f>
        <v>Centiliter</v>
      </c>
      <c r="AI125" s="46" t="str">
        <f t="shared" si="3"/>
        <v>2</v>
      </c>
      <c r="AJ125" s="46" t="s">
        <v>176</v>
      </c>
      <c r="AK125">
        <f>Migrationsartikel!S123</f>
        <v>10</v>
      </c>
      <c r="AL125">
        <f>Migrationsartikel!S123</f>
        <v>10</v>
      </c>
      <c r="AM125">
        <f>Migrationsartikel!S123</f>
        <v>10</v>
      </c>
      <c r="AN125" t="str">
        <f>Migrationsartikel!U123</f>
        <v>(PCE) Stück</v>
      </c>
      <c r="AO125" t="str">
        <f t="shared" si="4"/>
        <v>(PCE) Pièce</v>
      </c>
      <c r="AP125" t="str">
        <f t="shared" si="5"/>
        <v>(PCE) Pièce</v>
      </c>
      <c r="AQ125" s="31" t="s">
        <v>195</v>
      </c>
      <c r="AR125" s="47"/>
      <c r="AS125" s="47"/>
      <c r="AT125" s="31" t="s">
        <v>208</v>
      </c>
      <c r="AU125" s="47"/>
      <c r="AV125" s="47"/>
      <c r="AW125" t="str">
        <f>IF(Migrationsartikel!AB123="ja","true",FALSE)</f>
        <v>true</v>
      </c>
      <c r="AX125" t="str">
        <f>IF(Migrationsartikel!AC123="ja","true",FALSE)</f>
        <v>true</v>
      </c>
      <c r="AY125" t="str">
        <f>IF(Migrationsartikel!AD123="ja","true",FALSE)</f>
        <v>true</v>
      </c>
      <c r="AZ125" t="str">
        <f>IF(Migrationsartikel!AE123="ja","true",FALSE)</f>
        <v>true</v>
      </c>
      <c r="BA125" t="str">
        <f>IF(Migrationsartikel!AF123="ja","Denner Partner","")</f>
        <v/>
      </c>
      <c r="BB125" t="str">
        <f>IF(Migrationsartikel!AG123="ja","true","false")</f>
        <v>false</v>
      </c>
      <c r="BC125" t="s">
        <v>1923</v>
      </c>
      <c r="BD125" s="31" t="s">
        <v>235</v>
      </c>
      <c r="BE125" s="31" t="s">
        <v>233</v>
      </c>
    </row>
    <row r="126" spans="2:57" ht="21.75" customHeight="1" x14ac:dyDescent="0.45">
      <c r="B126" t="s">
        <v>115</v>
      </c>
      <c r="E126" s="31" t="s">
        <v>1552</v>
      </c>
      <c r="F126" t="str">
        <f>"Warengruppe&gt;&gt;"&amp;Migrationsartikel!V124&amp;"&gt;&gt;"&amp;Migrationsartikel!W124&amp;"&gt;&gt;"&amp;Migrationsartikel!X124</f>
        <v>Warengruppe&gt;&gt;Getränke&gt;&gt;Bier&gt;&gt;Bier</v>
      </c>
      <c r="J126" s="31" t="s">
        <v>125</v>
      </c>
      <c r="M126" s="31" t="s">
        <v>137</v>
      </c>
      <c r="P126" s="31">
        <f>Migrationsartikel!B124</f>
        <v>874</v>
      </c>
      <c r="R126" t="str">
        <f>Migrationsartikel!F124&amp;" "&amp;Migrationsartikel!G124&amp;" "&amp;Migrationsartikel!H124</f>
        <v>Bier aus der Region 33cl</v>
      </c>
      <c r="S126" t="str">
        <f>Migrationsartikel!J124&amp;" "&amp;Migrationsartikel!K124&amp;" "&amp;Migrationsartikel!L124</f>
        <v>Bière de la région 33cl</v>
      </c>
      <c r="T126" t="str">
        <f>Migrationsartikel!N124&amp;" "&amp;Migrationsartikel!O124&amp;" "&amp;Migrationsartikel!P124</f>
        <v>Birra della regione 33cl</v>
      </c>
      <c r="U126" t="str">
        <f>Migrationsartikel!F124</f>
        <v>Bier</v>
      </c>
      <c r="V126" t="str">
        <f>Migrationsartikel!J124</f>
        <v>Bière</v>
      </c>
      <c r="W126" t="str">
        <f>Migrationsartikel!N124</f>
        <v>Birra</v>
      </c>
      <c r="X126" t="str">
        <f>Migrationsartikel!G124</f>
        <v>aus der Region</v>
      </c>
      <c r="Y126" t="str">
        <f>Migrationsartikel!K124</f>
        <v>de la région</v>
      </c>
      <c r="Z126" t="str">
        <f>Migrationsartikel!O124</f>
        <v>della regione</v>
      </c>
      <c r="AA126" s="31" t="str">
        <f>Migrationsartikel!H124</f>
        <v>33cl</v>
      </c>
      <c r="AB126" s="31" t="str">
        <f>Migrationsartikel!L124</f>
        <v>33cl</v>
      </c>
      <c r="AC126" s="31" t="str">
        <f>Migrationsartikel!P124</f>
        <v>33cl</v>
      </c>
      <c r="AD126" t="str">
        <f>Migrationsartikel!I124</f>
        <v>Bier 33cl</v>
      </c>
      <c r="AE126" t="str">
        <f>Migrationsartikel!M124</f>
        <v>Bière 33cl</v>
      </c>
      <c r="AF126" t="str">
        <f>Migrationsartikel!Q124</f>
        <v>Birra 33cl</v>
      </c>
      <c r="AG126" s="45">
        <f>Migrationsartikel!R124</f>
        <v>0.33</v>
      </c>
      <c r="AH126" s="46" t="str">
        <f>Migrationsartikel!T124</f>
        <v>Centiliter</v>
      </c>
      <c r="AI126" s="46" t="str">
        <f t="shared" si="3"/>
        <v>2</v>
      </c>
      <c r="AJ126" s="46" t="s">
        <v>176</v>
      </c>
      <c r="AK126">
        <f>Migrationsartikel!S124</f>
        <v>10</v>
      </c>
      <c r="AL126">
        <f>Migrationsartikel!S124</f>
        <v>10</v>
      </c>
      <c r="AM126">
        <f>Migrationsartikel!S124</f>
        <v>10</v>
      </c>
      <c r="AN126" t="str">
        <f>Migrationsartikel!U124</f>
        <v>(PCE) Stück</v>
      </c>
      <c r="AO126" t="str">
        <f t="shared" si="4"/>
        <v>(PCE) Pièce</v>
      </c>
      <c r="AP126" t="str">
        <f t="shared" si="5"/>
        <v>(PCE) Pièce</v>
      </c>
      <c r="AQ126" s="31" t="s">
        <v>195</v>
      </c>
      <c r="AR126" s="47"/>
      <c r="AS126" s="47"/>
      <c r="AT126" s="31" t="s">
        <v>208</v>
      </c>
      <c r="AU126" s="47"/>
      <c r="AV126" s="47"/>
      <c r="AW126" t="str">
        <f>IF(Migrationsartikel!AB124="ja","true",FALSE)</f>
        <v>true</v>
      </c>
      <c r="AX126" t="str">
        <f>IF(Migrationsartikel!AC124="ja","true",FALSE)</f>
        <v>true</v>
      </c>
      <c r="AY126" t="str">
        <f>IF(Migrationsartikel!AD124="ja","true",FALSE)</f>
        <v>true</v>
      </c>
      <c r="AZ126" t="str">
        <f>IF(Migrationsartikel!AE124="ja","true",FALSE)</f>
        <v>true</v>
      </c>
      <c r="BA126" t="str">
        <f>IF(Migrationsartikel!AF124="ja","Denner Partner","")</f>
        <v/>
      </c>
      <c r="BB126" t="str">
        <f>IF(Migrationsartikel!AG124="ja","true","false")</f>
        <v>false</v>
      </c>
      <c r="BC126" t="s">
        <v>1923</v>
      </c>
      <c r="BD126" s="31" t="s">
        <v>235</v>
      </c>
      <c r="BE126" s="31" t="s">
        <v>233</v>
      </c>
    </row>
    <row r="127" spans="2:57" ht="21.75" customHeight="1" x14ac:dyDescent="0.45">
      <c r="B127" t="s">
        <v>115</v>
      </c>
      <c r="E127" s="31" t="s">
        <v>1553</v>
      </c>
      <c r="F127" t="str">
        <f>"Warengruppe&gt;&gt;"&amp;Migrationsartikel!V125&amp;"&gt;&gt;"&amp;Migrationsartikel!W125&amp;"&gt;&gt;"&amp;Migrationsartikel!X125</f>
        <v>Warengruppe&gt;&gt;Getränke&gt;&gt;Bier&gt;&gt;Bier</v>
      </c>
      <c r="J127" s="31" t="s">
        <v>125</v>
      </c>
      <c r="M127" s="31" t="s">
        <v>137</v>
      </c>
      <c r="P127" s="31">
        <f>Migrationsartikel!B125</f>
        <v>875</v>
      </c>
      <c r="R127" t="str">
        <f>Migrationsartikel!F125&amp;" "&amp;Migrationsartikel!G125&amp;" "&amp;Migrationsartikel!H125</f>
        <v>Bier aus der Region 6x50cl</v>
      </c>
      <c r="S127" t="str">
        <f>Migrationsartikel!J125&amp;" "&amp;Migrationsartikel!K125&amp;" "&amp;Migrationsartikel!L125</f>
        <v>Bière de la région 6x50cl</v>
      </c>
      <c r="T127" t="str">
        <f>Migrationsartikel!N125&amp;" "&amp;Migrationsartikel!O125&amp;" "&amp;Migrationsartikel!P125</f>
        <v>Birra della regione 6x50cl</v>
      </c>
      <c r="U127" t="str">
        <f>Migrationsartikel!F125</f>
        <v>Bier</v>
      </c>
      <c r="V127" t="str">
        <f>Migrationsartikel!J125</f>
        <v>Bière</v>
      </c>
      <c r="W127" t="str">
        <f>Migrationsartikel!N125</f>
        <v>Birra</v>
      </c>
      <c r="X127" t="str">
        <f>Migrationsartikel!G125</f>
        <v>aus der Region</v>
      </c>
      <c r="Y127" t="str">
        <f>Migrationsartikel!K125</f>
        <v>de la région</v>
      </c>
      <c r="Z127" t="str">
        <f>Migrationsartikel!O125</f>
        <v>della regione</v>
      </c>
      <c r="AA127" s="31" t="str">
        <f>Migrationsartikel!H125</f>
        <v>6x50cl</v>
      </c>
      <c r="AB127" s="31" t="str">
        <f>Migrationsartikel!L125</f>
        <v>6x50cl</v>
      </c>
      <c r="AC127" s="31" t="str">
        <f>Migrationsartikel!P125</f>
        <v>6x50cl</v>
      </c>
      <c r="AD127" t="str">
        <f>Migrationsartikel!I125</f>
        <v>Bier 6x50cl</v>
      </c>
      <c r="AE127" t="str">
        <f>Migrationsartikel!M125</f>
        <v>Bière 6x50cl</v>
      </c>
      <c r="AF127" t="str">
        <f>Migrationsartikel!Q125</f>
        <v>Birra 6x50cl</v>
      </c>
      <c r="AG127" s="45">
        <f>Migrationsartikel!R125</f>
        <v>0.5</v>
      </c>
      <c r="AH127" s="46" t="str">
        <f>Migrationsartikel!T125</f>
        <v>Centiliter</v>
      </c>
      <c r="AI127" s="46" t="str">
        <f t="shared" si="3"/>
        <v>2</v>
      </c>
      <c r="AJ127" s="46" t="s">
        <v>176</v>
      </c>
      <c r="AK127">
        <f>Migrationsartikel!S125</f>
        <v>10</v>
      </c>
      <c r="AL127">
        <f>Migrationsartikel!S125</f>
        <v>10</v>
      </c>
      <c r="AM127">
        <f>Migrationsartikel!S125</f>
        <v>10</v>
      </c>
      <c r="AN127" t="str">
        <f>Migrationsartikel!U125</f>
        <v>(PCE) Stück</v>
      </c>
      <c r="AO127" t="str">
        <f t="shared" si="4"/>
        <v>(PCE) Pièce</v>
      </c>
      <c r="AP127" t="str">
        <f t="shared" si="5"/>
        <v>(PCE) Pièce</v>
      </c>
      <c r="AQ127" s="31" t="s">
        <v>195</v>
      </c>
      <c r="AR127" s="47"/>
      <c r="AS127" s="47"/>
      <c r="AT127" s="31" t="s">
        <v>208</v>
      </c>
      <c r="AU127" s="47"/>
      <c r="AV127" s="47"/>
      <c r="AW127" t="str">
        <f>IF(Migrationsartikel!AB125="ja","true",FALSE)</f>
        <v>true</v>
      </c>
      <c r="AX127" t="str">
        <f>IF(Migrationsartikel!AC125="ja","true",FALSE)</f>
        <v>true</v>
      </c>
      <c r="AY127" t="str">
        <f>IF(Migrationsartikel!AD125="ja","true",FALSE)</f>
        <v>true</v>
      </c>
      <c r="AZ127" t="str">
        <f>IF(Migrationsartikel!AE125="ja","true",FALSE)</f>
        <v>true</v>
      </c>
      <c r="BA127" t="str">
        <f>IF(Migrationsartikel!AF125="ja","Denner Partner","")</f>
        <v/>
      </c>
      <c r="BB127" t="str">
        <f>IF(Migrationsartikel!AG125="ja","true","false")</f>
        <v>false</v>
      </c>
      <c r="BC127" t="s">
        <v>1923</v>
      </c>
      <c r="BD127" s="31" t="s">
        <v>235</v>
      </c>
      <c r="BE127" s="31" t="s">
        <v>233</v>
      </c>
    </row>
    <row r="128" spans="2:57" ht="21.75" customHeight="1" x14ac:dyDescent="0.45">
      <c r="B128" t="s">
        <v>115</v>
      </c>
      <c r="E128" s="31" t="s">
        <v>1554</v>
      </c>
      <c r="F128" t="str">
        <f>"Warengruppe&gt;&gt;"&amp;Migrationsartikel!V126&amp;"&gt;&gt;"&amp;Migrationsartikel!W126&amp;"&gt;&gt;"&amp;Migrationsartikel!X126</f>
        <v>Warengruppe&gt;&gt;Getränke&gt;&gt;Bier&gt;&gt;Bier</v>
      </c>
      <c r="J128" s="31" t="s">
        <v>125</v>
      </c>
      <c r="M128" s="31" t="s">
        <v>137</v>
      </c>
      <c r="P128" s="31">
        <f>Migrationsartikel!B126</f>
        <v>876</v>
      </c>
      <c r="R128" t="str">
        <f>Migrationsartikel!F126&amp;" "&amp;Migrationsartikel!G126&amp;" "&amp;Migrationsartikel!H126</f>
        <v>Bier aus der Region 4x50cl</v>
      </c>
      <c r="S128" t="str">
        <f>Migrationsartikel!J126&amp;" "&amp;Migrationsartikel!K126&amp;" "&amp;Migrationsartikel!L126</f>
        <v>Bière de la région 4x50cl</v>
      </c>
      <c r="T128" t="str">
        <f>Migrationsartikel!N126&amp;" "&amp;Migrationsartikel!O126&amp;" "&amp;Migrationsartikel!P126</f>
        <v>Birra della regione 4x50cl</v>
      </c>
      <c r="U128" t="str">
        <f>Migrationsartikel!F126</f>
        <v>Bier</v>
      </c>
      <c r="V128" t="str">
        <f>Migrationsartikel!J126</f>
        <v>Bière</v>
      </c>
      <c r="W128" t="str">
        <f>Migrationsartikel!N126</f>
        <v>Birra</v>
      </c>
      <c r="X128" t="str">
        <f>Migrationsartikel!G126</f>
        <v>aus der Region</v>
      </c>
      <c r="Y128" t="str">
        <f>Migrationsartikel!K126</f>
        <v>de la région</v>
      </c>
      <c r="Z128" t="str">
        <f>Migrationsartikel!O126</f>
        <v>della regione</v>
      </c>
      <c r="AA128" s="31" t="str">
        <f>Migrationsartikel!H126</f>
        <v>4x50cl</v>
      </c>
      <c r="AB128" s="31" t="str">
        <f>Migrationsartikel!L126</f>
        <v>4x50cl</v>
      </c>
      <c r="AC128" s="31" t="str">
        <f>Migrationsartikel!P126</f>
        <v>4x50cl</v>
      </c>
      <c r="AD128" t="str">
        <f>Migrationsartikel!I126</f>
        <v>Bier 4x50cl</v>
      </c>
      <c r="AE128" t="str">
        <f>Migrationsartikel!M126</f>
        <v>Bière 4x50cl</v>
      </c>
      <c r="AF128" t="str">
        <f>Migrationsartikel!Q126</f>
        <v>Birra 4x50cl</v>
      </c>
      <c r="AG128" s="45">
        <f>Migrationsartikel!R126</f>
        <v>0.5</v>
      </c>
      <c r="AH128" s="46" t="str">
        <f>Migrationsartikel!T126</f>
        <v>Centiliter</v>
      </c>
      <c r="AI128" s="46" t="str">
        <f t="shared" si="3"/>
        <v>2</v>
      </c>
      <c r="AJ128" s="46" t="s">
        <v>176</v>
      </c>
      <c r="AK128">
        <f>Migrationsartikel!S126</f>
        <v>10</v>
      </c>
      <c r="AL128">
        <f>Migrationsartikel!S126</f>
        <v>10</v>
      </c>
      <c r="AM128">
        <f>Migrationsartikel!S126</f>
        <v>10</v>
      </c>
      <c r="AN128" t="str">
        <f>Migrationsartikel!U126</f>
        <v>(PCE) Stück</v>
      </c>
      <c r="AO128" t="str">
        <f t="shared" si="4"/>
        <v>(PCE) Pièce</v>
      </c>
      <c r="AP128" t="str">
        <f t="shared" si="5"/>
        <v>(PCE) Pièce</v>
      </c>
      <c r="AQ128" s="31" t="s">
        <v>195</v>
      </c>
      <c r="AR128" s="47"/>
      <c r="AS128" s="47"/>
      <c r="AT128" s="31" t="s">
        <v>208</v>
      </c>
      <c r="AU128" s="47"/>
      <c r="AV128" s="47"/>
      <c r="AW128" t="str">
        <f>IF(Migrationsartikel!AB126="ja","true",FALSE)</f>
        <v>true</v>
      </c>
      <c r="AX128" t="str">
        <f>IF(Migrationsartikel!AC126="ja","true",FALSE)</f>
        <v>true</v>
      </c>
      <c r="AY128" t="str">
        <f>IF(Migrationsartikel!AD126="ja","true",FALSE)</f>
        <v>true</v>
      </c>
      <c r="AZ128" t="str">
        <f>IF(Migrationsartikel!AE126="ja","true",FALSE)</f>
        <v>true</v>
      </c>
      <c r="BA128" t="str">
        <f>IF(Migrationsartikel!AF126="ja","Denner Partner","")</f>
        <v/>
      </c>
      <c r="BB128" t="str">
        <f>IF(Migrationsartikel!AG126="ja","true","false")</f>
        <v>false</v>
      </c>
      <c r="BC128" t="s">
        <v>1923</v>
      </c>
      <c r="BD128" s="31" t="s">
        <v>235</v>
      </c>
      <c r="BE128" s="31" t="s">
        <v>233</v>
      </c>
    </row>
    <row r="129" spans="2:57" ht="21.75" customHeight="1" x14ac:dyDescent="0.45">
      <c r="B129" t="s">
        <v>115</v>
      </c>
      <c r="E129" s="31" t="s">
        <v>1555</v>
      </c>
      <c r="F129" t="str">
        <f>"Warengruppe&gt;&gt;"&amp;Migrationsartikel!V127&amp;"&gt;&gt;"&amp;Migrationsartikel!W127&amp;"&gt;&gt;"&amp;Migrationsartikel!X127</f>
        <v>Warengruppe&gt;&gt;Getränke&gt;&gt;Bier&gt;&gt;Bier</v>
      </c>
      <c r="J129" s="31" t="s">
        <v>125</v>
      </c>
      <c r="M129" s="31" t="s">
        <v>137</v>
      </c>
      <c r="P129" s="31">
        <f>Migrationsartikel!B127</f>
        <v>877</v>
      </c>
      <c r="R129" t="str">
        <f>Migrationsartikel!F127&amp;" "&amp;Migrationsartikel!G127&amp;" "&amp;Migrationsartikel!H127</f>
        <v>Bier aus der Region 50cl</v>
      </c>
      <c r="S129" t="str">
        <f>Migrationsartikel!J127&amp;" "&amp;Migrationsartikel!K127&amp;" "&amp;Migrationsartikel!L127</f>
        <v>Bière de la région 50cl</v>
      </c>
      <c r="T129" t="str">
        <f>Migrationsartikel!N127&amp;" "&amp;Migrationsartikel!O127&amp;" "&amp;Migrationsartikel!P127</f>
        <v>Birra della regione 50cl</v>
      </c>
      <c r="U129" t="str">
        <f>Migrationsartikel!F127</f>
        <v>Bier</v>
      </c>
      <c r="V129" t="str">
        <f>Migrationsartikel!J127</f>
        <v>Bière</v>
      </c>
      <c r="W129" t="str">
        <f>Migrationsartikel!N127</f>
        <v>Birra</v>
      </c>
      <c r="X129" t="str">
        <f>Migrationsartikel!G127</f>
        <v>aus der Region</v>
      </c>
      <c r="Y129" t="str">
        <f>Migrationsartikel!K127</f>
        <v>de la région</v>
      </c>
      <c r="Z129" t="str">
        <f>Migrationsartikel!O127</f>
        <v>della regione</v>
      </c>
      <c r="AA129" s="31" t="str">
        <f>Migrationsartikel!H127</f>
        <v>50cl</v>
      </c>
      <c r="AB129" s="31" t="str">
        <f>Migrationsartikel!L127</f>
        <v>50cl</v>
      </c>
      <c r="AC129" s="31" t="str">
        <f>Migrationsartikel!P127</f>
        <v>50cl</v>
      </c>
      <c r="AD129" t="str">
        <f>Migrationsartikel!I127</f>
        <v>Bier 50cl</v>
      </c>
      <c r="AE129" t="str">
        <f>Migrationsartikel!M127</f>
        <v>Bière 50cl</v>
      </c>
      <c r="AF129" t="str">
        <f>Migrationsartikel!Q127</f>
        <v>Birra 50cl</v>
      </c>
      <c r="AG129" s="45">
        <f>Migrationsartikel!R127</f>
        <v>0.5</v>
      </c>
      <c r="AH129" s="46" t="str">
        <f>Migrationsartikel!T127</f>
        <v>Centiliter</v>
      </c>
      <c r="AI129" s="46" t="str">
        <f t="shared" si="3"/>
        <v>2</v>
      </c>
      <c r="AJ129" s="46" t="s">
        <v>176</v>
      </c>
      <c r="AK129">
        <f>Migrationsartikel!S127</f>
        <v>10</v>
      </c>
      <c r="AL129">
        <f>Migrationsartikel!S127</f>
        <v>10</v>
      </c>
      <c r="AM129">
        <f>Migrationsartikel!S127</f>
        <v>10</v>
      </c>
      <c r="AN129" t="str">
        <f>Migrationsartikel!U127</f>
        <v>(PCE) Stück</v>
      </c>
      <c r="AO129" t="str">
        <f t="shared" si="4"/>
        <v>(PCE) Pièce</v>
      </c>
      <c r="AP129" t="str">
        <f t="shared" si="5"/>
        <v>(PCE) Pièce</v>
      </c>
      <c r="AQ129" s="31" t="s">
        <v>195</v>
      </c>
      <c r="AR129" s="47"/>
      <c r="AS129" s="47"/>
      <c r="AT129" s="31" t="s">
        <v>208</v>
      </c>
      <c r="AU129" s="47"/>
      <c r="AV129" s="47"/>
      <c r="AW129" t="str">
        <f>IF(Migrationsartikel!AB127="ja","true",FALSE)</f>
        <v>true</v>
      </c>
      <c r="AX129" t="str">
        <f>IF(Migrationsartikel!AC127="ja","true",FALSE)</f>
        <v>true</v>
      </c>
      <c r="AY129" t="str">
        <f>IF(Migrationsartikel!AD127="ja","true",FALSE)</f>
        <v>true</v>
      </c>
      <c r="AZ129" t="str">
        <f>IF(Migrationsartikel!AE127="ja","true",FALSE)</f>
        <v>true</v>
      </c>
      <c r="BA129" t="str">
        <f>IF(Migrationsartikel!AF127="ja","Denner Partner","")</f>
        <v/>
      </c>
      <c r="BB129" t="str">
        <f>IF(Migrationsartikel!AG127="ja","true","false")</f>
        <v>false</v>
      </c>
      <c r="BC129" t="s">
        <v>1923</v>
      </c>
      <c r="BD129" s="31" t="s">
        <v>235</v>
      </c>
      <c r="BE129" s="31" t="s">
        <v>233</v>
      </c>
    </row>
    <row r="130" spans="2:57" ht="21.75" customHeight="1" x14ac:dyDescent="0.45">
      <c r="B130" t="s">
        <v>115</v>
      </c>
      <c r="E130" s="31" t="s">
        <v>1556</v>
      </c>
      <c r="F130" t="str">
        <f>"Warengruppe&gt;&gt;"&amp;Migrationsartikel!V128&amp;"&gt;&gt;"&amp;Migrationsartikel!W128&amp;"&gt;&gt;"&amp;Migrationsartikel!X128</f>
        <v>Warengruppe&gt;&gt;Getränke&gt;&gt;Bier&gt;&gt;Bier</v>
      </c>
      <c r="J130" s="31" t="s">
        <v>125</v>
      </c>
      <c r="M130" s="31" t="s">
        <v>137</v>
      </c>
      <c r="P130" s="31">
        <f>Migrationsartikel!B128</f>
        <v>878</v>
      </c>
      <c r="R130" t="str">
        <f>Migrationsartikel!F128&amp;" "&amp;Migrationsartikel!G128&amp;" "&amp;Migrationsartikel!H128</f>
        <v>Bier aus der Region 75cl</v>
      </c>
      <c r="S130" t="str">
        <f>Migrationsartikel!J128&amp;" "&amp;Migrationsartikel!K128&amp;" "&amp;Migrationsartikel!L128</f>
        <v>Bière de la région 75cl</v>
      </c>
      <c r="T130" t="str">
        <f>Migrationsartikel!N128&amp;" "&amp;Migrationsartikel!O128&amp;" "&amp;Migrationsartikel!P128</f>
        <v>Birra della regione 75cl</v>
      </c>
      <c r="U130" t="str">
        <f>Migrationsartikel!F128</f>
        <v>Bier</v>
      </c>
      <c r="V130" t="str">
        <f>Migrationsartikel!J128</f>
        <v>Bière</v>
      </c>
      <c r="W130" t="str">
        <f>Migrationsartikel!N128</f>
        <v>Birra</v>
      </c>
      <c r="X130" t="str">
        <f>Migrationsartikel!G128</f>
        <v>aus der Region</v>
      </c>
      <c r="Y130" t="str">
        <f>Migrationsartikel!K128</f>
        <v>de la région</v>
      </c>
      <c r="Z130" t="str">
        <f>Migrationsartikel!O128</f>
        <v>della regione</v>
      </c>
      <c r="AA130" s="31" t="str">
        <f>Migrationsartikel!H128</f>
        <v>75cl</v>
      </c>
      <c r="AB130" s="31" t="str">
        <f>Migrationsartikel!L128</f>
        <v>75cl</v>
      </c>
      <c r="AC130" s="31" t="str">
        <f>Migrationsartikel!P128</f>
        <v>75cl</v>
      </c>
      <c r="AD130" t="str">
        <f>Migrationsartikel!I128</f>
        <v>Bier 75cl</v>
      </c>
      <c r="AE130" t="str">
        <f>Migrationsartikel!M128</f>
        <v>Bière 75cl</v>
      </c>
      <c r="AF130" t="str">
        <f>Migrationsartikel!Q128</f>
        <v>Birra 75cl</v>
      </c>
      <c r="AG130" s="45">
        <f>Migrationsartikel!R128</f>
        <v>0.75</v>
      </c>
      <c r="AH130" s="46" t="str">
        <f>Migrationsartikel!T128</f>
        <v>Centiliter</v>
      </c>
      <c r="AI130" s="46" t="str">
        <f t="shared" si="3"/>
        <v>2</v>
      </c>
      <c r="AJ130" s="46" t="s">
        <v>176</v>
      </c>
      <c r="AK130">
        <f>Migrationsartikel!S128</f>
        <v>10</v>
      </c>
      <c r="AL130">
        <f>Migrationsartikel!S128</f>
        <v>10</v>
      </c>
      <c r="AM130">
        <f>Migrationsartikel!S128</f>
        <v>10</v>
      </c>
      <c r="AN130" t="str">
        <f>Migrationsartikel!U128</f>
        <v>(PCE) Stück</v>
      </c>
      <c r="AO130" t="str">
        <f t="shared" si="4"/>
        <v>(PCE) Pièce</v>
      </c>
      <c r="AP130" t="str">
        <f t="shared" si="5"/>
        <v>(PCE) Pièce</v>
      </c>
      <c r="AQ130" s="31" t="s">
        <v>195</v>
      </c>
      <c r="AR130" s="47"/>
      <c r="AS130" s="47"/>
      <c r="AT130" s="31" t="s">
        <v>208</v>
      </c>
      <c r="AU130" s="47"/>
      <c r="AV130" s="47"/>
      <c r="AW130" t="str">
        <f>IF(Migrationsartikel!AB128="ja","true",FALSE)</f>
        <v>true</v>
      </c>
      <c r="AX130" t="str">
        <f>IF(Migrationsartikel!AC128="ja","true",FALSE)</f>
        <v>true</v>
      </c>
      <c r="AY130" t="str">
        <f>IF(Migrationsartikel!AD128="ja","true",FALSE)</f>
        <v>true</v>
      </c>
      <c r="AZ130" t="str">
        <f>IF(Migrationsartikel!AE128="ja","true",FALSE)</f>
        <v>true</v>
      </c>
      <c r="BA130" t="str">
        <f>IF(Migrationsartikel!AF128="ja","Denner Partner","")</f>
        <v/>
      </c>
      <c r="BB130" t="str">
        <f>IF(Migrationsartikel!AG128="ja","true","false")</f>
        <v>false</v>
      </c>
      <c r="BC130" t="s">
        <v>1923</v>
      </c>
      <c r="BD130" s="31" t="s">
        <v>235</v>
      </c>
      <c r="BE130" s="31" t="s">
        <v>233</v>
      </c>
    </row>
    <row r="131" spans="2:57" ht="21.75" customHeight="1" x14ac:dyDescent="0.45">
      <c r="B131" t="s">
        <v>115</v>
      </c>
      <c r="E131" s="31" t="s">
        <v>1557</v>
      </c>
      <c r="F131" t="str">
        <f>"Warengruppe&gt;&gt;"&amp;Migrationsartikel!V129&amp;"&gt;&gt;"&amp;Migrationsartikel!W129&amp;"&gt;&gt;"&amp;Migrationsartikel!X129</f>
        <v>Warengruppe&gt;&gt;Getränke&gt;&gt;Kaffee und Tee&gt;&gt;Kaffee</v>
      </c>
      <c r="J131" s="31" t="s">
        <v>125</v>
      </c>
      <c r="M131" s="31" t="s">
        <v>137</v>
      </c>
      <c r="P131" s="31">
        <f>Migrationsartikel!B129</f>
        <v>879</v>
      </c>
      <c r="R131" t="str">
        <f>Migrationsartikel!F129&amp;" "&amp;Migrationsartikel!G129&amp;" "&amp;Migrationsartikel!H129</f>
        <v>Kaffee  aus der Region 1Stk</v>
      </c>
      <c r="S131" t="str">
        <f>Migrationsartikel!J129&amp;" "&amp;Migrationsartikel!K129&amp;" "&amp;Migrationsartikel!L129</f>
        <v>Café  de la région 1pce</v>
      </c>
      <c r="T131" t="str">
        <f>Migrationsartikel!N129&amp;" "&amp;Migrationsartikel!O129&amp;" "&amp;Migrationsartikel!P129</f>
        <v>Caffè  della regione 1pz</v>
      </c>
      <c r="U131" t="str">
        <f>Migrationsartikel!F129</f>
        <v xml:space="preserve">Kaffee </v>
      </c>
      <c r="V131" t="str">
        <f>Migrationsartikel!J129</f>
        <v xml:space="preserve">Café </v>
      </c>
      <c r="W131" t="str">
        <f>Migrationsartikel!N129</f>
        <v xml:space="preserve">Caffè </v>
      </c>
      <c r="X131" t="str">
        <f>Migrationsartikel!G129</f>
        <v>aus der Region</v>
      </c>
      <c r="Y131" t="str">
        <f>Migrationsartikel!K129</f>
        <v>de la région</v>
      </c>
      <c r="Z131" t="str">
        <f>Migrationsartikel!O129</f>
        <v>della regione</v>
      </c>
      <c r="AA131" s="31" t="str">
        <f>Migrationsartikel!H129</f>
        <v>1Stk</v>
      </c>
      <c r="AB131" s="31" t="str">
        <f>Migrationsartikel!L129</f>
        <v>1pce</v>
      </c>
      <c r="AC131" s="31" t="str">
        <f>Migrationsartikel!P129</f>
        <v>1pz</v>
      </c>
      <c r="AD131" t="str">
        <f>Migrationsartikel!I129</f>
        <v xml:space="preserve">Kaffee </v>
      </c>
      <c r="AE131" t="str">
        <f>Migrationsartikel!M129</f>
        <v xml:space="preserve">Café </v>
      </c>
      <c r="AF131" t="str">
        <f>Migrationsartikel!Q129</f>
        <v xml:space="preserve">Caffè </v>
      </c>
      <c r="AG131" s="45">
        <f>Migrationsartikel!R129</f>
        <v>1</v>
      </c>
      <c r="AH131" s="46" t="str">
        <f>Migrationsartikel!T129</f>
        <v>Centiliter</v>
      </c>
      <c r="AI131" s="46" t="str">
        <f t="shared" si="3"/>
        <v>2</v>
      </c>
      <c r="AJ131" s="46" t="s">
        <v>176</v>
      </c>
      <c r="AK131">
        <f>Migrationsartikel!S129</f>
        <v>10</v>
      </c>
      <c r="AL131">
        <f>Migrationsartikel!S129</f>
        <v>10</v>
      </c>
      <c r="AM131">
        <f>Migrationsartikel!S129</f>
        <v>10</v>
      </c>
      <c r="AN131" t="str">
        <f>Migrationsartikel!U129</f>
        <v>(PCE) Stück</v>
      </c>
      <c r="AO131" t="str">
        <f t="shared" si="4"/>
        <v>(PCE) Pièce</v>
      </c>
      <c r="AP131" t="str">
        <f t="shared" si="5"/>
        <v>(PCE) Pièce</v>
      </c>
      <c r="AQ131" s="31" t="s">
        <v>195</v>
      </c>
      <c r="AR131" s="47"/>
      <c r="AS131" s="47"/>
      <c r="AT131" s="31" t="s">
        <v>208</v>
      </c>
      <c r="AU131" s="47"/>
      <c r="AV131" s="47"/>
      <c r="AW131" t="str">
        <f>IF(Migrationsartikel!AB129="ja","true",FALSE)</f>
        <v>true</v>
      </c>
      <c r="AX131" t="str">
        <f>IF(Migrationsartikel!AC129="ja","true",FALSE)</f>
        <v>true</v>
      </c>
      <c r="AY131" t="str">
        <f>IF(Migrationsartikel!AD129="ja","true",FALSE)</f>
        <v>true</v>
      </c>
      <c r="AZ131" t="str">
        <f>IF(Migrationsartikel!AE129="ja","true",FALSE)</f>
        <v>true</v>
      </c>
      <c r="BA131" t="str">
        <f>IF(Migrationsartikel!AF129="ja","Denner Partner","")</f>
        <v/>
      </c>
      <c r="BB131" t="str">
        <f>IF(Migrationsartikel!AG129="ja","true","false")</f>
        <v>false</v>
      </c>
      <c r="BC131" t="s">
        <v>1923</v>
      </c>
      <c r="BD131" s="31" t="s">
        <v>235</v>
      </c>
      <c r="BE131" s="31" t="s">
        <v>233</v>
      </c>
    </row>
    <row r="132" spans="2:57" ht="21.75" customHeight="1" x14ac:dyDescent="0.45">
      <c r="B132" t="s">
        <v>115</v>
      </c>
      <c r="E132" s="31" t="s">
        <v>1558</v>
      </c>
      <c r="F132" t="str">
        <f>"Warengruppe&gt;&gt;"&amp;Migrationsartikel!V130&amp;"&gt;&gt;"&amp;Migrationsartikel!W130&amp;"&gt;&gt;"&amp;Migrationsartikel!X130</f>
        <v>Warengruppe&gt;&gt;Getränke&gt;&gt;Kaffee und Tee&gt;&gt;Kaffee</v>
      </c>
      <c r="J132" s="31" t="s">
        <v>125</v>
      </c>
      <c r="M132" s="31" t="s">
        <v>137</v>
      </c>
      <c r="P132" s="31">
        <f>Migrationsartikel!B130</f>
        <v>880</v>
      </c>
      <c r="R132" t="str">
        <f>Migrationsartikel!F130&amp;" "&amp;Migrationsartikel!G130&amp;" "&amp;Migrationsartikel!H130</f>
        <v>Kaffee to go aus der Region 1Stk</v>
      </c>
      <c r="S132" t="str">
        <f>Migrationsartikel!J130&amp;" "&amp;Migrationsartikel!K130&amp;" "&amp;Migrationsartikel!L130</f>
        <v>Café à l'emporter de la région 1pce</v>
      </c>
      <c r="T132" t="str">
        <f>Migrationsartikel!N130&amp;" "&amp;Migrationsartikel!O130&amp;" "&amp;Migrationsartikel!P130</f>
        <v>Caffè da asporto della regione 1pz</v>
      </c>
      <c r="U132" t="str">
        <f>Migrationsartikel!F130</f>
        <v>Kaffee to go</v>
      </c>
      <c r="V132" t="str">
        <f>Migrationsartikel!J130</f>
        <v>Café à l'emporter</v>
      </c>
      <c r="W132" t="str">
        <f>Migrationsartikel!N130</f>
        <v>Caffè da asporto</v>
      </c>
      <c r="X132" t="str">
        <f>Migrationsartikel!G130</f>
        <v>aus der Region</v>
      </c>
      <c r="Y132" t="str">
        <f>Migrationsartikel!K130</f>
        <v>de la région</v>
      </c>
      <c r="Z132" t="str">
        <f>Migrationsartikel!O130</f>
        <v>della regione</v>
      </c>
      <c r="AA132" s="31" t="str">
        <f>Migrationsartikel!H130</f>
        <v>1Stk</v>
      </c>
      <c r="AB132" s="31" t="str">
        <f>Migrationsartikel!L130</f>
        <v>1pce</v>
      </c>
      <c r="AC132" s="31" t="str">
        <f>Migrationsartikel!P130</f>
        <v>1pz</v>
      </c>
      <c r="AD132" t="str">
        <f>Migrationsartikel!I130</f>
        <v>Kaffee to go</v>
      </c>
      <c r="AE132" t="str">
        <f>Migrationsartikel!M130</f>
        <v>Café à l'emporter</v>
      </c>
      <c r="AF132" t="str">
        <f>Migrationsartikel!Q130</f>
        <v>Caffè da asporto</v>
      </c>
      <c r="AG132" s="45">
        <f>Migrationsartikel!R130</f>
        <v>1</v>
      </c>
      <c r="AH132" s="46" t="str">
        <f>Migrationsartikel!T130</f>
        <v>Centiliter</v>
      </c>
      <c r="AI132" s="46" t="str">
        <f t="shared" si="3"/>
        <v>2</v>
      </c>
      <c r="AJ132" s="46" t="s">
        <v>176</v>
      </c>
      <c r="AK132">
        <f>Migrationsartikel!S130</f>
        <v>10</v>
      </c>
      <c r="AL132">
        <f>Migrationsartikel!S130</f>
        <v>10</v>
      </c>
      <c r="AM132">
        <f>Migrationsartikel!S130</f>
        <v>10</v>
      </c>
      <c r="AN132" t="str">
        <f>Migrationsartikel!U130</f>
        <v>(PCE) Stück</v>
      </c>
      <c r="AO132" t="str">
        <f t="shared" si="4"/>
        <v>(PCE) Pièce</v>
      </c>
      <c r="AP132" t="str">
        <f t="shared" si="5"/>
        <v>(PCE) Pièce</v>
      </c>
      <c r="AQ132" s="31" t="s">
        <v>195</v>
      </c>
      <c r="AR132" s="47"/>
      <c r="AS132" s="47"/>
      <c r="AT132" s="31" t="s">
        <v>208</v>
      </c>
      <c r="AU132" s="47"/>
      <c r="AV132" s="47"/>
      <c r="AW132" t="str">
        <f>IF(Migrationsartikel!AB130="ja","true",FALSE)</f>
        <v>true</v>
      </c>
      <c r="AX132" t="str">
        <f>IF(Migrationsartikel!AC130="ja","true",FALSE)</f>
        <v>true</v>
      </c>
      <c r="AY132" t="str">
        <f>IF(Migrationsartikel!AD130="ja","true",FALSE)</f>
        <v>true</v>
      </c>
      <c r="AZ132" t="str">
        <f>IF(Migrationsartikel!AE130="ja","true",FALSE)</f>
        <v>true</v>
      </c>
      <c r="BA132" t="str">
        <f>IF(Migrationsartikel!AF130="ja","Denner Partner","")</f>
        <v/>
      </c>
      <c r="BB132" t="str">
        <f>IF(Migrationsartikel!AG130="ja","true","false")</f>
        <v>false</v>
      </c>
      <c r="BC132" t="s">
        <v>1923</v>
      </c>
      <c r="BD132" s="31" t="s">
        <v>235</v>
      </c>
      <c r="BE132" s="31" t="s">
        <v>233</v>
      </c>
    </row>
    <row r="133" spans="2:57" ht="21.75" customHeight="1" x14ac:dyDescent="0.45">
      <c r="B133" t="s">
        <v>115</v>
      </c>
      <c r="E133" s="31" t="s">
        <v>1559</v>
      </c>
      <c r="F133" t="str">
        <f>"Warengruppe&gt;&gt;"&amp;Migrationsartikel!V131&amp;"&gt;&gt;"&amp;Migrationsartikel!W131&amp;"&gt;&gt;"&amp;Migrationsartikel!X131</f>
        <v>Warengruppe&gt;&gt;Getränke&gt;&gt;Spirituosen&gt;&gt;Spirituosen</v>
      </c>
      <c r="J133" s="31" t="s">
        <v>125</v>
      </c>
      <c r="M133" s="31" t="s">
        <v>137</v>
      </c>
      <c r="P133" s="31">
        <f>Migrationsartikel!B131</f>
        <v>881</v>
      </c>
      <c r="R133" t="str">
        <f>Migrationsartikel!F131&amp;" "&amp;Migrationsartikel!G131&amp;" "&amp;Migrationsartikel!H131</f>
        <v>Absinth aus der Region 1l</v>
      </c>
      <c r="S133" t="str">
        <f>Migrationsartikel!J131&amp;" "&amp;Migrationsartikel!K131&amp;" "&amp;Migrationsartikel!L131</f>
        <v>Absinthe de la région 1l</v>
      </c>
      <c r="T133" t="str">
        <f>Migrationsartikel!N131&amp;" "&amp;Migrationsartikel!O131&amp;" "&amp;Migrationsartikel!P131</f>
        <v>Assenzio della regione 1l</v>
      </c>
      <c r="U133" t="str">
        <f>Migrationsartikel!F131</f>
        <v>Absinth</v>
      </c>
      <c r="V133" t="str">
        <f>Migrationsartikel!J131</f>
        <v>Absinthe</v>
      </c>
      <c r="W133" t="str">
        <f>Migrationsartikel!N131</f>
        <v>Assenzio</v>
      </c>
      <c r="X133" t="str">
        <f>Migrationsartikel!G131</f>
        <v>aus der Region</v>
      </c>
      <c r="Y133" t="str">
        <f>Migrationsartikel!K131</f>
        <v>de la région</v>
      </c>
      <c r="Z133" t="str">
        <f>Migrationsartikel!O131</f>
        <v>della regione</v>
      </c>
      <c r="AA133" s="31" t="str">
        <f>Migrationsartikel!H131</f>
        <v>1l</v>
      </c>
      <c r="AB133" s="31" t="str">
        <f>Migrationsartikel!L131</f>
        <v>1l</v>
      </c>
      <c r="AC133" s="31" t="str">
        <f>Migrationsartikel!P131</f>
        <v>1l</v>
      </c>
      <c r="AD133" t="str">
        <f>Migrationsartikel!I131</f>
        <v>Absinth 1l</v>
      </c>
      <c r="AE133" t="str">
        <f>Migrationsartikel!M131</f>
        <v>Absinthe 1l</v>
      </c>
      <c r="AF133" t="str">
        <f>Migrationsartikel!Q131</f>
        <v>Assenzio 1l</v>
      </c>
      <c r="AG133" s="45">
        <f>Migrationsartikel!R131</f>
        <v>1</v>
      </c>
      <c r="AH133" s="46" t="str">
        <f>Migrationsartikel!T131</f>
        <v>Centiliter</v>
      </c>
      <c r="AI133" s="46" t="str">
        <f t="shared" ref="AI133:AI196" si="6">IF(AH133="Gramm","Gramm",(IF(AH133="Centiliter","2",IF(AH133="Kilogramm","3",IF(AH133="Liter","5",IF(AH133="Milliliter","6",(IF(AH133="Stück","7","n/a"))))))))</f>
        <v>2</v>
      </c>
      <c r="AJ133" s="46" t="s">
        <v>176</v>
      </c>
      <c r="AK133">
        <f>Migrationsartikel!S131</f>
        <v>10</v>
      </c>
      <c r="AL133">
        <f>Migrationsartikel!S131</f>
        <v>10</v>
      </c>
      <c r="AM133">
        <f>Migrationsartikel!S131</f>
        <v>10</v>
      </c>
      <c r="AN133" t="str">
        <f>Migrationsartikel!U131</f>
        <v>(PCE) Stück</v>
      </c>
      <c r="AO133" t="str">
        <f t="shared" ref="AO133:AO196" si="7">IF(AN133="(PCE) Stück","(PCE) Pièce",(IF(AN133="(KGM) KG","(KGM) Kg","n/a")))</f>
        <v>(PCE) Pièce</v>
      </c>
      <c r="AP133" t="str">
        <f t="shared" ref="AP133:AP196" si="8">IF(AN133="(PCE) Stück","(PCE) Pièce",(IF(AN133="(KGM) KG","(KGM) KG","n/a")))</f>
        <v>(PCE) Pièce</v>
      </c>
      <c r="AQ133" s="31" t="s">
        <v>195</v>
      </c>
      <c r="AR133" s="47"/>
      <c r="AS133" s="47"/>
      <c r="AT133" s="31" t="s">
        <v>208</v>
      </c>
      <c r="AU133" s="47"/>
      <c r="AV133" s="47"/>
      <c r="AW133" t="str">
        <f>IF(Migrationsartikel!AB131="ja","true",FALSE)</f>
        <v>true</v>
      </c>
      <c r="AX133" t="str">
        <f>IF(Migrationsartikel!AC131="ja","true",FALSE)</f>
        <v>true</v>
      </c>
      <c r="AY133" t="str">
        <f>IF(Migrationsartikel!AD131="ja","true",FALSE)</f>
        <v>true</v>
      </c>
      <c r="AZ133" t="str">
        <f>IF(Migrationsartikel!AE131="ja","true",FALSE)</f>
        <v>true</v>
      </c>
      <c r="BA133" t="str">
        <f>IF(Migrationsartikel!AF131="ja","Denner Partner","")</f>
        <v/>
      </c>
      <c r="BB133" t="str">
        <f>IF(Migrationsartikel!AG131="ja","true","false")</f>
        <v>false</v>
      </c>
      <c r="BC133" t="s">
        <v>1923</v>
      </c>
      <c r="BD133" s="31" t="s">
        <v>235</v>
      </c>
      <c r="BE133" s="31" t="s">
        <v>233</v>
      </c>
    </row>
    <row r="134" spans="2:57" ht="21.75" customHeight="1" x14ac:dyDescent="0.45">
      <c r="B134" t="s">
        <v>115</v>
      </c>
      <c r="E134" s="31" t="s">
        <v>1560</v>
      </c>
      <c r="F134" t="str">
        <f>"Warengruppe&gt;&gt;"&amp;Migrationsartikel!V132&amp;"&gt;&gt;"&amp;Migrationsartikel!W132&amp;"&gt;&gt;"&amp;Migrationsartikel!X132</f>
        <v>Warengruppe&gt;&gt;Getränke&gt;&gt;Spirituosen&gt;&gt;Spirituosen</v>
      </c>
      <c r="J134" s="31" t="s">
        <v>125</v>
      </c>
      <c r="M134" s="31" t="s">
        <v>137</v>
      </c>
      <c r="P134" s="31">
        <f>Migrationsartikel!B132</f>
        <v>882</v>
      </c>
      <c r="R134" t="str">
        <f>Migrationsartikel!F132&amp;" "&amp;Migrationsartikel!G132&amp;" "&amp;Migrationsartikel!H132</f>
        <v>Absinth aus der Region 50cl</v>
      </c>
      <c r="S134" t="str">
        <f>Migrationsartikel!J132&amp;" "&amp;Migrationsartikel!K132&amp;" "&amp;Migrationsartikel!L132</f>
        <v>Absinthe de la région 50cl</v>
      </c>
      <c r="T134" t="str">
        <f>Migrationsartikel!N132&amp;" "&amp;Migrationsartikel!O132&amp;" "&amp;Migrationsartikel!P132</f>
        <v>Assenzio della regione 50cl</v>
      </c>
      <c r="U134" t="str">
        <f>Migrationsartikel!F132</f>
        <v>Absinth</v>
      </c>
      <c r="V134" t="str">
        <f>Migrationsartikel!J132</f>
        <v>Absinthe</v>
      </c>
      <c r="W134" t="str">
        <f>Migrationsartikel!N132</f>
        <v>Assenzio</v>
      </c>
      <c r="X134" t="str">
        <f>Migrationsartikel!G132</f>
        <v>aus der Region</v>
      </c>
      <c r="Y134" t="str">
        <f>Migrationsartikel!K132</f>
        <v>de la région</v>
      </c>
      <c r="Z134" t="str">
        <f>Migrationsartikel!O132</f>
        <v>della regione</v>
      </c>
      <c r="AA134" s="31" t="str">
        <f>Migrationsartikel!H132</f>
        <v>50cl</v>
      </c>
      <c r="AB134" s="31" t="str">
        <f>Migrationsartikel!L132</f>
        <v>50cl</v>
      </c>
      <c r="AC134" s="31" t="str">
        <f>Migrationsartikel!P132</f>
        <v>50cl</v>
      </c>
      <c r="AD134" t="str">
        <f>Migrationsartikel!I132</f>
        <v>Absinth 50cl</v>
      </c>
      <c r="AE134" t="str">
        <f>Migrationsartikel!M132</f>
        <v>Absinthe 50cl</v>
      </c>
      <c r="AF134" t="str">
        <f>Migrationsartikel!Q132</f>
        <v>Assenzio 50cl</v>
      </c>
      <c r="AG134" s="45">
        <f>Migrationsartikel!R132</f>
        <v>0.5</v>
      </c>
      <c r="AH134" s="46" t="str">
        <f>Migrationsartikel!T132</f>
        <v>Centiliter</v>
      </c>
      <c r="AI134" s="46" t="str">
        <f t="shared" si="6"/>
        <v>2</v>
      </c>
      <c r="AJ134" s="46" t="s">
        <v>176</v>
      </c>
      <c r="AK134">
        <f>Migrationsartikel!S132</f>
        <v>10</v>
      </c>
      <c r="AL134">
        <f>Migrationsartikel!S132</f>
        <v>10</v>
      </c>
      <c r="AM134">
        <f>Migrationsartikel!S132</f>
        <v>10</v>
      </c>
      <c r="AN134" t="str">
        <f>Migrationsartikel!U132</f>
        <v>(PCE) Stück</v>
      </c>
      <c r="AO134" t="str">
        <f t="shared" si="7"/>
        <v>(PCE) Pièce</v>
      </c>
      <c r="AP134" t="str">
        <f t="shared" si="8"/>
        <v>(PCE) Pièce</v>
      </c>
      <c r="AQ134" s="31" t="s">
        <v>195</v>
      </c>
      <c r="AR134" s="47"/>
      <c r="AS134" s="47"/>
      <c r="AT134" s="31" t="s">
        <v>208</v>
      </c>
      <c r="AU134" s="47"/>
      <c r="AV134" s="47"/>
      <c r="AW134" t="str">
        <f>IF(Migrationsartikel!AB132="ja","true",FALSE)</f>
        <v>true</v>
      </c>
      <c r="AX134" t="str">
        <f>IF(Migrationsartikel!AC132="ja","true",FALSE)</f>
        <v>true</v>
      </c>
      <c r="AY134" t="str">
        <f>IF(Migrationsartikel!AD132="ja","true",FALSE)</f>
        <v>true</v>
      </c>
      <c r="AZ134" t="str">
        <f>IF(Migrationsartikel!AE132="ja","true",FALSE)</f>
        <v>true</v>
      </c>
      <c r="BA134" t="str">
        <f>IF(Migrationsartikel!AF132="ja","Denner Partner","")</f>
        <v/>
      </c>
      <c r="BB134" t="str">
        <f>IF(Migrationsartikel!AG132="ja","true","false")</f>
        <v>false</v>
      </c>
      <c r="BC134" t="s">
        <v>1923</v>
      </c>
      <c r="BD134" s="31" t="s">
        <v>235</v>
      </c>
      <c r="BE134" s="31" t="s">
        <v>233</v>
      </c>
    </row>
    <row r="135" spans="2:57" ht="21.75" customHeight="1" x14ac:dyDescent="0.45">
      <c r="B135" t="s">
        <v>115</v>
      </c>
      <c r="E135" s="31" t="s">
        <v>1561</v>
      </c>
      <c r="F135" t="str">
        <f>"Warengruppe&gt;&gt;"&amp;Migrationsartikel!V133&amp;"&gt;&gt;"&amp;Migrationsartikel!W133&amp;"&gt;&gt;"&amp;Migrationsartikel!X133</f>
        <v>Warengruppe&gt;&gt;Getränke&gt;&gt;Spirituosen&gt;&gt;Spirituosen</v>
      </c>
      <c r="J135" s="31" t="s">
        <v>125</v>
      </c>
      <c r="M135" s="31" t="s">
        <v>137</v>
      </c>
      <c r="P135" s="31">
        <f>Migrationsartikel!B133</f>
        <v>883</v>
      </c>
      <c r="R135" t="str">
        <f>Migrationsartikel!F133&amp;" "&amp;Migrationsartikel!G133&amp;" "&amp;Migrationsartikel!H133</f>
        <v>Grappa aus der Region 1l</v>
      </c>
      <c r="S135" t="str">
        <f>Migrationsartikel!J133&amp;" "&amp;Migrationsartikel!K133&amp;" "&amp;Migrationsartikel!L133</f>
        <v>Grappa de la région 1l</v>
      </c>
      <c r="T135" t="str">
        <f>Migrationsartikel!N133&amp;" "&amp;Migrationsartikel!O133&amp;" "&amp;Migrationsartikel!P133</f>
        <v>Grappa della regione 1l</v>
      </c>
      <c r="U135" t="str">
        <f>Migrationsartikel!F133</f>
        <v>Grappa</v>
      </c>
      <c r="V135" t="str">
        <f>Migrationsartikel!J133</f>
        <v>Grappa</v>
      </c>
      <c r="W135" t="str">
        <f>Migrationsartikel!N133</f>
        <v>Grappa</v>
      </c>
      <c r="X135" t="str">
        <f>Migrationsartikel!G133</f>
        <v>aus der Region</v>
      </c>
      <c r="Y135" t="str">
        <f>Migrationsartikel!K133</f>
        <v>de la région</v>
      </c>
      <c r="Z135" t="str">
        <f>Migrationsartikel!O133</f>
        <v>della regione</v>
      </c>
      <c r="AA135" s="31" t="str">
        <f>Migrationsartikel!H133</f>
        <v>1l</v>
      </c>
      <c r="AB135" s="31" t="str">
        <f>Migrationsartikel!L133</f>
        <v>1l</v>
      </c>
      <c r="AC135" s="31" t="str">
        <f>Migrationsartikel!P133</f>
        <v>1l</v>
      </c>
      <c r="AD135" t="str">
        <f>Migrationsartikel!I133</f>
        <v>Grappa 1l</v>
      </c>
      <c r="AE135" t="str">
        <f>Migrationsartikel!M133</f>
        <v>Grappa 1l</v>
      </c>
      <c r="AF135" t="str">
        <f>Migrationsartikel!Q133</f>
        <v>Grappa 1l</v>
      </c>
      <c r="AG135" s="45">
        <f>Migrationsartikel!R133</f>
        <v>1</v>
      </c>
      <c r="AH135" s="46" t="str">
        <f>Migrationsartikel!T133</f>
        <v>Centiliter</v>
      </c>
      <c r="AI135" s="46" t="str">
        <f t="shared" si="6"/>
        <v>2</v>
      </c>
      <c r="AJ135" s="46" t="s">
        <v>176</v>
      </c>
      <c r="AK135">
        <f>Migrationsartikel!S133</f>
        <v>10</v>
      </c>
      <c r="AL135">
        <f>Migrationsartikel!S133</f>
        <v>10</v>
      </c>
      <c r="AM135">
        <f>Migrationsartikel!S133</f>
        <v>10</v>
      </c>
      <c r="AN135" t="str">
        <f>Migrationsartikel!U133</f>
        <v>(PCE) Stück</v>
      </c>
      <c r="AO135" t="str">
        <f t="shared" si="7"/>
        <v>(PCE) Pièce</v>
      </c>
      <c r="AP135" t="str">
        <f t="shared" si="8"/>
        <v>(PCE) Pièce</v>
      </c>
      <c r="AQ135" s="31" t="s">
        <v>195</v>
      </c>
      <c r="AR135" s="47"/>
      <c r="AS135" s="47"/>
      <c r="AT135" s="31" t="s">
        <v>208</v>
      </c>
      <c r="AU135" s="47"/>
      <c r="AV135" s="47"/>
      <c r="AW135" t="str">
        <f>IF(Migrationsartikel!AB133="ja","true",FALSE)</f>
        <v>true</v>
      </c>
      <c r="AX135" t="str">
        <f>IF(Migrationsartikel!AC133="ja","true",FALSE)</f>
        <v>true</v>
      </c>
      <c r="AY135" t="str">
        <f>IF(Migrationsartikel!AD133="ja","true",FALSE)</f>
        <v>true</v>
      </c>
      <c r="AZ135" t="str">
        <f>IF(Migrationsartikel!AE133="ja","true",FALSE)</f>
        <v>true</v>
      </c>
      <c r="BA135" t="str">
        <f>IF(Migrationsartikel!AF133="ja","Denner Partner","")</f>
        <v/>
      </c>
      <c r="BB135" t="str">
        <f>IF(Migrationsartikel!AG133="ja","true","false")</f>
        <v>false</v>
      </c>
      <c r="BC135" t="s">
        <v>1923</v>
      </c>
      <c r="BD135" s="31" t="s">
        <v>235</v>
      </c>
      <c r="BE135" s="31" t="s">
        <v>233</v>
      </c>
    </row>
    <row r="136" spans="2:57" ht="21.75" customHeight="1" x14ac:dyDescent="0.45">
      <c r="B136" t="s">
        <v>115</v>
      </c>
      <c r="E136" s="31" t="s">
        <v>1562</v>
      </c>
      <c r="F136" t="str">
        <f>"Warengruppe&gt;&gt;"&amp;Migrationsartikel!V134&amp;"&gt;&gt;"&amp;Migrationsartikel!W134&amp;"&gt;&gt;"&amp;Migrationsartikel!X134</f>
        <v>Warengruppe&gt;&gt;Getränke&gt;&gt;Spirituosen&gt;&gt;Spirituosen</v>
      </c>
      <c r="J136" s="31" t="s">
        <v>125</v>
      </c>
      <c r="M136" s="31" t="s">
        <v>137</v>
      </c>
      <c r="P136" s="31">
        <f>Migrationsartikel!B134</f>
        <v>884</v>
      </c>
      <c r="R136" t="str">
        <f>Migrationsartikel!F134&amp;" "&amp;Migrationsartikel!G134&amp;" "&amp;Migrationsartikel!H134</f>
        <v>Grappa aus der Region 50cl</v>
      </c>
      <c r="S136" t="str">
        <f>Migrationsartikel!J134&amp;" "&amp;Migrationsartikel!K134&amp;" "&amp;Migrationsartikel!L134</f>
        <v>Grappa de la région 50cl</v>
      </c>
      <c r="T136" t="str">
        <f>Migrationsartikel!N134&amp;" "&amp;Migrationsartikel!O134&amp;" "&amp;Migrationsartikel!P134</f>
        <v>Grappa della regione 50cl</v>
      </c>
      <c r="U136" t="str">
        <f>Migrationsartikel!F134</f>
        <v>Grappa</v>
      </c>
      <c r="V136" t="str">
        <f>Migrationsartikel!J134</f>
        <v>Grappa</v>
      </c>
      <c r="W136" t="str">
        <f>Migrationsartikel!N134</f>
        <v>Grappa</v>
      </c>
      <c r="X136" t="str">
        <f>Migrationsartikel!G134</f>
        <v>aus der Region</v>
      </c>
      <c r="Y136" t="str">
        <f>Migrationsartikel!K134</f>
        <v>de la région</v>
      </c>
      <c r="Z136" t="str">
        <f>Migrationsartikel!O134</f>
        <v>della regione</v>
      </c>
      <c r="AA136" s="31" t="str">
        <f>Migrationsartikel!H134</f>
        <v>50cl</v>
      </c>
      <c r="AB136" s="31" t="str">
        <f>Migrationsartikel!L134</f>
        <v>50cl</v>
      </c>
      <c r="AC136" s="31" t="str">
        <f>Migrationsartikel!P134</f>
        <v>50cl</v>
      </c>
      <c r="AD136" t="str">
        <f>Migrationsartikel!I134</f>
        <v>Grappa 50cl</v>
      </c>
      <c r="AE136" t="str">
        <f>Migrationsartikel!M134</f>
        <v>Grappa 50cl</v>
      </c>
      <c r="AF136" t="str">
        <f>Migrationsartikel!Q134</f>
        <v>Grappa 50cl</v>
      </c>
      <c r="AG136" s="45">
        <f>Migrationsartikel!R134</f>
        <v>0.5</v>
      </c>
      <c r="AH136" s="46" t="str">
        <f>Migrationsartikel!T134</f>
        <v>Centiliter</v>
      </c>
      <c r="AI136" s="46" t="str">
        <f t="shared" si="6"/>
        <v>2</v>
      </c>
      <c r="AJ136" s="46" t="s">
        <v>176</v>
      </c>
      <c r="AK136">
        <f>Migrationsartikel!S134</f>
        <v>10</v>
      </c>
      <c r="AL136">
        <f>Migrationsartikel!S134</f>
        <v>10</v>
      </c>
      <c r="AM136">
        <f>Migrationsartikel!S134</f>
        <v>10</v>
      </c>
      <c r="AN136" t="str">
        <f>Migrationsartikel!U134</f>
        <v>(PCE) Stück</v>
      </c>
      <c r="AO136" t="str">
        <f t="shared" si="7"/>
        <v>(PCE) Pièce</v>
      </c>
      <c r="AP136" t="str">
        <f t="shared" si="8"/>
        <v>(PCE) Pièce</v>
      </c>
      <c r="AQ136" s="31" t="s">
        <v>195</v>
      </c>
      <c r="AR136" s="47"/>
      <c r="AS136" s="47"/>
      <c r="AT136" s="31" t="s">
        <v>208</v>
      </c>
      <c r="AU136" s="47"/>
      <c r="AV136" s="47"/>
      <c r="AW136" t="str">
        <f>IF(Migrationsartikel!AB134="ja","true",FALSE)</f>
        <v>true</v>
      </c>
      <c r="AX136" t="str">
        <f>IF(Migrationsartikel!AC134="ja","true",FALSE)</f>
        <v>true</v>
      </c>
      <c r="AY136" t="str">
        <f>IF(Migrationsartikel!AD134="ja","true",FALSE)</f>
        <v>true</v>
      </c>
      <c r="AZ136" t="str">
        <f>IF(Migrationsartikel!AE134="ja","true",FALSE)</f>
        <v>true</v>
      </c>
      <c r="BA136" t="str">
        <f>IF(Migrationsartikel!AF134="ja","Denner Partner","")</f>
        <v/>
      </c>
      <c r="BB136" t="str">
        <f>IF(Migrationsartikel!AG134="ja","true","false")</f>
        <v>false</v>
      </c>
      <c r="BC136" t="s">
        <v>1923</v>
      </c>
      <c r="BD136" s="31" t="s">
        <v>235</v>
      </c>
      <c r="BE136" s="31" t="s">
        <v>233</v>
      </c>
    </row>
    <row r="137" spans="2:57" ht="21.75" customHeight="1" x14ac:dyDescent="0.45">
      <c r="B137" t="s">
        <v>115</v>
      </c>
      <c r="E137" s="31" t="s">
        <v>1563</v>
      </c>
      <c r="F137" t="str">
        <f>"Warengruppe&gt;&gt;"&amp;Migrationsartikel!V135&amp;"&gt;&gt;"&amp;Migrationsartikel!W135&amp;"&gt;&gt;"&amp;Migrationsartikel!X135</f>
        <v>Warengruppe&gt;&gt;Getränke&gt;&gt;Spirituosen&gt;&gt;Spirituosen</v>
      </c>
      <c r="J137" s="31" t="s">
        <v>125</v>
      </c>
      <c r="M137" s="31" t="s">
        <v>137</v>
      </c>
      <c r="P137" s="31">
        <f>Migrationsartikel!B135</f>
        <v>885</v>
      </c>
      <c r="R137" t="str">
        <f>Migrationsartikel!F135&amp;" "&amp;Migrationsartikel!G135&amp;" "&amp;Migrationsartikel!H135</f>
        <v>Grappa aus der Region 70cl</v>
      </c>
      <c r="S137" t="str">
        <f>Migrationsartikel!J135&amp;" "&amp;Migrationsartikel!K135&amp;" "&amp;Migrationsartikel!L135</f>
        <v>Grappa de la région 70cl</v>
      </c>
      <c r="T137" t="str">
        <f>Migrationsartikel!N135&amp;" "&amp;Migrationsartikel!O135&amp;" "&amp;Migrationsartikel!P135</f>
        <v>Grappa della regione 70cl</v>
      </c>
      <c r="U137" t="str">
        <f>Migrationsartikel!F135</f>
        <v>Grappa</v>
      </c>
      <c r="V137" t="str">
        <f>Migrationsartikel!J135</f>
        <v>Grappa</v>
      </c>
      <c r="W137" t="str">
        <f>Migrationsartikel!N135</f>
        <v>Grappa</v>
      </c>
      <c r="X137" t="str">
        <f>Migrationsartikel!G135</f>
        <v>aus der Region</v>
      </c>
      <c r="Y137" t="str">
        <f>Migrationsartikel!K135</f>
        <v>de la région</v>
      </c>
      <c r="Z137" t="str">
        <f>Migrationsartikel!O135</f>
        <v>della regione</v>
      </c>
      <c r="AA137" s="31" t="str">
        <f>Migrationsartikel!H135</f>
        <v>70cl</v>
      </c>
      <c r="AB137" s="31" t="str">
        <f>Migrationsartikel!L135</f>
        <v>70cl</v>
      </c>
      <c r="AC137" s="31" t="str">
        <f>Migrationsartikel!P135</f>
        <v>70cl</v>
      </c>
      <c r="AD137" t="str">
        <f>Migrationsartikel!I135</f>
        <v>Grappa 70cl</v>
      </c>
      <c r="AE137" t="str">
        <f>Migrationsartikel!M135</f>
        <v>Grappa 70cl</v>
      </c>
      <c r="AF137" t="str">
        <f>Migrationsartikel!Q135</f>
        <v>Grappa 70cl</v>
      </c>
      <c r="AG137" s="45">
        <f>Migrationsartikel!R135</f>
        <v>0.7</v>
      </c>
      <c r="AH137" s="46" t="str">
        <f>Migrationsartikel!T135</f>
        <v>Centiliter</v>
      </c>
      <c r="AI137" s="46" t="str">
        <f t="shared" si="6"/>
        <v>2</v>
      </c>
      <c r="AJ137" s="46" t="s">
        <v>176</v>
      </c>
      <c r="AK137">
        <f>Migrationsartikel!S135</f>
        <v>10</v>
      </c>
      <c r="AL137">
        <f>Migrationsartikel!S135</f>
        <v>10</v>
      </c>
      <c r="AM137">
        <f>Migrationsartikel!S135</f>
        <v>10</v>
      </c>
      <c r="AN137" t="str">
        <f>Migrationsartikel!U135</f>
        <v>(PCE) Stück</v>
      </c>
      <c r="AO137" t="str">
        <f t="shared" si="7"/>
        <v>(PCE) Pièce</v>
      </c>
      <c r="AP137" t="str">
        <f t="shared" si="8"/>
        <v>(PCE) Pièce</v>
      </c>
      <c r="AQ137" s="31" t="s">
        <v>195</v>
      </c>
      <c r="AR137" s="47"/>
      <c r="AS137" s="47"/>
      <c r="AT137" s="31" t="s">
        <v>208</v>
      </c>
      <c r="AU137" s="47"/>
      <c r="AV137" s="47"/>
      <c r="AW137" t="str">
        <f>IF(Migrationsartikel!AB135="ja","true",FALSE)</f>
        <v>true</v>
      </c>
      <c r="AX137" t="str">
        <f>IF(Migrationsartikel!AC135="ja","true",FALSE)</f>
        <v>true</v>
      </c>
      <c r="AY137" t="str">
        <f>IF(Migrationsartikel!AD135="ja","true",FALSE)</f>
        <v>true</v>
      </c>
      <c r="AZ137" t="str">
        <f>IF(Migrationsartikel!AE135="ja","true",FALSE)</f>
        <v>true</v>
      </c>
      <c r="BA137" t="str">
        <f>IF(Migrationsartikel!AF135="ja","Denner Partner","")</f>
        <v/>
      </c>
      <c r="BB137" t="str">
        <f>IF(Migrationsartikel!AG135="ja","true","false")</f>
        <v>false</v>
      </c>
      <c r="BC137" t="s">
        <v>1923</v>
      </c>
      <c r="BD137" s="31" t="s">
        <v>235</v>
      </c>
      <c r="BE137" s="31" t="s">
        <v>233</v>
      </c>
    </row>
    <row r="138" spans="2:57" ht="21.75" customHeight="1" x14ac:dyDescent="0.45">
      <c r="B138" t="s">
        <v>115</v>
      </c>
      <c r="E138" s="31" t="s">
        <v>1564</v>
      </c>
      <c r="F138" t="str">
        <f>"Warengruppe&gt;&gt;"&amp;Migrationsartikel!V136&amp;"&gt;&gt;"&amp;Migrationsartikel!W136&amp;"&gt;&gt;"&amp;Migrationsartikel!X136</f>
        <v>Warengruppe&gt;&gt;Getränke&gt;&gt;Spirituosen&gt;&gt;Spirituosen</v>
      </c>
      <c r="J138" s="31" t="s">
        <v>125</v>
      </c>
      <c r="M138" s="31" t="s">
        <v>137</v>
      </c>
      <c r="P138" s="31">
        <f>Migrationsartikel!B136</f>
        <v>886</v>
      </c>
      <c r="R138" t="str">
        <f>Migrationsartikel!F136&amp;" "&amp;Migrationsartikel!G136&amp;" "&amp;Migrationsartikel!H136</f>
        <v>Likör &amp; Schnaps aus der Region 1Stk</v>
      </c>
      <c r="S138" t="str">
        <f>Migrationsartikel!J136&amp;" "&amp;Migrationsartikel!K136&amp;" "&amp;Migrationsartikel!L136</f>
        <v>Liqueurs &amp; eaux-de-vie de la région 1pce</v>
      </c>
      <c r="T138" t="str">
        <f>Migrationsartikel!N136&amp;" "&amp;Migrationsartikel!O136&amp;" "&amp;Migrationsartikel!P136</f>
        <v>Liquori e distillati della regione 1pz</v>
      </c>
      <c r="U138" t="str">
        <f>Migrationsartikel!F136</f>
        <v>Likör &amp; Schnaps</v>
      </c>
      <c r="V138" t="str">
        <f>Migrationsartikel!J136</f>
        <v>Liqueurs &amp; eaux-de-vie</v>
      </c>
      <c r="W138" t="str">
        <f>Migrationsartikel!N136</f>
        <v>Liquori e distillati</v>
      </c>
      <c r="X138" t="str">
        <f>Migrationsartikel!G136</f>
        <v>aus der Region</v>
      </c>
      <c r="Y138" t="str">
        <f>Migrationsartikel!K136</f>
        <v>de la région</v>
      </c>
      <c r="Z138" t="str">
        <f>Migrationsartikel!O136</f>
        <v>della regione</v>
      </c>
      <c r="AA138" s="31" t="str">
        <f>Migrationsartikel!H136</f>
        <v>1Stk</v>
      </c>
      <c r="AB138" s="31" t="str">
        <f>Migrationsartikel!L136</f>
        <v>1pce</v>
      </c>
      <c r="AC138" s="31" t="str">
        <f>Migrationsartikel!P136</f>
        <v>1pz</v>
      </c>
      <c r="AD138" t="str">
        <f>Migrationsartikel!I136</f>
        <v>Likör &amp; Schnaps</v>
      </c>
      <c r="AE138" t="str">
        <f>Migrationsartikel!M136</f>
        <v>Liqueurs &amp; eaux-de-vie</v>
      </c>
      <c r="AF138" t="str">
        <f>Migrationsartikel!Q136</f>
        <v>Liquori e distillati</v>
      </c>
      <c r="AG138" s="45">
        <f>Migrationsartikel!R136</f>
        <v>1</v>
      </c>
      <c r="AH138" s="46" t="str">
        <f>Migrationsartikel!T136</f>
        <v>Stück</v>
      </c>
      <c r="AI138" s="46" t="str">
        <f t="shared" si="6"/>
        <v>7</v>
      </c>
      <c r="AJ138" s="46" t="s">
        <v>176</v>
      </c>
      <c r="AK138">
        <f>Migrationsartikel!S136</f>
        <v>1</v>
      </c>
      <c r="AL138">
        <f>Migrationsartikel!S136</f>
        <v>1</v>
      </c>
      <c r="AM138">
        <f>Migrationsartikel!S136</f>
        <v>1</v>
      </c>
      <c r="AN138" t="str">
        <f>Migrationsartikel!U136</f>
        <v>(PCE) Stück</v>
      </c>
      <c r="AO138" t="str">
        <f t="shared" si="7"/>
        <v>(PCE) Pièce</v>
      </c>
      <c r="AP138" t="str">
        <f t="shared" si="8"/>
        <v>(PCE) Pièce</v>
      </c>
      <c r="AQ138" s="31" t="s">
        <v>195</v>
      </c>
      <c r="AR138" s="47"/>
      <c r="AS138" s="47"/>
      <c r="AT138" s="31" t="s">
        <v>208</v>
      </c>
      <c r="AU138" s="47"/>
      <c r="AV138" s="47"/>
      <c r="AW138" t="str">
        <f>IF(Migrationsartikel!AB136="ja","true",FALSE)</f>
        <v>true</v>
      </c>
      <c r="AX138" t="str">
        <f>IF(Migrationsartikel!AC136="ja","true",FALSE)</f>
        <v>true</v>
      </c>
      <c r="AY138" t="str">
        <f>IF(Migrationsartikel!AD136="ja","true",FALSE)</f>
        <v>true</v>
      </c>
      <c r="AZ138" t="str">
        <f>IF(Migrationsartikel!AE136="ja","true",FALSE)</f>
        <v>true</v>
      </c>
      <c r="BA138" t="str">
        <f>IF(Migrationsartikel!AF136="ja","Denner Partner","")</f>
        <v/>
      </c>
      <c r="BB138" t="str">
        <f>IF(Migrationsartikel!AG136="ja","true","false")</f>
        <v>false</v>
      </c>
      <c r="BC138" t="s">
        <v>1923</v>
      </c>
      <c r="BD138" s="31" t="s">
        <v>235</v>
      </c>
      <c r="BE138" s="31" t="s">
        <v>233</v>
      </c>
    </row>
    <row r="139" spans="2:57" ht="21.75" customHeight="1" x14ac:dyDescent="0.45">
      <c r="B139" t="s">
        <v>115</v>
      </c>
      <c r="E139" s="31" t="s">
        <v>1565</v>
      </c>
      <c r="F139" t="str">
        <f>"Warengruppe&gt;&gt;"&amp;Migrationsartikel!V137&amp;"&gt;&gt;"&amp;Migrationsartikel!W137&amp;"&gt;&gt;"&amp;Migrationsartikel!X137</f>
        <v>Warengruppe&gt;&gt;Getränke&gt;&gt;Spirituosen&gt;&gt;Spirituosen</v>
      </c>
      <c r="J139" s="31" t="s">
        <v>125</v>
      </c>
      <c r="M139" s="31" t="s">
        <v>137</v>
      </c>
      <c r="P139" s="31">
        <f>Migrationsartikel!B137</f>
        <v>887</v>
      </c>
      <c r="R139" t="str">
        <f>Migrationsartikel!F137&amp;" "&amp;Migrationsartikel!G137&amp;" "&amp;Migrationsartikel!H137</f>
        <v>Limoncello aus der Region 1l</v>
      </c>
      <c r="S139" t="str">
        <f>Migrationsartikel!J137&amp;" "&amp;Migrationsartikel!K137&amp;" "&amp;Migrationsartikel!L137</f>
        <v>Limoncello de la région 1l</v>
      </c>
      <c r="T139" t="str">
        <f>Migrationsartikel!N137&amp;" "&amp;Migrationsartikel!O137&amp;" "&amp;Migrationsartikel!P137</f>
        <v>Limoncello della regione 1l</v>
      </c>
      <c r="U139" t="str">
        <f>Migrationsartikel!F137</f>
        <v>Limoncello</v>
      </c>
      <c r="V139" t="str">
        <f>Migrationsartikel!J137</f>
        <v>Limoncello</v>
      </c>
      <c r="W139" t="str">
        <f>Migrationsartikel!N137</f>
        <v>Limoncello</v>
      </c>
      <c r="X139" t="str">
        <f>Migrationsartikel!G137</f>
        <v>aus der Region</v>
      </c>
      <c r="Y139" t="str">
        <f>Migrationsartikel!K137</f>
        <v>de la région</v>
      </c>
      <c r="Z139" t="str">
        <f>Migrationsartikel!O137</f>
        <v>della regione</v>
      </c>
      <c r="AA139" s="31" t="str">
        <f>Migrationsartikel!H137</f>
        <v>1l</v>
      </c>
      <c r="AB139" s="31" t="str">
        <f>Migrationsartikel!L137</f>
        <v>1l</v>
      </c>
      <c r="AC139" s="31" t="str">
        <f>Migrationsartikel!P137</f>
        <v>1l</v>
      </c>
      <c r="AD139" t="str">
        <f>Migrationsartikel!I137</f>
        <v>Limoncello 1l</v>
      </c>
      <c r="AE139" t="str">
        <f>Migrationsartikel!M137</f>
        <v>Limoncello 1l</v>
      </c>
      <c r="AF139" t="str">
        <f>Migrationsartikel!Q137</f>
        <v>Limoncello 1l</v>
      </c>
      <c r="AG139" s="45">
        <f>Migrationsartikel!R137</f>
        <v>1</v>
      </c>
      <c r="AH139" s="46" t="str">
        <f>Migrationsartikel!T137</f>
        <v>Centiliter</v>
      </c>
      <c r="AI139" s="46" t="str">
        <f t="shared" si="6"/>
        <v>2</v>
      </c>
      <c r="AJ139" s="46" t="s">
        <v>176</v>
      </c>
      <c r="AK139">
        <f>Migrationsartikel!S137</f>
        <v>10</v>
      </c>
      <c r="AL139">
        <f>Migrationsartikel!S137</f>
        <v>10</v>
      </c>
      <c r="AM139">
        <f>Migrationsartikel!S137</f>
        <v>10</v>
      </c>
      <c r="AN139" t="str">
        <f>Migrationsartikel!U137</f>
        <v>(PCE) Stück</v>
      </c>
      <c r="AO139" t="str">
        <f t="shared" si="7"/>
        <v>(PCE) Pièce</v>
      </c>
      <c r="AP139" t="str">
        <f t="shared" si="8"/>
        <v>(PCE) Pièce</v>
      </c>
      <c r="AQ139" s="31" t="s">
        <v>195</v>
      </c>
      <c r="AR139" s="47"/>
      <c r="AS139" s="47"/>
      <c r="AT139" s="31" t="s">
        <v>208</v>
      </c>
      <c r="AU139" s="47"/>
      <c r="AV139" s="47"/>
      <c r="AW139" t="str">
        <f>IF(Migrationsartikel!AB137="ja","true",FALSE)</f>
        <v>true</v>
      </c>
      <c r="AX139" t="str">
        <f>IF(Migrationsartikel!AC137="ja","true",FALSE)</f>
        <v>true</v>
      </c>
      <c r="AY139" t="str">
        <f>IF(Migrationsartikel!AD137="ja","true",FALSE)</f>
        <v>true</v>
      </c>
      <c r="AZ139" t="str">
        <f>IF(Migrationsartikel!AE137="ja","true",FALSE)</f>
        <v>true</v>
      </c>
      <c r="BA139" t="str">
        <f>IF(Migrationsartikel!AF137="ja","Denner Partner","")</f>
        <v/>
      </c>
      <c r="BB139" t="str">
        <f>IF(Migrationsartikel!AG137="ja","true","false")</f>
        <v>false</v>
      </c>
      <c r="BC139" t="s">
        <v>1923</v>
      </c>
      <c r="BD139" s="31" t="s">
        <v>235</v>
      </c>
      <c r="BE139" s="31" t="s">
        <v>233</v>
      </c>
    </row>
    <row r="140" spans="2:57" ht="21.75" customHeight="1" x14ac:dyDescent="0.45">
      <c r="B140" t="s">
        <v>115</v>
      </c>
      <c r="E140" s="31" t="s">
        <v>1566</v>
      </c>
      <c r="F140" t="str">
        <f>"Warengruppe&gt;&gt;"&amp;Migrationsartikel!V138&amp;"&gt;&gt;"&amp;Migrationsartikel!W138&amp;"&gt;&gt;"&amp;Migrationsartikel!X138</f>
        <v>Warengruppe&gt;&gt;Getränke&gt;&gt;Spirituosen&gt;&gt;Spirituosen</v>
      </c>
      <c r="J140" s="31" t="s">
        <v>125</v>
      </c>
      <c r="M140" s="31" t="s">
        <v>137</v>
      </c>
      <c r="P140" s="31">
        <f>Migrationsartikel!B138</f>
        <v>888</v>
      </c>
      <c r="R140" t="str">
        <f>Migrationsartikel!F138&amp;" "&amp;Migrationsartikel!G138&amp;" "&amp;Migrationsartikel!H138</f>
        <v>Nocino aus der Region 1l</v>
      </c>
      <c r="S140" t="str">
        <f>Migrationsartikel!J138&amp;" "&amp;Migrationsartikel!K138&amp;" "&amp;Migrationsartikel!L138</f>
        <v>Nocino de la région 1l</v>
      </c>
      <c r="T140" t="str">
        <f>Migrationsartikel!N138&amp;" "&amp;Migrationsartikel!O138&amp;" "&amp;Migrationsartikel!P138</f>
        <v>Nocino della regione 1l</v>
      </c>
      <c r="U140" t="str">
        <f>Migrationsartikel!F138</f>
        <v>Nocino</v>
      </c>
      <c r="V140" t="str">
        <f>Migrationsartikel!J138</f>
        <v>Nocino</v>
      </c>
      <c r="W140" t="str">
        <f>Migrationsartikel!N138</f>
        <v>Nocino</v>
      </c>
      <c r="X140" t="str">
        <f>Migrationsartikel!G138</f>
        <v>aus der Region</v>
      </c>
      <c r="Y140" t="str">
        <f>Migrationsartikel!K138</f>
        <v>de la région</v>
      </c>
      <c r="Z140" t="str">
        <f>Migrationsartikel!O138</f>
        <v>della regione</v>
      </c>
      <c r="AA140" s="31" t="str">
        <f>Migrationsartikel!H138</f>
        <v>1l</v>
      </c>
      <c r="AB140" s="31" t="str">
        <f>Migrationsartikel!L138</f>
        <v>1l</v>
      </c>
      <c r="AC140" s="31" t="str">
        <f>Migrationsartikel!P138</f>
        <v>1l</v>
      </c>
      <c r="AD140" t="str">
        <f>Migrationsartikel!I138</f>
        <v>Nocino 1l</v>
      </c>
      <c r="AE140" t="str">
        <f>Migrationsartikel!M138</f>
        <v>Nocino 1l</v>
      </c>
      <c r="AF140" t="str">
        <f>Migrationsartikel!Q138</f>
        <v>Nocino 1l</v>
      </c>
      <c r="AG140" s="45">
        <f>Migrationsartikel!R138</f>
        <v>1</v>
      </c>
      <c r="AH140" s="46" t="str">
        <f>Migrationsartikel!T138</f>
        <v>Centiliter</v>
      </c>
      <c r="AI140" s="46" t="str">
        <f t="shared" si="6"/>
        <v>2</v>
      </c>
      <c r="AJ140" s="46" t="s">
        <v>176</v>
      </c>
      <c r="AK140">
        <f>Migrationsartikel!S138</f>
        <v>10</v>
      </c>
      <c r="AL140">
        <f>Migrationsartikel!S138</f>
        <v>10</v>
      </c>
      <c r="AM140">
        <f>Migrationsartikel!S138</f>
        <v>10</v>
      </c>
      <c r="AN140" t="str">
        <f>Migrationsartikel!U138</f>
        <v>(PCE) Stück</v>
      </c>
      <c r="AO140" t="str">
        <f t="shared" si="7"/>
        <v>(PCE) Pièce</v>
      </c>
      <c r="AP140" t="str">
        <f t="shared" si="8"/>
        <v>(PCE) Pièce</v>
      </c>
      <c r="AQ140" s="31" t="s">
        <v>195</v>
      </c>
      <c r="AR140" s="47"/>
      <c r="AS140" s="47"/>
      <c r="AT140" s="31" t="s">
        <v>208</v>
      </c>
      <c r="AU140" s="47"/>
      <c r="AV140" s="47"/>
      <c r="AW140" t="str">
        <f>IF(Migrationsartikel!AB138="ja","true",FALSE)</f>
        <v>true</v>
      </c>
      <c r="AX140" t="str">
        <f>IF(Migrationsartikel!AC138="ja","true",FALSE)</f>
        <v>true</v>
      </c>
      <c r="AY140" t="str">
        <f>IF(Migrationsartikel!AD138="ja","true",FALSE)</f>
        <v>true</v>
      </c>
      <c r="AZ140" t="str">
        <f>IF(Migrationsartikel!AE138="ja","true",FALSE)</f>
        <v>true</v>
      </c>
      <c r="BA140" t="str">
        <f>IF(Migrationsartikel!AF138="ja","Denner Partner","")</f>
        <v/>
      </c>
      <c r="BB140" t="str">
        <f>IF(Migrationsartikel!AG138="ja","true","false")</f>
        <v>false</v>
      </c>
      <c r="BC140" t="s">
        <v>1923</v>
      </c>
      <c r="BD140" s="31" t="s">
        <v>235</v>
      </c>
      <c r="BE140" s="31" t="s">
        <v>233</v>
      </c>
    </row>
    <row r="141" spans="2:57" ht="21.75" customHeight="1" x14ac:dyDescent="0.45">
      <c r="B141" t="s">
        <v>115</v>
      </c>
      <c r="E141" s="31" t="s">
        <v>1567</v>
      </c>
      <c r="F141" t="str">
        <f>"Warengruppe&gt;&gt;"&amp;Migrationsartikel!V139&amp;"&gt;&gt;"&amp;Migrationsartikel!W139&amp;"&gt;&gt;"&amp;Migrationsartikel!X139</f>
        <v>Warengruppe&gt;&gt;Getränke&gt;&gt;Spirituosen&gt;&gt;Spirituosen</v>
      </c>
      <c r="J141" s="31" t="s">
        <v>125</v>
      </c>
      <c r="M141" s="31" t="s">
        <v>137</v>
      </c>
      <c r="P141" s="31">
        <f>Migrationsartikel!B139</f>
        <v>889</v>
      </c>
      <c r="R141" t="str">
        <f>Migrationsartikel!F139&amp;" "&amp;Migrationsartikel!G139&amp;" "&amp;Migrationsartikel!H139</f>
        <v>Nocino aus der Region 50cl</v>
      </c>
      <c r="S141" t="str">
        <f>Migrationsartikel!J139&amp;" "&amp;Migrationsartikel!K139&amp;" "&amp;Migrationsartikel!L139</f>
        <v>Nocino de la région 50cl</v>
      </c>
      <c r="T141" t="str">
        <f>Migrationsartikel!N139&amp;" "&amp;Migrationsartikel!O139&amp;" "&amp;Migrationsartikel!P139</f>
        <v>Nocino della regione 50cl</v>
      </c>
      <c r="U141" t="str">
        <f>Migrationsartikel!F139</f>
        <v>Nocino</v>
      </c>
      <c r="V141" t="str">
        <f>Migrationsartikel!J139</f>
        <v>Nocino</v>
      </c>
      <c r="W141" t="str">
        <f>Migrationsartikel!N139</f>
        <v>Nocino</v>
      </c>
      <c r="X141" t="str">
        <f>Migrationsartikel!G139</f>
        <v>aus der Region</v>
      </c>
      <c r="Y141" t="str">
        <f>Migrationsartikel!K139</f>
        <v>de la région</v>
      </c>
      <c r="Z141" t="str">
        <f>Migrationsartikel!O139</f>
        <v>della regione</v>
      </c>
      <c r="AA141" s="31" t="str">
        <f>Migrationsartikel!H139</f>
        <v>50cl</v>
      </c>
      <c r="AB141" s="31" t="str">
        <f>Migrationsartikel!L139</f>
        <v>50cl</v>
      </c>
      <c r="AC141" s="31" t="str">
        <f>Migrationsartikel!P139</f>
        <v>50cl</v>
      </c>
      <c r="AD141" t="str">
        <f>Migrationsartikel!I139</f>
        <v>Nocino 50cl</v>
      </c>
      <c r="AE141" t="str">
        <f>Migrationsartikel!M139</f>
        <v>Nocino 50cl</v>
      </c>
      <c r="AF141" t="str">
        <f>Migrationsartikel!Q139</f>
        <v>Nocino 50cl</v>
      </c>
      <c r="AG141" s="45">
        <f>Migrationsartikel!R139</f>
        <v>0.5</v>
      </c>
      <c r="AH141" s="46" t="str">
        <f>Migrationsartikel!T139</f>
        <v>Centiliter</v>
      </c>
      <c r="AI141" s="46" t="str">
        <f t="shared" si="6"/>
        <v>2</v>
      </c>
      <c r="AJ141" s="46" t="s">
        <v>176</v>
      </c>
      <c r="AK141">
        <f>Migrationsartikel!S139</f>
        <v>10</v>
      </c>
      <c r="AL141">
        <f>Migrationsartikel!S139</f>
        <v>10</v>
      </c>
      <c r="AM141">
        <f>Migrationsartikel!S139</f>
        <v>10</v>
      </c>
      <c r="AN141" t="str">
        <f>Migrationsartikel!U139</f>
        <v>(PCE) Stück</v>
      </c>
      <c r="AO141" t="str">
        <f t="shared" si="7"/>
        <v>(PCE) Pièce</v>
      </c>
      <c r="AP141" t="str">
        <f t="shared" si="8"/>
        <v>(PCE) Pièce</v>
      </c>
      <c r="AQ141" s="31" t="s">
        <v>195</v>
      </c>
      <c r="AR141" s="47"/>
      <c r="AS141" s="47"/>
      <c r="AT141" s="31" t="s">
        <v>208</v>
      </c>
      <c r="AU141" s="47"/>
      <c r="AV141" s="47"/>
      <c r="AW141" t="str">
        <f>IF(Migrationsartikel!AB139="ja","true",FALSE)</f>
        <v>true</v>
      </c>
      <c r="AX141" t="str">
        <f>IF(Migrationsartikel!AC139="ja","true",FALSE)</f>
        <v>true</v>
      </c>
      <c r="AY141" t="str">
        <f>IF(Migrationsartikel!AD139="ja","true",FALSE)</f>
        <v>true</v>
      </c>
      <c r="AZ141" t="str">
        <f>IF(Migrationsartikel!AE139="ja","true",FALSE)</f>
        <v>true</v>
      </c>
      <c r="BA141" t="str">
        <f>IF(Migrationsartikel!AF139="ja","Denner Partner","")</f>
        <v/>
      </c>
      <c r="BB141" t="str">
        <f>IF(Migrationsartikel!AG139="ja","true","false")</f>
        <v>false</v>
      </c>
      <c r="BC141" t="s">
        <v>1923</v>
      </c>
      <c r="BD141" s="31" t="s">
        <v>235</v>
      </c>
      <c r="BE141" s="31" t="s">
        <v>233</v>
      </c>
    </row>
    <row r="142" spans="2:57" ht="21.75" customHeight="1" x14ac:dyDescent="0.45">
      <c r="B142" t="s">
        <v>115</v>
      </c>
      <c r="E142" s="31" t="s">
        <v>1568</v>
      </c>
      <c r="F142" t="str">
        <f>"Warengruppe&gt;&gt;"&amp;Migrationsartikel!V140&amp;"&gt;&gt;"&amp;Migrationsartikel!W140&amp;"&gt;&gt;"&amp;Migrationsartikel!X140</f>
        <v>Warengruppe&gt;&gt;Getränke&gt;&gt;Spirituosen&gt;&gt;Spirituosen</v>
      </c>
      <c r="J142" s="31" t="s">
        <v>125</v>
      </c>
      <c r="M142" s="31" t="s">
        <v>137</v>
      </c>
      <c r="P142" s="31">
        <f>Migrationsartikel!B140</f>
        <v>890</v>
      </c>
      <c r="R142" t="str">
        <f>Migrationsartikel!F140&amp;" "&amp;Migrationsartikel!G140&amp;" "&amp;Migrationsartikel!H140</f>
        <v>Nocino aus der Region 70cl</v>
      </c>
      <c r="S142" t="str">
        <f>Migrationsartikel!J140&amp;" "&amp;Migrationsartikel!K140&amp;" "&amp;Migrationsartikel!L140</f>
        <v>Nocino de la région 70cl</v>
      </c>
      <c r="T142" t="str">
        <f>Migrationsartikel!N140&amp;" "&amp;Migrationsartikel!O140&amp;" "&amp;Migrationsartikel!P140</f>
        <v>Nocino della regione 70cl</v>
      </c>
      <c r="U142" t="str">
        <f>Migrationsartikel!F140</f>
        <v>Nocino</v>
      </c>
      <c r="V142" t="str">
        <f>Migrationsartikel!J140</f>
        <v>Nocino</v>
      </c>
      <c r="W142" t="str">
        <f>Migrationsartikel!N140</f>
        <v>Nocino</v>
      </c>
      <c r="X142" t="str">
        <f>Migrationsartikel!G140</f>
        <v>aus der Region</v>
      </c>
      <c r="Y142" t="str">
        <f>Migrationsartikel!K140</f>
        <v>de la région</v>
      </c>
      <c r="Z142" t="str">
        <f>Migrationsartikel!O140</f>
        <v>della regione</v>
      </c>
      <c r="AA142" s="31" t="str">
        <f>Migrationsartikel!H140</f>
        <v>70cl</v>
      </c>
      <c r="AB142" s="31" t="str">
        <f>Migrationsartikel!L140</f>
        <v>70cl</v>
      </c>
      <c r="AC142" s="31" t="str">
        <f>Migrationsartikel!P140</f>
        <v>70cl</v>
      </c>
      <c r="AD142" t="str">
        <f>Migrationsartikel!I140</f>
        <v>Nocino 70cl</v>
      </c>
      <c r="AE142" t="str">
        <f>Migrationsartikel!M140</f>
        <v>Nocino 70cl</v>
      </c>
      <c r="AF142" t="str">
        <f>Migrationsartikel!Q140</f>
        <v>Nocino 70cl</v>
      </c>
      <c r="AG142" s="45">
        <f>Migrationsartikel!R140</f>
        <v>0.7</v>
      </c>
      <c r="AH142" s="46" t="str">
        <f>Migrationsartikel!T140</f>
        <v>Centiliter</v>
      </c>
      <c r="AI142" s="46" t="str">
        <f t="shared" si="6"/>
        <v>2</v>
      </c>
      <c r="AJ142" s="46" t="s">
        <v>176</v>
      </c>
      <c r="AK142">
        <f>Migrationsartikel!S140</f>
        <v>10</v>
      </c>
      <c r="AL142">
        <f>Migrationsartikel!S140</f>
        <v>10</v>
      </c>
      <c r="AM142">
        <f>Migrationsartikel!S140</f>
        <v>10</v>
      </c>
      <c r="AN142" t="str">
        <f>Migrationsartikel!U140</f>
        <v>(PCE) Stück</v>
      </c>
      <c r="AO142" t="str">
        <f t="shared" si="7"/>
        <v>(PCE) Pièce</v>
      </c>
      <c r="AP142" t="str">
        <f t="shared" si="8"/>
        <v>(PCE) Pièce</v>
      </c>
      <c r="AQ142" s="31" t="s">
        <v>195</v>
      </c>
      <c r="AR142" s="47"/>
      <c r="AS142" s="47"/>
      <c r="AT142" s="31" t="s">
        <v>208</v>
      </c>
      <c r="AU142" s="47"/>
      <c r="AV142" s="47"/>
      <c r="AW142" t="str">
        <f>IF(Migrationsartikel!AB140="ja","true",FALSE)</f>
        <v>true</v>
      </c>
      <c r="AX142" t="str">
        <f>IF(Migrationsartikel!AC140="ja","true",FALSE)</f>
        <v>true</v>
      </c>
      <c r="AY142" t="str">
        <f>IF(Migrationsartikel!AD140="ja","true",FALSE)</f>
        <v>true</v>
      </c>
      <c r="AZ142" t="str">
        <f>IF(Migrationsartikel!AE140="ja","true",FALSE)</f>
        <v>true</v>
      </c>
      <c r="BA142" t="str">
        <f>IF(Migrationsartikel!AF140="ja","Denner Partner","")</f>
        <v/>
      </c>
      <c r="BB142" t="str">
        <f>IF(Migrationsartikel!AG140="ja","true","false")</f>
        <v>false</v>
      </c>
      <c r="BC142" t="s">
        <v>1923</v>
      </c>
      <c r="BD142" s="31" t="s">
        <v>235</v>
      </c>
      <c r="BE142" s="31" t="s">
        <v>233</v>
      </c>
    </row>
    <row r="143" spans="2:57" ht="21.75" customHeight="1" x14ac:dyDescent="0.45">
      <c r="B143" t="s">
        <v>115</v>
      </c>
      <c r="E143" s="31" t="s">
        <v>1569</v>
      </c>
      <c r="F143" t="str">
        <f>"Warengruppe&gt;&gt;"&amp;Migrationsartikel!V141&amp;"&gt;&gt;"&amp;Migrationsartikel!W141&amp;"&gt;&gt;"&amp;Migrationsartikel!X141</f>
        <v>Warengruppe&gt;&gt;Getränke&gt;&gt;Tafelgetränke&gt;&gt;Tafelgetränke</v>
      </c>
      <c r="J143" s="31" t="s">
        <v>125</v>
      </c>
      <c r="M143" s="31" t="s">
        <v>137</v>
      </c>
      <c r="P143" s="31">
        <f>Migrationsartikel!B141</f>
        <v>891</v>
      </c>
      <c r="R143" t="str">
        <f>Migrationsartikel!F141&amp;" "&amp;Migrationsartikel!G141&amp;" "&amp;Migrationsartikel!H141</f>
        <v>Apfelsaft aus der Region 33cl</v>
      </c>
      <c r="S143" t="str">
        <f>Migrationsartikel!J141&amp;" "&amp;Migrationsartikel!K141&amp;" "&amp;Migrationsartikel!L141</f>
        <v>Jus de pomme de la région 33cl</v>
      </c>
      <c r="T143" t="str">
        <f>Migrationsartikel!N141&amp;" "&amp;Migrationsartikel!O141&amp;" "&amp;Migrationsartikel!P141</f>
        <v>Succo di mela della regione 33cl</v>
      </c>
      <c r="U143" t="str">
        <f>Migrationsartikel!F141</f>
        <v>Apfelsaft</v>
      </c>
      <c r="V143" t="str">
        <f>Migrationsartikel!J141</f>
        <v>Jus de pomme</v>
      </c>
      <c r="W143" t="str">
        <f>Migrationsartikel!N141</f>
        <v>Succo di mela</v>
      </c>
      <c r="X143" t="str">
        <f>Migrationsartikel!G141</f>
        <v>aus der Region</v>
      </c>
      <c r="Y143" t="str">
        <f>Migrationsartikel!K141</f>
        <v>de la région</v>
      </c>
      <c r="Z143" t="str">
        <f>Migrationsartikel!O141</f>
        <v>della regione</v>
      </c>
      <c r="AA143" s="31" t="str">
        <f>Migrationsartikel!H141</f>
        <v>33cl</v>
      </c>
      <c r="AB143" s="31" t="str">
        <f>Migrationsartikel!L141</f>
        <v>33cl</v>
      </c>
      <c r="AC143" s="31" t="str">
        <f>Migrationsartikel!P141</f>
        <v>33cl</v>
      </c>
      <c r="AD143" t="str">
        <f>Migrationsartikel!I141</f>
        <v>Apfelsaft 33cl</v>
      </c>
      <c r="AE143" t="str">
        <f>Migrationsartikel!M141</f>
        <v>Jus de pomme 33cl</v>
      </c>
      <c r="AF143" t="str">
        <f>Migrationsartikel!Q141</f>
        <v>Succo mela 33cl</v>
      </c>
      <c r="AG143" s="45">
        <f>Migrationsartikel!R141</f>
        <v>0.33</v>
      </c>
      <c r="AH143" s="46" t="str">
        <f>Migrationsartikel!T141</f>
        <v>Liter</v>
      </c>
      <c r="AI143" s="46" t="str">
        <f t="shared" si="6"/>
        <v>5</v>
      </c>
      <c r="AJ143" s="46" t="s">
        <v>176</v>
      </c>
      <c r="AK143">
        <f>Migrationsartikel!S141</f>
        <v>1</v>
      </c>
      <c r="AL143">
        <f>Migrationsartikel!S141</f>
        <v>1</v>
      </c>
      <c r="AM143">
        <f>Migrationsartikel!S141</f>
        <v>1</v>
      </c>
      <c r="AN143" t="str">
        <f>Migrationsartikel!U141</f>
        <v>(PCE) Stück</v>
      </c>
      <c r="AO143" t="str">
        <f t="shared" si="7"/>
        <v>(PCE) Pièce</v>
      </c>
      <c r="AP143" t="str">
        <f t="shared" si="8"/>
        <v>(PCE) Pièce</v>
      </c>
      <c r="AQ143" s="31" t="s">
        <v>195</v>
      </c>
      <c r="AR143" s="47"/>
      <c r="AS143" s="47"/>
      <c r="AT143" s="31" t="s">
        <v>208</v>
      </c>
      <c r="AU143" s="47"/>
      <c r="AV143" s="47"/>
      <c r="AW143" t="str">
        <f>IF(Migrationsartikel!AB141="ja","true",FALSE)</f>
        <v>true</v>
      </c>
      <c r="AX143" t="str">
        <f>IF(Migrationsartikel!AC141="ja","true",FALSE)</f>
        <v>true</v>
      </c>
      <c r="AY143" t="str">
        <f>IF(Migrationsartikel!AD141="ja","true",FALSE)</f>
        <v>true</v>
      </c>
      <c r="AZ143" t="str">
        <f>IF(Migrationsartikel!AE141="ja","true",FALSE)</f>
        <v>true</v>
      </c>
      <c r="BA143" t="str">
        <f>IF(Migrationsartikel!AF141="ja","Denner Partner","")</f>
        <v/>
      </c>
      <c r="BB143" t="str">
        <f>IF(Migrationsartikel!AG141="ja","true","false")</f>
        <v>false</v>
      </c>
      <c r="BC143" t="s">
        <v>1923</v>
      </c>
      <c r="BD143" s="31" t="s">
        <v>235</v>
      </c>
      <c r="BE143" s="31" t="s">
        <v>233</v>
      </c>
    </row>
    <row r="144" spans="2:57" ht="21.75" customHeight="1" x14ac:dyDescent="0.45">
      <c r="B144" t="s">
        <v>115</v>
      </c>
      <c r="E144" s="31" t="s">
        <v>1570</v>
      </c>
      <c r="F144" t="str">
        <f>"Warengruppe&gt;&gt;"&amp;Migrationsartikel!V142&amp;"&gt;&gt;"&amp;Migrationsartikel!W142&amp;"&gt;&gt;"&amp;Migrationsartikel!X142</f>
        <v>Warengruppe&gt;&gt;Getränke&gt;&gt;Tafelgetränke&gt;&gt;Tafelgetränke</v>
      </c>
      <c r="J144" s="31" t="s">
        <v>125</v>
      </c>
      <c r="M144" s="31" t="s">
        <v>137</v>
      </c>
      <c r="P144" s="31">
        <f>Migrationsartikel!B142</f>
        <v>892</v>
      </c>
      <c r="R144" t="str">
        <f>Migrationsartikel!F142&amp;" "&amp;Migrationsartikel!G142&amp;" "&amp;Migrationsartikel!H142</f>
        <v>Apfelsaft aus der Region 50cl</v>
      </c>
      <c r="S144" t="str">
        <f>Migrationsartikel!J142&amp;" "&amp;Migrationsartikel!K142&amp;" "&amp;Migrationsartikel!L142</f>
        <v>Jus de pomme de la région 50cl</v>
      </c>
      <c r="T144" t="str">
        <f>Migrationsartikel!N142&amp;" "&amp;Migrationsartikel!O142&amp;" "&amp;Migrationsartikel!P142</f>
        <v>Succo di mela della regione 50cl</v>
      </c>
      <c r="U144" t="str">
        <f>Migrationsartikel!F142</f>
        <v>Apfelsaft</v>
      </c>
      <c r="V144" t="str">
        <f>Migrationsartikel!J142</f>
        <v>Jus de pomme</v>
      </c>
      <c r="W144" t="str">
        <f>Migrationsartikel!N142</f>
        <v>Succo di mela</v>
      </c>
      <c r="X144" t="str">
        <f>Migrationsartikel!G142</f>
        <v>aus der Region</v>
      </c>
      <c r="Y144" t="str">
        <f>Migrationsartikel!K142</f>
        <v>de la région</v>
      </c>
      <c r="Z144" t="str">
        <f>Migrationsartikel!O142</f>
        <v>della regione</v>
      </c>
      <c r="AA144" s="31" t="str">
        <f>Migrationsartikel!H142</f>
        <v>50cl</v>
      </c>
      <c r="AB144" s="31" t="str">
        <f>Migrationsartikel!L142</f>
        <v>50cl</v>
      </c>
      <c r="AC144" s="31" t="str">
        <f>Migrationsartikel!P142</f>
        <v>50cl</v>
      </c>
      <c r="AD144" t="str">
        <f>Migrationsartikel!I142</f>
        <v>Apfelsaft 50cl</v>
      </c>
      <c r="AE144" t="str">
        <f>Migrationsartikel!M142</f>
        <v>Jus de pomme 50cl</v>
      </c>
      <c r="AF144" t="str">
        <f>Migrationsartikel!Q142</f>
        <v>Succo mela 50cl</v>
      </c>
      <c r="AG144" s="45">
        <f>Migrationsartikel!R142</f>
        <v>0.5</v>
      </c>
      <c r="AH144" s="46" t="str">
        <f>Migrationsartikel!T142</f>
        <v>Liter</v>
      </c>
      <c r="AI144" s="46" t="str">
        <f t="shared" si="6"/>
        <v>5</v>
      </c>
      <c r="AJ144" s="46" t="s">
        <v>176</v>
      </c>
      <c r="AK144">
        <f>Migrationsartikel!S142</f>
        <v>1</v>
      </c>
      <c r="AL144">
        <f>Migrationsartikel!S142</f>
        <v>1</v>
      </c>
      <c r="AM144">
        <f>Migrationsartikel!S142</f>
        <v>1</v>
      </c>
      <c r="AN144" t="str">
        <f>Migrationsartikel!U142</f>
        <v>(PCE) Stück</v>
      </c>
      <c r="AO144" t="str">
        <f t="shared" si="7"/>
        <v>(PCE) Pièce</v>
      </c>
      <c r="AP144" t="str">
        <f t="shared" si="8"/>
        <v>(PCE) Pièce</v>
      </c>
      <c r="AQ144" s="31" t="s">
        <v>195</v>
      </c>
      <c r="AR144" s="47"/>
      <c r="AS144" s="47"/>
      <c r="AT144" s="31" t="s">
        <v>208</v>
      </c>
      <c r="AU144" s="47"/>
      <c r="AV144" s="47"/>
      <c r="AW144" t="str">
        <f>IF(Migrationsartikel!AB142="ja","true",FALSE)</f>
        <v>true</v>
      </c>
      <c r="AX144" t="str">
        <f>IF(Migrationsartikel!AC142="ja","true",FALSE)</f>
        <v>true</v>
      </c>
      <c r="AY144" t="str">
        <f>IF(Migrationsartikel!AD142="ja","true",FALSE)</f>
        <v>true</v>
      </c>
      <c r="AZ144" t="str">
        <f>IF(Migrationsartikel!AE142="ja","true",FALSE)</f>
        <v>true</v>
      </c>
      <c r="BA144" t="str">
        <f>IF(Migrationsartikel!AF142="ja","Denner Partner","")</f>
        <v/>
      </c>
      <c r="BB144" t="str">
        <f>IF(Migrationsartikel!AG142="ja","true","false")</f>
        <v>false</v>
      </c>
      <c r="BC144" t="s">
        <v>1923</v>
      </c>
      <c r="BD144" s="31" t="s">
        <v>235</v>
      </c>
      <c r="BE144" s="31" t="s">
        <v>233</v>
      </c>
    </row>
    <row r="145" spans="2:57" ht="21.75" customHeight="1" x14ac:dyDescent="0.45">
      <c r="B145" t="s">
        <v>115</v>
      </c>
      <c r="E145" s="31" t="s">
        <v>1571</v>
      </c>
      <c r="F145" t="str">
        <f>"Warengruppe&gt;&gt;"&amp;Migrationsartikel!V143&amp;"&gt;&gt;"&amp;Migrationsartikel!W143&amp;"&gt;&gt;"&amp;Migrationsartikel!X143</f>
        <v>Warengruppe&gt;&gt;Getränke&gt;&gt;Tafelgetränke&gt;&gt;Tafelgetränke</v>
      </c>
      <c r="J145" s="31" t="s">
        <v>125</v>
      </c>
      <c r="M145" s="31" t="s">
        <v>137</v>
      </c>
      <c r="P145" s="31">
        <f>Migrationsartikel!B143</f>
        <v>893</v>
      </c>
      <c r="R145" t="str">
        <f>Migrationsartikel!F143&amp;" "&amp;Migrationsartikel!G143&amp;" "&amp;Migrationsartikel!H143</f>
        <v>Apfelsaft aus der Region 1l</v>
      </c>
      <c r="S145" t="str">
        <f>Migrationsartikel!J143&amp;" "&amp;Migrationsartikel!K143&amp;" "&amp;Migrationsartikel!L143</f>
        <v>Jus de pomme de la région 1l</v>
      </c>
      <c r="T145" t="str">
        <f>Migrationsartikel!N143&amp;" "&amp;Migrationsartikel!O143&amp;" "&amp;Migrationsartikel!P143</f>
        <v>Succo di mela della regione 1l</v>
      </c>
      <c r="U145" t="str">
        <f>Migrationsartikel!F143</f>
        <v>Apfelsaft</v>
      </c>
      <c r="V145" t="str">
        <f>Migrationsartikel!J143</f>
        <v>Jus de pomme</v>
      </c>
      <c r="W145" t="str">
        <f>Migrationsartikel!N143</f>
        <v>Succo di mela</v>
      </c>
      <c r="X145" t="str">
        <f>Migrationsartikel!G143</f>
        <v>aus der Region</v>
      </c>
      <c r="Y145" t="str">
        <f>Migrationsartikel!K143</f>
        <v>de la région</v>
      </c>
      <c r="Z145" t="str">
        <f>Migrationsartikel!O143</f>
        <v>della regione</v>
      </c>
      <c r="AA145" s="31" t="str">
        <f>Migrationsartikel!H143</f>
        <v>1l</v>
      </c>
      <c r="AB145" s="31" t="str">
        <f>Migrationsartikel!L143</f>
        <v>1l</v>
      </c>
      <c r="AC145" s="31" t="str">
        <f>Migrationsartikel!P143</f>
        <v>1l</v>
      </c>
      <c r="AD145" t="str">
        <f>Migrationsartikel!I143</f>
        <v>Apfelsaft 1l</v>
      </c>
      <c r="AE145" t="str">
        <f>Migrationsartikel!M143</f>
        <v>Jus de pomme 1l</v>
      </c>
      <c r="AF145" t="str">
        <f>Migrationsartikel!Q143</f>
        <v>Succo mela 1l</v>
      </c>
      <c r="AG145" s="45">
        <f>Migrationsartikel!R143</f>
        <v>1</v>
      </c>
      <c r="AH145" s="46" t="str">
        <f>Migrationsartikel!T143</f>
        <v>Liter</v>
      </c>
      <c r="AI145" s="46" t="str">
        <f t="shared" si="6"/>
        <v>5</v>
      </c>
      <c r="AJ145" s="46" t="s">
        <v>176</v>
      </c>
      <c r="AK145">
        <f>Migrationsartikel!S143</f>
        <v>1</v>
      </c>
      <c r="AL145">
        <f>Migrationsartikel!S143</f>
        <v>1</v>
      </c>
      <c r="AM145">
        <f>Migrationsartikel!S143</f>
        <v>1</v>
      </c>
      <c r="AN145" t="str">
        <f>Migrationsartikel!U143</f>
        <v>(PCE) Stück</v>
      </c>
      <c r="AO145" t="str">
        <f t="shared" si="7"/>
        <v>(PCE) Pièce</v>
      </c>
      <c r="AP145" t="str">
        <f t="shared" si="8"/>
        <v>(PCE) Pièce</v>
      </c>
      <c r="AQ145" s="31" t="s">
        <v>195</v>
      </c>
      <c r="AR145" s="47"/>
      <c r="AS145" s="47"/>
      <c r="AT145" s="31" t="s">
        <v>208</v>
      </c>
      <c r="AU145" s="47"/>
      <c r="AV145" s="47"/>
      <c r="AW145" t="str">
        <f>IF(Migrationsartikel!AB143="ja","true",FALSE)</f>
        <v>true</v>
      </c>
      <c r="AX145" t="str">
        <f>IF(Migrationsartikel!AC143="ja","true",FALSE)</f>
        <v>true</v>
      </c>
      <c r="AY145" t="str">
        <f>IF(Migrationsartikel!AD143="ja","true",FALSE)</f>
        <v>true</v>
      </c>
      <c r="AZ145" t="str">
        <f>IF(Migrationsartikel!AE143="ja","true",FALSE)</f>
        <v>true</v>
      </c>
      <c r="BA145" t="str">
        <f>IF(Migrationsartikel!AF143="ja","Denner Partner","")</f>
        <v/>
      </c>
      <c r="BB145" t="str">
        <f>IF(Migrationsartikel!AG143="ja","true","false")</f>
        <v>false</v>
      </c>
      <c r="BC145" t="s">
        <v>1923</v>
      </c>
      <c r="BD145" s="31" t="s">
        <v>235</v>
      </c>
      <c r="BE145" s="31" t="s">
        <v>233</v>
      </c>
    </row>
    <row r="146" spans="2:57" ht="21.75" customHeight="1" x14ac:dyDescent="0.45">
      <c r="B146" t="s">
        <v>115</v>
      </c>
      <c r="E146" s="31" t="s">
        <v>1572</v>
      </c>
      <c r="F146" t="str">
        <f>"Warengruppe&gt;&gt;"&amp;Migrationsartikel!V144&amp;"&gt;&gt;"&amp;Migrationsartikel!W144&amp;"&gt;&gt;"&amp;Migrationsartikel!X144</f>
        <v>Warengruppe&gt;&gt;Getränke&gt;&gt;Tafelgetränke&gt;&gt;Tafelgetränke</v>
      </c>
      <c r="J146" s="31" t="s">
        <v>125</v>
      </c>
      <c r="M146" s="31" t="s">
        <v>137</v>
      </c>
      <c r="P146" s="31">
        <f>Migrationsartikel!B144</f>
        <v>894</v>
      </c>
      <c r="R146" t="str">
        <f>Migrationsartikel!F144&amp;" "&amp;Migrationsartikel!G144&amp;" "&amp;Migrationsartikel!H144</f>
        <v>Apfelsaft aus der Region 1.5l</v>
      </c>
      <c r="S146" t="str">
        <f>Migrationsartikel!J144&amp;" "&amp;Migrationsartikel!K144&amp;" "&amp;Migrationsartikel!L144</f>
        <v>Jus de pomme de la région 1.5l</v>
      </c>
      <c r="T146" t="str">
        <f>Migrationsartikel!N144&amp;" "&amp;Migrationsartikel!O144&amp;" "&amp;Migrationsartikel!P144</f>
        <v>Succo di mela della regione 1.5l</v>
      </c>
      <c r="U146" t="str">
        <f>Migrationsartikel!F144</f>
        <v>Apfelsaft</v>
      </c>
      <c r="V146" t="str">
        <f>Migrationsartikel!J144</f>
        <v>Jus de pomme</v>
      </c>
      <c r="W146" t="str">
        <f>Migrationsartikel!N144</f>
        <v>Succo di mela</v>
      </c>
      <c r="X146" t="str">
        <f>Migrationsartikel!G144</f>
        <v>aus der Region</v>
      </c>
      <c r="Y146" t="str">
        <f>Migrationsartikel!K144</f>
        <v>de la région</v>
      </c>
      <c r="Z146" t="str">
        <f>Migrationsartikel!O144</f>
        <v>della regione</v>
      </c>
      <c r="AA146" s="31" t="str">
        <f>Migrationsartikel!H144</f>
        <v>1.5l</v>
      </c>
      <c r="AB146" s="31" t="str">
        <f>Migrationsartikel!L144</f>
        <v>1.5l</v>
      </c>
      <c r="AC146" s="31" t="str">
        <f>Migrationsartikel!P144</f>
        <v>1.5l</v>
      </c>
      <c r="AD146" t="str">
        <f>Migrationsartikel!I144</f>
        <v>Apfelsaft 1.5l</v>
      </c>
      <c r="AE146" t="str">
        <f>Migrationsartikel!M144</f>
        <v>Jus de pomme 1.5l</v>
      </c>
      <c r="AF146" t="str">
        <f>Migrationsartikel!Q144</f>
        <v>Succo mela 1.5l</v>
      </c>
      <c r="AG146" s="45">
        <f>Migrationsartikel!R144</f>
        <v>1.5</v>
      </c>
      <c r="AH146" s="46" t="str">
        <f>Migrationsartikel!T144</f>
        <v>Liter</v>
      </c>
      <c r="AI146" s="46" t="str">
        <f t="shared" si="6"/>
        <v>5</v>
      </c>
      <c r="AJ146" s="46" t="s">
        <v>176</v>
      </c>
      <c r="AK146">
        <f>Migrationsartikel!S144</f>
        <v>1</v>
      </c>
      <c r="AL146">
        <f>Migrationsartikel!S144</f>
        <v>1</v>
      </c>
      <c r="AM146">
        <f>Migrationsartikel!S144</f>
        <v>1</v>
      </c>
      <c r="AN146" t="str">
        <f>Migrationsartikel!U144</f>
        <v>(PCE) Stück</v>
      </c>
      <c r="AO146" t="str">
        <f t="shared" si="7"/>
        <v>(PCE) Pièce</v>
      </c>
      <c r="AP146" t="str">
        <f t="shared" si="8"/>
        <v>(PCE) Pièce</v>
      </c>
      <c r="AQ146" s="31" t="s">
        <v>195</v>
      </c>
      <c r="AR146" s="47"/>
      <c r="AS146" s="47"/>
      <c r="AT146" s="31" t="s">
        <v>208</v>
      </c>
      <c r="AU146" s="47"/>
      <c r="AV146" s="47"/>
      <c r="AW146" t="str">
        <f>IF(Migrationsartikel!AB144="ja","true",FALSE)</f>
        <v>true</v>
      </c>
      <c r="AX146" t="str">
        <f>IF(Migrationsartikel!AC144="ja","true",FALSE)</f>
        <v>true</v>
      </c>
      <c r="AY146" t="str">
        <f>IF(Migrationsartikel!AD144="ja","true",FALSE)</f>
        <v>true</v>
      </c>
      <c r="AZ146" t="str">
        <f>IF(Migrationsartikel!AE144="ja","true",FALSE)</f>
        <v>true</v>
      </c>
      <c r="BA146" t="str">
        <f>IF(Migrationsartikel!AF144="ja","Denner Partner","")</f>
        <v/>
      </c>
      <c r="BB146" t="str">
        <f>IF(Migrationsartikel!AG144="ja","true","false")</f>
        <v>false</v>
      </c>
      <c r="BC146" t="s">
        <v>1923</v>
      </c>
      <c r="BD146" s="31" t="s">
        <v>235</v>
      </c>
      <c r="BE146" s="31" t="s">
        <v>233</v>
      </c>
    </row>
    <row r="147" spans="2:57" ht="21.75" customHeight="1" x14ac:dyDescent="0.45">
      <c r="B147" t="s">
        <v>115</v>
      </c>
      <c r="E147" s="31" t="s">
        <v>1573</v>
      </c>
      <c r="F147" t="str">
        <f>"Warengruppe&gt;&gt;"&amp;Migrationsartikel!V145&amp;"&gt;&gt;"&amp;Migrationsartikel!W145&amp;"&gt;&gt;"&amp;Migrationsartikel!X145</f>
        <v>Warengruppe&gt;&gt;Getränke&gt;&gt;Tafelgetränke&gt;&gt;Tafelgetränke</v>
      </c>
      <c r="J147" s="31" t="s">
        <v>125</v>
      </c>
      <c r="M147" s="31" t="s">
        <v>137</v>
      </c>
      <c r="P147" s="31">
        <f>Migrationsartikel!B145</f>
        <v>895</v>
      </c>
      <c r="R147" t="str">
        <f>Migrationsartikel!F145&amp;" "&amp;Migrationsartikel!G145&amp;" "&amp;Migrationsartikel!H145</f>
        <v>Apfelsaft aus der Region 10l</v>
      </c>
      <c r="S147" t="str">
        <f>Migrationsartikel!J145&amp;" "&amp;Migrationsartikel!K145&amp;" "&amp;Migrationsartikel!L145</f>
        <v>Jus de pomme de la région 10l</v>
      </c>
      <c r="T147" t="str">
        <f>Migrationsartikel!N145&amp;" "&amp;Migrationsartikel!O145&amp;" "&amp;Migrationsartikel!P145</f>
        <v>Succo di mela della regione 10l</v>
      </c>
      <c r="U147" t="str">
        <f>Migrationsartikel!F145</f>
        <v>Apfelsaft</v>
      </c>
      <c r="V147" t="str">
        <f>Migrationsartikel!J145</f>
        <v>Jus de pomme</v>
      </c>
      <c r="W147" t="str">
        <f>Migrationsartikel!N145</f>
        <v>Succo di mela</v>
      </c>
      <c r="X147" t="str">
        <f>Migrationsartikel!G145</f>
        <v>aus der Region</v>
      </c>
      <c r="Y147" t="str">
        <f>Migrationsartikel!K145</f>
        <v>de la région</v>
      </c>
      <c r="Z147" t="str">
        <f>Migrationsartikel!O145</f>
        <v>della regione</v>
      </c>
      <c r="AA147" s="31" t="str">
        <f>Migrationsartikel!H145</f>
        <v>10l</v>
      </c>
      <c r="AB147" s="31" t="str">
        <f>Migrationsartikel!L145</f>
        <v>10l</v>
      </c>
      <c r="AC147" s="31" t="str">
        <f>Migrationsartikel!P145</f>
        <v>10l</v>
      </c>
      <c r="AD147" t="str">
        <f>Migrationsartikel!I145</f>
        <v>Apfelsaft 10l</v>
      </c>
      <c r="AE147" t="str">
        <f>Migrationsartikel!M145</f>
        <v>Jus de pomme 10l</v>
      </c>
      <c r="AF147" t="str">
        <f>Migrationsartikel!Q145</f>
        <v>Succo mela 10l</v>
      </c>
      <c r="AG147" s="45">
        <f>Migrationsartikel!R145</f>
        <v>10</v>
      </c>
      <c r="AH147" s="46" t="str">
        <f>Migrationsartikel!T145</f>
        <v>Liter</v>
      </c>
      <c r="AI147" s="46" t="str">
        <f t="shared" si="6"/>
        <v>5</v>
      </c>
      <c r="AJ147" s="46" t="s">
        <v>176</v>
      </c>
      <c r="AK147">
        <f>Migrationsartikel!S145</f>
        <v>1</v>
      </c>
      <c r="AL147">
        <f>Migrationsartikel!S145</f>
        <v>1</v>
      </c>
      <c r="AM147">
        <f>Migrationsartikel!S145</f>
        <v>1</v>
      </c>
      <c r="AN147" t="str">
        <f>Migrationsartikel!U145</f>
        <v>(PCE) Stück</v>
      </c>
      <c r="AO147" t="str">
        <f t="shared" si="7"/>
        <v>(PCE) Pièce</v>
      </c>
      <c r="AP147" t="str">
        <f t="shared" si="8"/>
        <v>(PCE) Pièce</v>
      </c>
      <c r="AQ147" s="31" t="s">
        <v>195</v>
      </c>
      <c r="AR147" s="47"/>
      <c r="AS147" s="47"/>
      <c r="AT147" s="31" t="s">
        <v>208</v>
      </c>
      <c r="AU147" s="47"/>
      <c r="AV147" s="47"/>
      <c r="AW147" t="str">
        <f>IF(Migrationsartikel!AB145="ja","true",FALSE)</f>
        <v>true</v>
      </c>
      <c r="AX147" t="str">
        <f>IF(Migrationsartikel!AC145="ja","true",FALSE)</f>
        <v>true</v>
      </c>
      <c r="AY147" t="str">
        <f>IF(Migrationsartikel!AD145="ja","true",FALSE)</f>
        <v>true</v>
      </c>
      <c r="AZ147" t="str">
        <f>IF(Migrationsartikel!AE145="ja","true",FALSE)</f>
        <v>true</v>
      </c>
      <c r="BA147" t="str">
        <f>IF(Migrationsartikel!AF145="ja","Denner Partner","")</f>
        <v/>
      </c>
      <c r="BB147" t="str">
        <f>IF(Migrationsartikel!AG145="ja","true","false")</f>
        <v>false</v>
      </c>
      <c r="BC147" t="s">
        <v>1923</v>
      </c>
      <c r="BD147" s="31" t="s">
        <v>235</v>
      </c>
      <c r="BE147" s="31" t="s">
        <v>233</v>
      </c>
    </row>
    <row r="148" spans="2:57" ht="21.75" customHeight="1" x14ac:dyDescent="0.45">
      <c r="B148" t="s">
        <v>115</v>
      </c>
      <c r="E148" s="31" t="s">
        <v>1574</v>
      </c>
      <c r="F148" t="str">
        <f>"Warengruppe&gt;&gt;"&amp;Migrationsartikel!V146&amp;"&gt;&gt;"&amp;Migrationsartikel!W146&amp;"&gt;&gt;"&amp;Migrationsartikel!X146</f>
        <v>Warengruppe&gt;&gt;Getränke&gt;&gt;Tafelgetränke&gt;&gt;Tafelgetränke</v>
      </c>
      <c r="J148" s="31" t="s">
        <v>125</v>
      </c>
      <c r="M148" s="31" t="s">
        <v>137</v>
      </c>
      <c r="P148" s="31">
        <f>Migrationsartikel!B146</f>
        <v>896</v>
      </c>
      <c r="R148" t="str">
        <f>Migrationsartikel!F146&amp;" "&amp;Migrationsartikel!G146&amp;" "&amp;Migrationsartikel!H146</f>
        <v>Apfelsaft aus der Region 5l</v>
      </c>
      <c r="S148" t="str">
        <f>Migrationsartikel!J146&amp;" "&amp;Migrationsartikel!K146&amp;" "&amp;Migrationsartikel!L146</f>
        <v>Jus de pomme de la région 5l</v>
      </c>
      <c r="T148" t="str">
        <f>Migrationsartikel!N146&amp;" "&amp;Migrationsartikel!O146&amp;" "&amp;Migrationsartikel!P146</f>
        <v>Succo di mela della regione 5l</v>
      </c>
      <c r="U148" t="str">
        <f>Migrationsartikel!F146</f>
        <v>Apfelsaft</v>
      </c>
      <c r="V148" t="str">
        <f>Migrationsartikel!J146</f>
        <v>Jus de pomme</v>
      </c>
      <c r="W148" t="str">
        <f>Migrationsartikel!N146</f>
        <v>Succo di mela</v>
      </c>
      <c r="X148" t="str">
        <f>Migrationsartikel!G146</f>
        <v>aus der Region</v>
      </c>
      <c r="Y148" t="str">
        <f>Migrationsartikel!K146</f>
        <v>de la région</v>
      </c>
      <c r="Z148" t="str">
        <f>Migrationsartikel!O146</f>
        <v>della regione</v>
      </c>
      <c r="AA148" s="31" t="str">
        <f>Migrationsartikel!H146</f>
        <v>5l</v>
      </c>
      <c r="AB148" s="31" t="str">
        <f>Migrationsartikel!L146</f>
        <v>5l</v>
      </c>
      <c r="AC148" s="31" t="str">
        <f>Migrationsartikel!P146</f>
        <v>5l</v>
      </c>
      <c r="AD148" t="str">
        <f>Migrationsartikel!I146</f>
        <v>Apfelsaft 5l</v>
      </c>
      <c r="AE148" t="str">
        <f>Migrationsartikel!M146</f>
        <v>Jus de pomme 5l</v>
      </c>
      <c r="AF148" t="str">
        <f>Migrationsartikel!Q146</f>
        <v>Succo mela 5l</v>
      </c>
      <c r="AG148" s="45">
        <f>Migrationsartikel!R146</f>
        <v>5</v>
      </c>
      <c r="AH148" s="46" t="str">
        <f>Migrationsartikel!T146</f>
        <v>Liter</v>
      </c>
      <c r="AI148" s="46" t="str">
        <f t="shared" si="6"/>
        <v>5</v>
      </c>
      <c r="AJ148" s="46" t="s">
        <v>176</v>
      </c>
      <c r="AK148">
        <f>Migrationsartikel!S146</f>
        <v>1</v>
      </c>
      <c r="AL148">
        <f>Migrationsartikel!S146</f>
        <v>1</v>
      </c>
      <c r="AM148">
        <f>Migrationsartikel!S146</f>
        <v>1</v>
      </c>
      <c r="AN148" t="str">
        <f>Migrationsartikel!U146</f>
        <v>(PCE) Stück</v>
      </c>
      <c r="AO148" t="str">
        <f t="shared" si="7"/>
        <v>(PCE) Pièce</v>
      </c>
      <c r="AP148" t="str">
        <f t="shared" si="8"/>
        <v>(PCE) Pièce</v>
      </c>
      <c r="AQ148" s="31" t="s">
        <v>195</v>
      </c>
      <c r="AR148" s="47"/>
      <c r="AS148" s="47"/>
      <c r="AT148" s="31" t="s">
        <v>208</v>
      </c>
      <c r="AU148" s="47"/>
      <c r="AV148" s="47"/>
      <c r="AW148" t="str">
        <f>IF(Migrationsartikel!AB146="ja","true",FALSE)</f>
        <v>true</v>
      </c>
      <c r="AX148" t="str">
        <f>IF(Migrationsartikel!AC146="ja","true",FALSE)</f>
        <v>true</v>
      </c>
      <c r="AY148" t="str">
        <f>IF(Migrationsartikel!AD146="ja","true",FALSE)</f>
        <v>true</v>
      </c>
      <c r="AZ148" t="str">
        <f>IF(Migrationsartikel!AE146="ja","true",FALSE)</f>
        <v>true</v>
      </c>
      <c r="BA148" t="str">
        <f>IF(Migrationsartikel!AF146="ja","Denner Partner","")</f>
        <v/>
      </c>
      <c r="BB148" t="str">
        <f>IF(Migrationsartikel!AG146="ja","true","false")</f>
        <v>false</v>
      </c>
      <c r="BC148" t="s">
        <v>1923</v>
      </c>
      <c r="BD148" s="31" t="s">
        <v>235</v>
      </c>
      <c r="BE148" s="31" t="s">
        <v>233</v>
      </c>
    </row>
    <row r="149" spans="2:57" ht="21.75" customHeight="1" x14ac:dyDescent="0.45">
      <c r="B149" t="s">
        <v>115</v>
      </c>
      <c r="E149" s="31" t="s">
        <v>1575</v>
      </c>
      <c r="F149" t="str">
        <f>"Warengruppe&gt;&gt;"&amp;Migrationsartikel!V147&amp;"&gt;&gt;"&amp;Migrationsartikel!W147&amp;"&gt;&gt;"&amp;Migrationsartikel!X147</f>
        <v>Warengruppe&gt;&gt;Getränke&gt;&gt;Tafelgetränke&gt;&gt;Tafelgetränke</v>
      </c>
      <c r="J149" s="31" t="s">
        <v>125</v>
      </c>
      <c r="M149" s="31" t="s">
        <v>137</v>
      </c>
      <c r="P149" s="31">
        <f>Migrationsartikel!B147</f>
        <v>897</v>
      </c>
      <c r="R149" t="str">
        <f>Migrationsartikel!F147&amp;" "&amp;Migrationsartikel!G147&amp;" "&amp;Migrationsartikel!H147</f>
        <v>Apfelsaft aus der Region 3l</v>
      </c>
      <c r="S149" t="str">
        <f>Migrationsartikel!J147&amp;" "&amp;Migrationsartikel!K147&amp;" "&amp;Migrationsartikel!L147</f>
        <v>Jus de pomme de la région 3l</v>
      </c>
      <c r="T149" t="str">
        <f>Migrationsartikel!N147&amp;" "&amp;Migrationsartikel!O147&amp;" "&amp;Migrationsartikel!P147</f>
        <v>Succo di mela della regione 3l</v>
      </c>
      <c r="U149" t="str">
        <f>Migrationsartikel!F147</f>
        <v>Apfelsaft</v>
      </c>
      <c r="V149" t="str">
        <f>Migrationsartikel!J147</f>
        <v>Jus de pomme</v>
      </c>
      <c r="W149" t="str">
        <f>Migrationsartikel!N147</f>
        <v>Succo di mela</v>
      </c>
      <c r="X149" t="str">
        <f>Migrationsartikel!G147</f>
        <v>aus der Region</v>
      </c>
      <c r="Y149" t="str">
        <f>Migrationsartikel!K147</f>
        <v>de la région</v>
      </c>
      <c r="Z149" t="str">
        <f>Migrationsartikel!O147</f>
        <v>della regione</v>
      </c>
      <c r="AA149" s="31" t="str">
        <f>Migrationsartikel!H147</f>
        <v>3l</v>
      </c>
      <c r="AB149" s="31" t="str">
        <f>Migrationsartikel!L147</f>
        <v>3l</v>
      </c>
      <c r="AC149" s="31" t="str">
        <f>Migrationsartikel!P147</f>
        <v>3l</v>
      </c>
      <c r="AD149" t="str">
        <f>Migrationsartikel!I147</f>
        <v>Apfelsaft 3l</v>
      </c>
      <c r="AE149" t="str">
        <f>Migrationsartikel!M147</f>
        <v>Jus de pomme 3l</v>
      </c>
      <c r="AF149" t="str">
        <f>Migrationsartikel!Q147</f>
        <v>Succo mela 3l</v>
      </c>
      <c r="AG149" s="45">
        <f>Migrationsartikel!R147</f>
        <v>3</v>
      </c>
      <c r="AH149" s="46" t="str">
        <f>Migrationsartikel!T147</f>
        <v>Liter</v>
      </c>
      <c r="AI149" s="46" t="str">
        <f t="shared" si="6"/>
        <v>5</v>
      </c>
      <c r="AJ149" s="46" t="s">
        <v>176</v>
      </c>
      <c r="AK149">
        <f>Migrationsartikel!S147</f>
        <v>1</v>
      </c>
      <c r="AL149">
        <f>Migrationsartikel!S147</f>
        <v>1</v>
      </c>
      <c r="AM149">
        <f>Migrationsartikel!S147</f>
        <v>1</v>
      </c>
      <c r="AN149" t="str">
        <f>Migrationsartikel!U147</f>
        <v>(PCE) Stück</v>
      </c>
      <c r="AO149" t="str">
        <f t="shared" si="7"/>
        <v>(PCE) Pièce</v>
      </c>
      <c r="AP149" t="str">
        <f t="shared" si="8"/>
        <v>(PCE) Pièce</v>
      </c>
      <c r="AQ149" s="31" t="s">
        <v>195</v>
      </c>
      <c r="AR149" s="47"/>
      <c r="AS149" s="47"/>
      <c r="AT149" s="31" t="s">
        <v>208</v>
      </c>
      <c r="AU149" s="47"/>
      <c r="AV149" s="47"/>
      <c r="AW149" t="str">
        <f>IF(Migrationsartikel!AB147="ja","true",FALSE)</f>
        <v>true</v>
      </c>
      <c r="AX149" t="str">
        <f>IF(Migrationsartikel!AC147="ja","true",FALSE)</f>
        <v>true</v>
      </c>
      <c r="AY149" t="str">
        <f>IF(Migrationsartikel!AD147="ja","true",FALSE)</f>
        <v>true</v>
      </c>
      <c r="AZ149" t="str">
        <f>IF(Migrationsartikel!AE147="ja","true",FALSE)</f>
        <v>true</v>
      </c>
      <c r="BA149" t="str">
        <f>IF(Migrationsartikel!AF147="ja","Denner Partner","")</f>
        <v/>
      </c>
      <c r="BB149" t="str">
        <f>IF(Migrationsartikel!AG147="ja","true","false")</f>
        <v>false</v>
      </c>
      <c r="BC149" t="s">
        <v>1923</v>
      </c>
      <c r="BD149" s="31" t="s">
        <v>235</v>
      </c>
      <c r="BE149" s="31" t="s">
        <v>233</v>
      </c>
    </row>
    <row r="150" spans="2:57" ht="21.75" customHeight="1" x14ac:dyDescent="0.45">
      <c r="B150" t="s">
        <v>115</v>
      </c>
      <c r="E150" s="31" t="s">
        <v>1576</v>
      </c>
      <c r="F150" t="str">
        <f>"Warengruppe&gt;&gt;"&amp;Migrationsartikel!V148&amp;"&gt;&gt;"&amp;Migrationsartikel!W148&amp;"&gt;&gt;"&amp;Migrationsartikel!X148</f>
        <v>Warengruppe&gt;&gt;Getränke&gt;&gt;Tafelgetränke&gt;&gt;Tafelgetränke</v>
      </c>
      <c r="J150" s="31" t="s">
        <v>125</v>
      </c>
      <c r="M150" s="31" t="s">
        <v>137</v>
      </c>
      <c r="P150" s="31">
        <f>Migrationsartikel!B148</f>
        <v>898</v>
      </c>
      <c r="R150" t="str">
        <f>Migrationsartikel!F148&amp;" "&amp;Migrationsartikel!G148&amp;" "&amp;Migrationsartikel!H148</f>
        <v>Apfelshorle aus der Region 33cl</v>
      </c>
      <c r="S150" t="str">
        <f>Migrationsartikel!J148&amp;" "&amp;Migrationsartikel!K148&amp;" "&amp;Migrationsartikel!L148</f>
        <v>Jus de pomme pétillant de la région 33cl</v>
      </c>
      <c r="T150" t="str">
        <f>Migrationsartikel!N148&amp;" "&amp;Migrationsartikel!O148&amp;" "&amp;Migrationsartikel!P148</f>
        <v>Succo di mela gassato della regione 33cl</v>
      </c>
      <c r="U150" t="str">
        <f>Migrationsartikel!F148</f>
        <v>Apfelshorle</v>
      </c>
      <c r="V150" t="str">
        <f>Migrationsartikel!J148</f>
        <v>Jus de pomme pétillant</v>
      </c>
      <c r="W150" t="str">
        <f>Migrationsartikel!N148</f>
        <v>Succo di mela gassato</v>
      </c>
      <c r="X150" t="str">
        <f>Migrationsartikel!G148</f>
        <v>aus der Region</v>
      </c>
      <c r="Y150" t="str">
        <f>Migrationsartikel!K148</f>
        <v>de la région</v>
      </c>
      <c r="Z150" t="str">
        <f>Migrationsartikel!O148</f>
        <v>della regione</v>
      </c>
      <c r="AA150" s="31" t="str">
        <f>Migrationsartikel!H148</f>
        <v>33cl</v>
      </c>
      <c r="AB150" s="31" t="str">
        <f>Migrationsartikel!L148</f>
        <v>33cl</v>
      </c>
      <c r="AC150" s="31" t="str">
        <f>Migrationsartikel!P148</f>
        <v>33cl</v>
      </c>
      <c r="AD150" t="str">
        <f>Migrationsartikel!I148</f>
        <v>Apfelshorle</v>
      </c>
      <c r="AE150" t="str">
        <f>Migrationsartikel!M148</f>
        <v>Jus de pomme pétillant 33cl</v>
      </c>
      <c r="AF150" t="str">
        <f>Migrationsartikel!Q148</f>
        <v>Succo di mela gas. 33cl</v>
      </c>
      <c r="AG150" s="45">
        <f>Migrationsartikel!R148</f>
        <v>0.33</v>
      </c>
      <c r="AH150" s="46" t="str">
        <f>Migrationsartikel!T148</f>
        <v>Liter</v>
      </c>
      <c r="AI150" s="46" t="str">
        <f t="shared" si="6"/>
        <v>5</v>
      </c>
      <c r="AJ150" s="46" t="s">
        <v>176</v>
      </c>
      <c r="AK150">
        <f>Migrationsartikel!S148</f>
        <v>1</v>
      </c>
      <c r="AL150">
        <f>Migrationsartikel!S148</f>
        <v>1</v>
      </c>
      <c r="AM150">
        <f>Migrationsartikel!S148</f>
        <v>1</v>
      </c>
      <c r="AN150" t="str">
        <f>Migrationsartikel!U148</f>
        <v>(PCE) Stück</v>
      </c>
      <c r="AO150" t="str">
        <f t="shared" si="7"/>
        <v>(PCE) Pièce</v>
      </c>
      <c r="AP150" t="str">
        <f t="shared" si="8"/>
        <v>(PCE) Pièce</v>
      </c>
      <c r="AQ150" s="31" t="s">
        <v>195</v>
      </c>
      <c r="AR150" s="47"/>
      <c r="AS150" s="47"/>
      <c r="AT150" s="31" t="s">
        <v>208</v>
      </c>
      <c r="AU150" s="47"/>
      <c r="AV150" s="47"/>
      <c r="AW150" t="str">
        <f>IF(Migrationsartikel!AB148="ja","true",FALSE)</f>
        <v>true</v>
      </c>
      <c r="AX150" t="str">
        <f>IF(Migrationsartikel!AC148="ja","true",FALSE)</f>
        <v>true</v>
      </c>
      <c r="AY150" t="str">
        <f>IF(Migrationsartikel!AD148="ja","true",FALSE)</f>
        <v>true</v>
      </c>
      <c r="AZ150" t="str">
        <f>IF(Migrationsartikel!AE148="ja","true",FALSE)</f>
        <v>true</v>
      </c>
      <c r="BA150" t="str">
        <f>IF(Migrationsartikel!AF148="ja","Denner Partner","")</f>
        <v/>
      </c>
      <c r="BB150" t="str">
        <f>IF(Migrationsartikel!AG148="ja","true","false")</f>
        <v>false</v>
      </c>
      <c r="BC150" t="s">
        <v>1923</v>
      </c>
      <c r="BD150" s="31" t="s">
        <v>235</v>
      </c>
      <c r="BE150" s="31" t="s">
        <v>233</v>
      </c>
    </row>
    <row r="151" spans="2:57" ht="21.75" customHeight="1" x14ac:dyDescent="0.45">
      <c r="B151" t="s">
        <v>115</v>
      </c>
      <c r="E151" s="31" t="s">
        <v>1577</v>
      </c>
      <c r="F151" t="str">
        <f>"Warengruppe&gt;&gt;"&amp;Migrationsartikel!V149&amp;"&gt;&gt;"&amp;Migrationsartikel!W149&amp;"&gt;&gt;"&amp;Migrationsartikel!X149</f>
        <v>Warengruppe&gt;&gt;Getränke&gt;&gt;Tafelgetränke&gt;&gt;Tafelgetränke</v>
      </c>
      <c r="J151" s="31" t="s">
        <v>125</v>
      </c>
      <c r="M151" s="31" t="s">
        <v>137</v>
      </c>
      <c r="P151" s="31">
        <f>Migrationsartikel!B149</f>
        <v>899</v>
      </c>
      <c r="R151" t="str">
        <f>Migrationsartikel!F149&amp;" "&amp;Migrationsartikel!G149&amp;" "&amp;Migrationsartikel!H149</f>
        <v>Apfelshorle aus der Region 50cl</v>
      </c>
      <c r="S151" t="str">
        <f>Migrationsartikel!J149&amp;" "&amp;Migrationsartikel!K149&amp;" "&amp;Migrationsartikel!L149</f>
        <v>Jus de pomme pétillant de la région 50cl</v>
      </c>
      <c r="T151" t="str">
        <f>Migrationsartikel!N149&amp;" "&amp;Migrationsartikel!O149&amp;" "&amp;Migrationsartikel!P149</f>
        <v>Succo di mela gassato della regione 50cl</v>
      </c>
      <c r="U151" t="str">
        <f>Migrationsartikel!F149</f>
        <v>Apfelshorle</v>
      </c>
      <c r="V151" t="str">
        <f>Migrationsartikel!J149</f>
        <v>Jus de pomme pétillant</v>
      </c>
      <c r="W151" t="str">
        <f>Migrationsartikel!N149</f>
        <v>Succo di mela gassato</v>
      </c>
      <c r="X151" t="str">
        <f>Migrationsartikel!G149</f>
        <v>aus der Region</v>
      </c>
      <c r="Y151" t="str">
        <f>Migrationsartikel!K149</f>
        <v>de la région</v>
      </c>
      <c r="Z151" t="str">
        <f>Migrationsartikel!O149</f>
        <v>della regione</v>
      </c>
      <c r="AA151" s="31" t="str">
        <f>Migrationsartikel!H149</f>
        <v>50cl</v>
      </c>
      <c r="AB151" s="31" t="str">
        <f>Migrationsartikel!L149</f>
        <v>50cl</v>
      </c>
      <c r="AC151" s="31" t="str">
        <f>Migrationsartikel!P149</f>
        <v>50cl</v>
      </c>
      <c r="AD151" t="str">
        <f>Migrationsartikel!I149</f>
        <v>Apfelshorle</v>
      </c>
      <c r="AE151" t="str">
        <f>Migrationsartikel!M149</f>
        <v>Jus de pomme pétillant 50cl</v>
      </c>
      <c r="AF151" t="str">
        <f>Migrationsartikel!Q149</f>
        <v>Succo di mela gas. 50cl</v>
      </c>
      <c r="AG151" s="45">
        <f>Migrationsartikel!R149</f>
        <v>0.5</v>
      </c>
      <c r="AH151" s="46" t="str">
        <f>Migrationsartikel!T149</f>
        <v>Liter</v>
      </c>
      <c r="AI151" s="46" t="str">
        <f t="shared" si="6"/>
        <v>5</v>
      </c>
      <c r="AJ151" s="46" t="s">
        <v>176</v>
      </c>
      <c r="AK151">
        <f>Migrationsartikel!S149</f>
        <v>1</v>
      </c>
      <c r="AL151">
        <f>Migrationsartikel!S149</f>
        <v>1</v>
      </c>
      <c r="AM151">
        <f>Migrationsartikel!S149</f>
        <v>1</v>
      </c>
      <c r="AN151" t="str">
        <f>Migrationsartikel!U149</f>
        <v>(PCE) Stück</v>
      </c>
      <c r="AO151" t="str">
        <f t="shared" si="7"/>
        <v>(PCE) Pièce</v>
      </c>
      <c r="AP151" t="str">
        <f t="shared" si="8"/>
        <v>(PCE) Pièce</v>
      </c>
      <c r="AQ151" s="31" t="s">
        <v>195</v>
      </c>
      <c r="AR151" s="47"/>
      <c r="AS151" s="47"/>
      <c r="AT151" s="31" t="s">
        <v>208</v>
      </c>
      <c r="AU151" s="47"/>
      <c r="AV151" s="47"/>
      <c r="AW151" t="str">
        <f>IF(Migrationsartikel!AB149="ja","true",FALSE)</f>
        <v>true</v>
      </c>
      <c r="AX151" t="str">
        <f>IF(Migrationsartikel!AC149="ja","true",FALSE)</f>
        <v>true</v>
      </c>
      <c r="AY151" t="str">
        <f>IF(Migrationsartikel!AD149="ja","true",FALSE)</f>
        <v>true</v>
      </c>
      <c r="AZ151" t="str">
        <f>IF(Migrationsartikel!AE149="ja","true",FALSE)</f>
        <v>true</v>
      </c>
      <c r="BA151" t="str">
        <f>IF(Migrationsartikel!AF149="ja","Denner Partner","")</f>
        <v/>
      </c>
      <c r="BB151" t="str">
        <f>IF(Migrationsartikel!AG149="ja","true","false")</f>
        <v>false</v>
      </c>
      <c r="BC151" t="s">
        <v>1923</v>
      </c>
      <c r="BD151" s="31" t="s">
        <v>235</v>
      </c>
      <c r="BE151" s="31" t="s">
        <v>233</v>
      </c>
    </row>
    <row r="152" spans="2:57" ht="21.75" customHeight="1" x14ac:dyDescent="0.45">
      <c r="B152" t="s">
        <v>115</v>
      </c>
      <c r="E152" s="31" t="s">
        <v>1578</v>
      </c>
      <c r="F152" t="str">
        <f>"Warengruppe&gt;&gt;"&amp;Migrationsartikel!V150&amp;"&gt;&gt;"&amp;Migrationsartikel!W150&amp;"&gt;&gt;"&amp;Migrationsartikel!X150</f>
        <v>Warengruppe&gt;&gt;Getränke&gt;&gt;Tafelgetränke&gt;&gt;Tafelgetränke</v>
      </c>
      <c r="J152" s="31" t="s">
        <v>125</v>
      </c>
      <c r="M152" s="31" t="s">
        <v>137</v>
      </c>
      <c r="P152" s="31">
        <f>Migrationsartikel!B150</f>
        <v>900</v>
      </c>
      <c r="R152" t="str">
        <f>Migrationsartikel!F150&amp;" "&amp;Migrationsartikel!G150&amp;" "&amp;Migrationsartikel!H150</f>
        <v>Apfelshorle aus der Region 1l</v>
      </c>
      <c r="S152" t="str">
        <f>Migrationsartikel!J150&amp;" "&amp;Migrationsartikel!K150&amp;" "&amp;Migrationsartikel!L150</f>
        <v>Jus de pomme pétillant de la région 1l</v>
      </c>
      <c r="T152" t="str">
        <f>Migrationsartikel!N150&amp;" "&amp;Migrationsartikel!O150&amp;" "&amp;Migrationsartikel!P150</f>
        <v>Succo di mela gassato della regione 1l</v>
      </c>
      <c r="U152" t="str">
        <f>Migrationsartikel!F150</f>
        <v>Apfelshorle</v>
      </c>
      <c r="V152" t="str">
        <f>Migrationsartikel!J150</f>
        <v>Jus de pomme pétillant</v>
      </c>
      <c r="W152" t="str">
        <f>Migrationsartikel!N150</f>
        <v>Succo di mela gassato</v>
      </c>
      <c r="X152" t="str">
        <f>Migrationsartikel!G150</f>
        <v>aus der Region</v>
      </c>
      <c r="Y152" t="str">
        <f>Migrationsartikel!K150</f>
        <v>de la région</v>
      </c>
      <c r="Z152" t="str">
        <f>Migrationsartikel!O150</f>
        <v>della regione</v>
      </c>
      <c r="AA152" s="31" t="str">
        <f>Migrationsartikel!H150</f>
        <v>1l</v>
      </c>
      <c r="AB152" s="31" t="str">
        <f>Migrationsartikel!L150</f>
        <v>1l</v>
      </c>
      <c r="AC152" s="31" t="str">
        <f>Migrationsartikel!P150</f>
        <v>1l</v>
      </c>
      <c r="AD152" t="str">
        <f>Migrationsartikel!I150</f>
        <v>Apfelshorle</v>
      </c>
      <c r="AE152" t="str">
        <f>Migrationsartikel!M150</f>
        <v>Jus de pomme pétillant 1l</v>
      </c>
      <c r="AF152" t="str">
        <f>Migrationsartikel!Q150</f>
        <v>Succo di mela gas. 1l</v>
      </c>
      <c r="AG152" s="45">
        <f>Migrationsartikel!R150</f>
        <v>1</v>
      </c>
      <c r="AH152" s="46" t="str">
        <f>Migrationsartikel!T150</f>
        <v>Liter</v>
      </c>
      <c r="AI152" s="46" t="str">
        <f t="shared" si="6"/>
        <v>5</v>
      </c>
      <c r="AJ152" s="46" t="s">
        <v>176</v>
      </c>
      <c r="AK152">
        <f>Migrationsartikel!S150</f>
        <v>1</v>
      </c>
      <c r="AL152">
        <f>Migrationsartikel!S150</f>
        <v>1</v>
      </c>
      <c r="AM152">
        <f>Migrationsartikel!S150</f>
        <v>1</v>
      </c>
      <c r="AN152" t="str">
        <f>Migrationsartikel!U150</f>
        <v>(PCE) Stück</v>
      </c>
      <c r="AO152" t="str">
        <f t="shared" si="7"/>
        <v>(PCE) Pièce</v>
      </c>
      <c r="AP152" t="str">
        <f t="shared" si="8"/>
        <v>(PCE) Pièce</v>
      </c>
      <c r="AQ152" s="31" t="s">
        <v>195</v>
      </c>
      <c r="AR152" s="47"/>
      <c r="AS152" s="47"/>
      <c r="AT152" s="31" t="s">
        <v>208</v>
      </c>
      <c r="AU152" s="47"/>
      <c r="AV152" s="47"/>
      <c r="AW152" t="str">
        <f>IF(Migrationsartikel!AB150="ja","true",FALSE)</f>
        <v>true</v>
      </c>
      <c r="AX152" t="str">
        <f>IF(Migrationsartikel!AC150="ja","true",FALSE)</f>
        <v>true</v>
      </c>
      <c r="AY152" t="str">
        <f>IF(Migrationsartikel!AD150="ja","true",FALSE)</f>
        <v>true</v>
      </c>
      <c r="AZ152" t="str">
        <f>IF(Migrationsartikel!AE150="ja","true",FALSE)</f>
        <v>true</v>
      </c>
      <c r="BA152" t="str">
        <f>IF(Migrationsartikel!AF150="ja","Denner Partner","")</f>
        <v/>
      </c>
      <c r="BB152" t="str">
        <f>IF(Migrationsartikel!AG150="ja","true","false")</f>
        <v>false</v>
      </c>
      <c r="BC152" t="s">
        <v>1923</v>
      </c>
      <c r="BD152" s="31" t="s">
        <v>235</v>
      </c>
      <c r="BE152" s="31" t="s">
        <v>233</v>
      </c>
    </row>
    <row r="153" spans="2:57" ht="21.75" customHeight="1" x14ac:dyDescent="0.45">
      <c r="B153" t="s">
        <v>115</v>
      </c>
      <c r="E153" s="31" t="s">
        <v>1579</v>
      </c>
      <c r="F153" t="str">
        <f>"Warengruppe&gt;&gt;"&amp;Migrationsartikel!V151&amp;"&gt;&gt;"&amp;Migrationsartikel!W151&amp;"&gt;&gt;"&amp;Migrationsartikel!X151</f>
        <v>Warengruppe&gt;&gt;Getränke&gt;&gt;Tafelgetränke&gt;&gt;Tafelgetränke</v>
      </c>
      <c r="J153" s="31" t="s">
        <v>125</v>
      </c>
      <c r="M153" s="31" t="s">
        <v>137</v>
      </c>
      <c r="P153" s="31">
        <f>Migrationsartikel!B151</f>
        <v>901</v>
      </c>
      <c r="R153" t="str">
        <f>Migrationsartikel!F151&amp;" "&amp;Migrationsartikel!G151&amp;" "&amp;Migrationsartikel!H151</f>
        <v>Apfelshorle aus der Region 1.5l</v>
      </c>
      <c r="S153" t="str">
        <f>Migrationsartikel!J151&amp;" "&amp;Migrationsartikel!K151&amp;" "&amp;Migrationsartikel!L151</f>
        <v>Jus de pomme pétillant de la région 1.5l</v>
      </c>
      <c r="T153" t="str">
        <f>Migrationsartikel!N151&amp;" "&amp;Migrationsartikel!O151&amp;" "&amp;Migrationsartikel!P151</f>
        <v>Succo di mela gassato della regione 1.5l</v>
      </c>
      <c r="U153" t="str">
        <f>Migrationsartikel!F151</f>
        <v>Apfelshorle</v>
      </c>
      <c r="V153" t="str">
        <f>Migrationsartikel!J151</f>
        <v>Jus de pomme pétillant</v>
      </c>
      <c r="W153" t="str">
        <f>Migrationsartikel!N151</f>
        <v>Succo di mela gassato</v>
      </c>
      <c r="X153" t="str">
        <f>Migrationsartikel!G151</f>
        <v>aus der Region</v>
      </c>
      <c r="Y153" t="str">
        <f>Migrationsartikel!K151</f>
        <v>de la région</v>
      </c>
      <c r="Z153" t="str">
        <f>Migrationsartikel!O151</f>
        <v>della regione</v>
      </c>
      <c r="AA153" s="31" t="str">
        <f>Migrationsartikel!H151</f>
        <v>1.5l</v>
      </c>
      <c r="AB153" s="31" t="str">
        <f>Migrationsartikel!L151</f>
        <v>1.5l</v>
      </c>
      <c r="AC153" s="31" t="str">
        <f>Migrationsartikel!P151</f>
        <v>1.5l</v>
      </c>
      <c r="AD153" t="str">
        <f>Migrationsartikel!I151</f>
        <v>Apfelshorle</v>
      </c>
      <c r="AE153" t="str">
        <f>Migrationsartikel!M151</f>
        <v>Jus de pomme pétillant 1.5l</v>
      </c>
      <c r="AF153" t="str">
        <f>Migrationsartikel!Q151</f>
        <v>Succo di mela gas. 1.5l</v>
      </c>
      <c r="AG153" s="45">
        <f>Migrationsartikel!R151</f>
        <v>1.5</v>
      </c>
      <c r="AH153" s="46" t="str">
        <f>Migrationsartikel!T151</f>
        <v>Liter</v>
      </c>
      <c r="AI153" s="46" t="str">
        <f t="shared" si="6"/>
        <v>5</v>
      </c>
      <c r="AJ153" s="46" t="s">
        <v>176</v>
      </c>
      <c r="AK153">
        <f>Migrationsartikel!S151</f>
        <v>1</v>
      </c>
      <c r="AL153">
        <f>Migrationsartikel!S151</f>
        <v>1</v>
      </c>
      <c r="AM153">
        <f>Migrationsartikel!S151</f>
        <v>1</v>
      </c>
      <c r="AN153" t="str">
        <f>Migrationsartikel!U151</f>
        <v>(PCE) Stück</v>
      </c>
      <c r="AO153" t="str">
        <f t="shared" si="7"/>
        <v>(PCE) Pièce</v>
      </c>
      <c r="AP153" t="str">
        <f t="shared" si="8"/>
        <v>(PCE) Pièce</v>
      </c>
      <c r="AQ153" s="31" t="s">
        <v>195</v>
      </c>
      <c r="AR153" s="47"/>
      <c r="AS153" s="47"/>
      <c r="AT153" s="31" t="s">
        <v>208</v>
      </c>
      <c r="AU153" s="47"/>
      <c r="AV153" s="47"/>
      <c r="AW153" t="str">
        <f>IF(Migrationsartikel!AB151="ja","true",FALSE)</f>
        <v>true</v>
      </c>
      <c r="AX153" t="str">
        <f>IF(Migrationsartikel!AC151="ja","true",FALSE)</f>
        <v>true</v>
      </c>
      <c r="AY153" t="str">
        <f>IF(Migrationsartikel!AD151="ja","true",FALSE)</f>
        <v>true</v>
      </c>
      <c r="AZ153" t="str">
        <f>IF(Migrationsartikel!AE151="ja","true",FALSE)</f>
        <v>true</v>
      </c>
      <c r="BA153" t="str">
        <f>IF(Migrationsartikel!AF151="ja","Denner Partner","")</f>
        <v/>
      </c>
      <c r="BB153" t="str">
        <f>IF(Migrationsartikel!AG151="ja","true","false")</f>
        <v>false</v>
      </c>
      <c r="BC153" t="s">
        <v>1923</v>
      </c>
      <c r="BD153" s="31" t="s">
        <v>235</v>
      </c>
      <c r="BE153" s="31" t="s">
        <v>233</v>
      </c>
    </row>
    <row r="154" spans="2:57" ht="21.75" customHeight="1" x14ac:dyDescent="0.45">
      <c r="B154" t="s">
        <v>115</v>
      </c>
      <c r="E154" s="31" t="s">
        <v>1580</v>
      </c>
      <c r="F154" t="str">
        <f>"Warengruppe&gt;&gt;"&amp;Migrationsartikel!V152&amp;"&gt;&gt;"&amp;Migrationsartikel!W152&amp;"&gt;&gt;"&amp;Migrationsartikel!X152</f>
        <v>Warengruppe&gt;&gt;Getränke&gt;&gt;Tafelgetränke&gt;&gt;Tafelgetränke</v>
      </c>
      <c r="J154" s="31" t="s">
        <v>125</v>
      </c>
      <c r="M154" s="31" t="s">
        <v>137</v>
      </c>
      <c r="P154" s="31">
        <f>Migrationsartikel!B152</f>
        <v>902</v>
      </c>
      <c r="R154" t="str">
        <f>Migrationsartikel!F152&amp;" "&amp;Migrationsartikel!G152&amp;" "&amp;Migrationsartikel!H152</f>
        <v>Apfelwein aus der Region 33cl</v>
      </c>
      <c r="S154" t="str">
        <f>Migrationsartikel!J152&amp;" "&amp;Migrationsartikel!K152&amp;" "&amp;Migrationsartikel!L152</f>
        <v>Vin de pomme de la région 33cl</v>
      </c>
      <c r="T154" t="str">
        <f>Migrationsartikel!N152&amp;" "&amp;Migrationsartikel!O152&amp;" "&amp;Migrationsartikel!P152</f>
        <v>Vino di mele della regione 33cl</v>
      </c>
      <c r="U154" t="str">
        <f>Migrationsartikel!F152</f>
        <v>Apfelwein</v>
      </c>
      <c r="V154" t="str">
        <f>Migrationsartikel!J152</f>
        <v>Vin de pomme</v>
      </c>
      <c r="W154" t="str">
        <f>Migrationsartikel!N152</f>
        <v>Vino di mele</v>
      </c>
      <c r="X154" t="str">
        <f>Migrationsartikel!G152</f>
        <v>aus der Region</v>
      </c>
      <c r="Y154" t="str">
        <f>Migrationsartikel!K152</f>
        <v>de la région</v>
      </c>
      <c r="Z154" t="str">
        <f>Migrationsartikel!O152</f>
        <v>della regione</v>
      </c>
      <c r="AA154" s="31" t="str">
        <f>Migrationsartikel!H152</f>
        <v>33cl</v>
      </c>
      <c r="AB154" s="31" t="str">
        <f>Migrationsartikel!L152</f>
        <v>33cl</v>
      </c>
      <c r="AC154" s="31" t="str">
        <f>Migrationsartikel!P152</f>
        <v>33cl</v>
      </c>
      <c r="AD154" t="str">
        <f>Migrationsartikel!I152</f>
        <v>Apfelwein 33cl</v>
      </c>
      <c r="AE154" t="str">
        <f>Migrationsartikel!M152</f>
        <v>Vin de pomme 33cl</v>
      </c>
      <c r="AF154" t="str">
        <f>Migrationsartikel!Q152</f>
        <v>Vino di mele 33cl</v>
      </c>
      <c r="AG154" s="45">
        <f>Migrationsartikel!R152</f>
        <v>0.33</v>
      </c>
      <c r="AH154" s="46" t="str">
        <f>Migrationsartikel!T152</f>
        <v>Liter</v>
      </c>
      <c r="AI154" s="46" t="str">
        <f t="shared" si="6"/>
        <v>5</v>
      </c>
      <c r="AJ154" s="46" t="s">
        <v>176</v>
      </c>
      <c r="AK154">
        <f>Migrationsartikel!S152</f>
        <v>1</v>
      </c>
      <c r="AL154">
        <f>Migrationsartikel!S152</f>
        <v>1</v>
      </c>
      <c r="AM154">
        <f>Migrationsartikel!S152</f>
        <v>1</v>
      </c>
      <c r="AN154" t="str">
        <f>Migrationsartikel!U152</f>
        <v>(PCE) Stück</v>
      </c>
      <c r="AO154" t="str">
        <f t="shared" si="7"/>
        <v>(PCE) Pièce</v>
      </c>
      <c r="AP154" t="str">
        <f t="shared" si="8"/>
        <v>(PCE) Pièce</v>
      </c>
      <c r="AQ154" s="31" t="s">
        <v>195</v>
      </c>
      <c r="AR154" s="47"/>
      <c r="AS154" s="47"/>
      <c r="AT154" s="31" t="s">
        <v>208</v>
      </c>
      <c r="AU154" s="47"/>
      <c r="AV154" s="47"/>
      <c r="AW154" t="str">
        <f>IF(Migrationsartikel!AB152="ja","true",FALSE)</f>
        <v>true</v>
      </c>
      <c r="AX154" t="str">
        <f>IF(Migrationsartikel!AC152="ja","true",FALSE)</f>
        <v>true</v>
      </c>
      <c r="AY154" t="str">
        <f>IF(Migrationsartikel!AD152="ja","true",FALSE)</f>
        <v>true</v>
      </c>
      <c r="AZ154" t="str">
        <f>IF(Migrationsartikel!AE152="ja","true",FALSE)</f>
        <v>true</v>
      </c>
      <c r="BA154" t="str">
        <f>IF(Migrationsartikel!AF152="ja","Denner Partner","")</f>
        <v/>
      </c>
      <c r="BB154" t="str">
        <f>IF(Migrationsartikel!AG152="ja","true","false")</f>
        <v>false</v>
      </c>
      <c r="BC154" t="s">
        <v>1923</v>
      </c>
      <c r="BD154" s="31" t="s">
        <v>235</v>
      </c>
      <c r="BE154" s="31" t="s">
        <v>233</v>
      </c>
    </row>
    <row r="155" spans="2:57" ht="21.75" customHeight="1" x14ac:dyDescent="0.45">
      <c r="B155" t="s">
        <v>115</v>
      </c>
      <c r="E155" s="31" t="s">
        <v>1581</v>
      </c>
      <c r="F155" t="str">
        <f>"Warengruppe&gt;&gt;"&amp;Migrationsartikel!V153&amp;"&gt;&gt;"&amp;Migrationsartikel!W153&amp;"&gt;&gt;"&amp;Migrationsartikel!X153</f>
        <v>Warengruppe&gt;&gt;Getränke&gt;&gt;Tafelgetränke&gt;&gt;Tafelgetränke</v>
      </c>
      <c r="J155" s="31" t="s">
        <v>125</v>
      </c>
      <c r="M155" s="31" t="s">
        <v>137</v>
      </c>
      <c r="P155" s="31">
        <f>Migrationsartikel!B153</f>
        <v>903</v>
      </c>
      <c r="R155" t="str">
        <f>Migrationsartikel!F153&amp;" "&amp;Migrationsartikel!G153&amp;" "&amp;Migrationsartikel!H153</f>
        <v>Apfelwein aus der Region 50cl</v>
      </c>
      <c r="S155" t="str">
        <f>Migrationsartikel!J153&amp;" "&amp;Migrationsartikel!K153&amp;" "&amp;Migrationsartikel!L153</f>
        <v>Vin de pomme de la région 50cl</v>
      </c>
      <c r="T155" t="str">
        <f>Migrationsartikel!N153&amp;" "&amp;Migrationsartikel!O153&amp;" "&amp;Migrationsartikel!P153</f>
        <v>Vino di mele della regione 50cl</v>
      </c>
      <c r="U155" t="str">
        <f>Migrationsartikel!F153</f>
        <v>Apfelwein</v>
      </c>
      <c r="V155" t="str">
        <f>Migrationsartikel!J153</f>
        <v>Vin de pomme</v>
      </c>
      <c r="W155" t="str">
        <f>Migrationsartikel!N153</f>
        <v>Vino di mele</v>
      </c>
      <c r="X155" t="str">
        <f>Migrationsartikel!G153</f>
        <v>aus der Region</v>
      </c>
      <c r="Y155" t="str">
        <f>Migrationsartikel!K153</f>
        <v>de la région</v>
      </c>
      <c r="Z155" t="str">
        <f>Migrationsartikel!O153</f>
        <v>della regione</v>
      </c>
      <c r="AA155" s="31" t="str">
        <f>Migrationsartikel!H153</f>
        <v>50cl</v>
      </c>
      <c r="AB155" s="31" t="str">
        <f>Migrationsartikel!L153</f>
        <v>50cl</v>
      </c>
      <c r="AC155" s="31" t="str">
        <f>Migrationsartikel!P153</f>
        <v>50cl</v>
      </c>
      <c r="AD155" t="str">
        <f>Migrationsartikel!I153</f>
        <v>Apfelwein 50cl</v>
      </c>
      <c r="AE155" t="str">
        <f>Migrationsartikel!M153</f>
        <v>Vin de pomme 50cl</v>
      </c>
      <c r="AF155" t="str">
        <f>Migrationsartikel!Q153</f>
        <v>Vino di mele 50cl</v>
      </c>
      <c r="AG155" s="45">
        <f>Migrationsartikel!R153</f>
        <v>0.5</v>
      </c>
      <c r="AH155" s="46" t="str">
        <f>Migrationsartikel!T153</f>
        <v>Liter</v>
      </c>
      <c r="AI155" s="46" t="str">
        <f t="shared" si="6"/>
        <v>5</v>
      </c>
      <c r="AJ155" s="46" t="s">
        <v>176</v>
      </c>
      <c r="AK155">
        <f>Migrationsartikel!S153</f>
        <v>1</v>
      </c>
      <c r="AL155">
        <f>Migrationsartikel!S153</f>
        <v>1</v>
      </c>
      <c r="AM155">
        <f>Migrationsartikel!S153</f>
        <v>1</v>
      </c>
      <c r="AN155" t="str">
        <f>Migrationsartikel!U153</f>
        <v>(PCE) Stück</v>
      </c>
      <c r="AO155" t="str">
        <f t="shared" si="7"/>
        <v>(PCE) Pièce</v>
      </c>
      <c r="AP155" t="str">
        <f t="shared" si="8"/>
        <v>(PCE) Pièce</v>
      </c>
      <c r="AQ155" s="31" t="s">
        <v>195</v>
      </c>
      <c r="AR155" s="47"/>
      <c r="AS155" s="47"/>
      <c r="AT155" s="31" t="s">
        <v>208</v>
      </c>
      <c r="AU155" s="47"/>
      <c r="AV155" s="47"/>
      <c r="AW155" t="str">
        <f>IF(Migrationsartikel!AB153="ja","true",FALSE)</f>
        <v>true</v>
      </c>
      <c r="AX155" t="str">
        <f>IF(Migrationsartikel!AC153="ja","true",FALSE)</f>
        <v>true</v>
      </c>
      <c r="AY155" t="str">
        <f>IF(Migrationsartikel!AD153="ja","true",FALSE)</f>
        <v>true</v>
      </c>
      <c r="AZ155" t="str">
        <f>IF(Migrationsartikel!AE153="ja","true",FALSE)</f>
        <v>true</v>
      </c>
      <c r="BA155" t="str">
        <f>IF(Migrationsartikel!AF153="ja","Denner Partner","")</f>
        <v/>
      </c>
      <c r="BB155" t="str">
        <f>IF(Migrationsartikel!AG153="ja","true","false")</f>
        <v>false</v>
      </c>
      <c r="BC155" t="s">
        <v>1923</v>
      </c>
      <c r="BD155" s="31" t="s">
        <v>235</v>
      </c>
      <c r="BE155" s="31" t="s">
        <v>233</v>
      </c>
    </row>
    <row r="156" spans="2:57" ht="21.75" customHeight="1" x14ac:dyDescent="0.45">
      <c r="B156" t="s">
        <v>115</v>
      </c>
      <c r="E156" s="31" t="s">
        <v>1582</v>
      </c>
      <c r="F156" t="str">
        <f>"Warengruppe&gt;&gt;"&amp;Migrationsartikel!V154&amp;"&gt;&gt;"&amp;Migrationsartikel!W154&amp;"&gt;&gt;"&amp;Migrationsartikel!X154</f>
        <v>Warengruppe&gt;&gt;Getränke&gt;&gt;Tafelgetränke&gt;&gt;Tafelgetränke</v>
      </c>
      <c r="J156" s="31" t="s">
        <v>125</v>
      </c>
      <c r="M156" s="31" t="s">
        <v>137</v>
      </c>
      <c r="P156" s="31">
        <f>Migrationsartikel!B154</f>
        <v>904</v>
      </c>
      <c r="R156" t="str">
        <f>Migrationsartikel!F154&amp;" "&amp;Migrationsartikel!G154&amp;" "&amp;Migrationsartikel!H154</f>
        <v>Apfelwein aus der Region 75cl</v>
      </c>
      <c r="S156" t="str">
        <f>Migrationsartikel!J154&amp;" "&amp;Migrationsartikel!K154&amp;" "&amp;Migrationsartikel!L154</f>
        <v>Vin de pomme de la région 75cl</v>
      </c>
      <c r="T156" t="str">
        <f>Migrationsartikel!N154&amp;" "&amp;Migrationsartikel!O154&amp;" "&amp;Migrationsartikel!P154</f>
        <v>Vino di mele della regione 75cl</v>
      </c>
      <c r="U156" t="str">
        <f>Migrationsartikel!F154</f>
        <v>Apfelwein</v>
      </c>
      <c r="V156" t="str">
        <f>Migrationsartikel!J154</f>
        <v>Vin de pomme</v>
      </c>
      <c r="W156" t="str">
        <f>Migrationsartikel!N154</f>
        <v>Vino di mele</v>
      </c>
      <c r="X156" t="str">
        <f>Migrationsartikel!G154</f>
        <v>aus der Region</v>
      </c>
      <c r="Y156" t="str">
        <f>Migrationsartikel!K154</f>
        <v>de la région</v>
      </c>
      <c r="Z156" t="str">
        <f>Migrationsartikel!O154</f>
        <v>della regione</v>
      </c>
      <c r="AA156" s="31" t="str">
        <f>Migrationsartikel!H154</f>
        <v>75cl</v>
      </c>
      <c r="AB156" s="31" t="str">
        <f>Migrationsartikel!L154</f>
        <v>75cl</v>
      </c>
      <c r="AC156" s="31" t="str">
        <f>Migrationsartikel!P154</f>
        <v>75cl</v>
      </c>
      <c r="AD156" t="str">
        <f>Migrationsartikel!I154</f>
        <v>Apfelwein 75cl</v>
      </c>
      <c r="AE156" t="str">
        <f>Migrationsartikel!M154</f>
        <v>Vin de pomme 75cl</v>
      </c>
      <c r="AF156" t="str">
        <f>Migrationsartikel!Q154</f>
        <v>Vino di mele 75cl</v>
      </c>
      <c r="AG156" s="45">
        <f>Migrationsartikel!R154</f>
        <v>0.75</v>
      </c>
      <c r="AH156" s="46" t="str">
        <f>Migrationsartikel!T154</f>
        <v>Liter</v>
      </c>
      <c r="AI156" s="46" t="str">
        <f t="shared" si="6"/>
        <v>5</v>
      </c>
      <c r="AJ156" s="46" t="s">
        <v>176</v>
      </c>
      <c r="AK156">
        <f>Migrationsartikel!S154</f>
        <v>1</v>
      </c>
      <c r="AL156">
        <f>Migrationsartikel!S154</f>
        <v>1</v>
      </c>
      <c r="AM156">
        <f>Migrationsartikel!S154</f>
        <v>1</v>
      </c>
      <c r="AN156" t="str">
        <f>Migrationsartikel!U154</f>
        <v>(PCE) Stück</v>
      </c>
      <c r="AO156" t="str">
        <f t="shared" si="7"/>
        <v>(PCE) Pièce</v>
      </c>
      <c r="AP156" t="str">
        <f t="shared" si="8"/>
        <v>(PCE) Pièce</v>
      </c>
      <c r="AQ156" s="31" t="s">
        <v>195</v>
      </c>
      <c r="AR156" s="47"/>
      <c r="AS156" s="47"/>
      <c r="AT156" s="31" t="s">
        <v>208</v>
      </c>
      <c r="AU156" s="47"/>
      <c r="AV156" s="47"/>
      <c r="AW156" t="str">
        <f>IF(Migrationsartikel!AB154="ja","true",FALSE)</f>
        <v>true</v>
      </c>
      <c r="AX156" t="str">
        <f>IF(Migrationsartikel!AC154="ja","true",FALSE)</f>
        <v>true</v>
      </c>
      <c r="AY156" t="str">
        <f>IF(Migrationsartikel!AD154="ja","true",FALSE)</f>
        <v>true</v>
      </c>
      <c r="AZ156" t="str">
        <f>IF(Migrationsartikel!AE154="ja","true",FALSE)</f>
        <v>true</v>
      </c>
      <c r="BA156" t="str">
        <f>IF(Migrationsartikel!AF154="ja","Denner Partner","")</f>
        <v/>
      </c>
      <c r="BB156" t="str">
        <f>IF(Migrationsartikel!AG154="ja","true","false")</f>
        <v>false</v>
      </c>
      <c r="BC156" t="s">
        <v>1923</v>
      </c>
      <c r="BD156" s="31" t="s">
        <v>235</v>
      </c>
      <c r="BE156" s="31" t="s">
        <v>233</v>
      </c>
    </row>
    <row r="157" spans="2:57" ht="21.75" customHeight="1" x14ac:dyDescent="0.45">
      <c r="B157" t="s">
        <v>115</v>
      </c>
      <c r="E157" s="31" t="s">
        <v>1583</v>
      </c>
      <c r="F157" t="str">
        <f>"Warengruppe&gt;&gt;"&amp;Migrationsartikel!V155&amp;"&gt;&gt;"&amp;Migrationsartikel!W155&amp;"&gt;&gt;"&amp;Migrationsartikel!X155</f>
        <v>Warengruppe&gt;&gt;Getränke&gt;&gt;Tafelgetränke&gt;&gt;Tafelgetränke</v>
      </c>
      <c r="J157" s="31" t="s">
        <v>125</v>
      </c>
      <c r="M157" s="31" t="s">
        <v>137</v>
      </c>
      <c r="P157" s="31">
        <f>Migrationsartikel!B155</f>
        <v>905</v>
      </c>
      <c r="R157" t="str">
        <f>Migrationsartikel!F155&amp;" "&amp;Migrationsartikel!G155&amp;" "&amp;Migrationsartikel!H155</f>
        <v>Apfelwein aus der Region 1l</v>
      </c>
      <c r="S157" t="str">
        <f>Migrationsartikel!J155&amp;" "&amp;Migrationsartikel!K155&amp;" "&amp;Migrationsartikel!L155</f>
        <v>Vin de pomme de la région 1l</v>
      </c>
      <c r="T157" t="str">
        <f>Migrationsartikel!N155&amp;" "&amp;Migrationsartikel!O155&amp;" "&amp;Migrationsartikel!P155</f>
        <v>Vino di mele della regione 1l</v>
      </c>
      <c r="U157" t="str">
        <f>Migrationsartikel!F155</f>
        <v>Apfelwein</v>
      </c>
      <c r="V157" t="str">
        <f>Migrationsartikel!J155</f>
        <v>Vin de pomme</v>
      </c>
      <c r="W157" t="str">
        <f>Migrationsartikel!N155</f>
        <v>Vino di mele</v>
      </c>
      <c r="X157" t="str">
        <f>Migrationsartikel!G155</f>
        <v>aus der Region</v>
      </c>
      <c r="Y157" t="str">
        <f>Migrationsartikel!K155</f>
        <v>de la région</v>
      </c>
      <c r="Z157" t="str">
        <f>Migrationsartikel!O155</f>
        <v>della regione</v>
      </c>
      <c r="AA157" s="31" t="str">
        <f>Migrationsartikel!H155</f>
        <v>1l</v>
      </c>
      <c r="AB157" s="31" t="str">
        <f>Migrationsartikel!L155</f>
        <v>1l</v>
      </c>
      <c r="AC157" s="31" t="str">
        <f>Migrationsartikel!P155</f>
        <v>1l</v>
      </c>
      <c r="AD157" t="str">
        <f>Migrationsartikel!I155</f>
        <v>Apfelwein 1l</v>
      </c>
      <c r="AE157" t="str">
        <f>Migrationsartikel!M155</f>
        <v>Vin de pomme 1l</v>
      </c>
      <c r="AF157" t="str">
        <f>Migrationsartikel!Q155</f>
        <v>Vino di mele 1l</v>
      </c>
      <c r="AG157" s="45">
        <f>Migrationsartikel!R155</f>
        <v>1</v>
      </c>
      <c r="AH157" s="46" t="str">
        <f>Migrationsartikel!T155</f>
        <v>Liter</v>
      </c>
      <c r="AI157" s="46" t="str">
        <f t="shared" si="6"/>
        <v>5</v>
      </c>
      <c r="AJ157" s="46" t="s">
        <v>176</v>
      </c>
      <c r="AK157">
        <f>Migrationsartikel!S155</f>
        <v>1</v>
      </c>
      <c r="AL157">
        <f>Migrationsartikel!S155</f>
        <v>1</v>
      </c>
      <c r="AM157">
        <f>Migrationsartikel!S155</f>
        <v>1</v>
      </c>
      <c r="AN157" t="str">
        <f>Migrationsartikel!U155</f>
        <v>(PCE) Stück</v>
      </c>
      <c r="AO157" t="str">
        <f t="shared" si="7"/>
        <v>(PCE) Pièce</v>
      </c>
      <c r="AP157" t="str">
        <f t="shared" si="8"/>
        <v>(PCE) Pièce</v>
      </c>
      <c r="AQ157" s="31" t="s">
        <v>195</v>
      </c>
      <c r="AR157" s="47"/>
      <c r="AS157" s="47"/>
      <c r="AT157" s="31" t="s">
        <v>208</v>
      </c>
      <c r="AU157" s="47"/>
      <c r="AV157" s="47"/>
      <c r="AW157" t="str">
        <f>IF(Migrationsartikel!AB155="ja","true",FALSE)</f>
        <v>true</v>
      </c>
      <c r="AX157" t="str">
        <f>IF(Migrationsartikel!AC155="ja","true",FALSE)</f>
        <v>true</v>
      </c>
      <c r="AY157" t="str">
        <f>IF(Migrationsartikel!AD155="ja","true",FALSE)</f>
        <v>true</v>
      </c>
      <c r="AZ157" t="str">
        <f>IF(Migrationsartikel!AE155="ja","true",FALSE)</f>
        <v>true</v>
      </c>
      <c r="BA157" t="str">
        <f>IF(Migrationsartikel!AF155="ja","Denner Partner","")</f>
        <v/>
      </c>
      <c r="BB157" t="str">
        <f>IF(Migrationsartikel!AG155="ja","true","false")</f>
        <v>false</v>
      </c>
      <c r="BC157" t="s">
        <v>1923</v>
      </c>
      <c r="BD157" s="31" t="s">
        <v>235</v>
      </c>
      <c r="BE157" s="31" t="s">
        <v>233</v>
      </c>
    </row>
    <row r="158" spans="2:57" ht="21.75" customHeight="1" x14ac:dyDescent="0.45">
      <c r="B158" t="s">
        <v>115</v>
      </c>
      <c r="E158" s="31" t="s">
        <v>1584</v>
      </c>
      <c r="F158" t="str">
        <f>"Warengruppe&gt;&gt;"&amp;Migrationsartikel!V156&amp;"&gt;&gt;"&amp;Migrationsartikel!W156&amp;"&gt;&gt;"&amp;Migrationsartikel!X156</f>
        <v>Warengruppe&gt;&gt;Getränke&gt;&gt;Tafelgetränke&gt;&gt;Tafelgetränke</v>
      </c>
      <c r="J158" s="31" t="s">
        <v>125</v>
      </c>
      <c r="M158" s="31" t="s">
        <v>137</v>
      </c>
      <c r="P158" s="31">
        <f>Migrationsartikel!B156</f>
        <v>906</v>
      </c>
      <c r="R158" t="str">
        <f>Migrationsartikel!F156&amp;" "&amp;Migrationsartikel!G156&amp;" "&amp;Migrationsartikel!H156</f>
        <v>Apfelwein aus der Region 1.5l</v>
      </c>
      <c r="S158" t="str">
        <f>Migrationsartikel!J156&amp;" "&amp;Migrationsartikel!K156&amp;" "&amp;Migrationsartikel!L156</f>
        <v>Vin de pomme de la région 1.5l</v>
      </c>
      <c r="T158" t="str">
        <f>Migrationsartikel!N156&amp;" "&amp;Migrationsartikel!O156&amp;" "&amp;Migrationsartikel!P156</f>
        <v>Vino di mele della regione 1.5l</v>
      </c>
      <c r="U158" t="str">
        <f>Migrationsartikel!F156</f>
        <v>Apfelwein</v>
      </c>
      <c r="V158" t="str">
        <f>Migrationsartikel!J156</f>
        <v>Vin de pomme</v>
      </c>
      <c r="W158" t="str">
        <f>Migrationsartikel!N156</f>
        <v>Vino di mele</v>
      </c>
      <c r="X158" t="str">
        <f>Migrationsartikel!G156</f>
        <v>aus der Region</v>
      </c>
      <c r="Y158" t="str">
        <f>Migrationsartikel!K156</f>
        <v>de la région</v>
      </c>
      <c r="Z158" t="str">
        <f>Migrationsartikel!O156</f>
        <v>della regione</v>
      </c>
      <c r="AA158" s="31" t="str">
        <f>Migrationsartikel!H156</f>
        <v>1.5l</v>
      </c>
      <c r="AB158" s="31" t="str">
        <f>Migrationsartikel!L156</f>
        <v>1.5l</v>
      </c>
      <c r="AC158" s="31" t="str">
        <f>Migrationsartikel!P156</f>
        <v>1.5l</v>
      </c>
      <c r="AD158" t="str">
        <f>Migrationsartikel!I156</f>
        <v>Apfelwein 1.5l</v>
      </c>
      <c r="AE158" t="str">
        <f>Migrationsartikel!M156</f>
        <v>Vin de pomme 1.5l</v>
      </c>
      <c r="AF158" t="str">
        <f>Migrationsartikel!Q156</f>
        <v>Vino di mele 1.5l</v>
      </c>
      <c r="AG158" s="45">
        <f>Migrationsartikel!R156</f>
        <v>1.5</v>
      </c>
      <c r="AH158" s="46" t="str">
        <f>Migrationsartikel!T156</f>
        <v>Liter</v>
      </c>
      <c r="AI158" s="46" t="str">
        <f t="shared" si="6"/>
        <v>5</v>
      </c>
      <c r="AJ158" s="46" t="s">
        <v>176</v>
      </c>
      <c r="AK158">
        <f>Migrationsartikel!S156</f>
        <v>1</v>
      </c>
      <c r="AL158">
        <f>Migrationsartikel!S156</f>
        <v>1</v>
      </c>
      <c r="AM158">
        <f>Migrationsartikel!S156</f>
        <v>1</v>
      </c>
      <c r="AN158" t="str">
        <f>Migrationsartikel!U156</f>
        <v>(PCE) Stück</v>
      </c>
      <c r="AO158" t="str">
        <f t="shared" si="7"/>
        <v>(PCE) Pièce</v>
      </c>
      <c r="AP158" t="str">
        <f t="shared" si="8"/>
        <v>(PCE) Pièce</v>
      </c>
      <c r="AQ158" s="31" t="s">
        <v>195</v>
      </c>
      <c r="AR158" s="47"/>
      <c r="AS158" s="47"/>
      <c r="AT158" s="31" t="s">
        <v>208</v>
      </c>
      <c r="AU158" s="47"/>
      <c r="AV158" s="47"/>
      <c r="AW158" t="str">
        <f>IF(Migrationsartikel!AB156="ja","true",FALSE)</f>
        <v>true</v>
      </c>
      <c r="AX158" t="str">
        <f>IF(Migrationsartikel!AC156="ja","true",FALSE)</f>
        <v>true</v>
      </c>
      <c r="AY158" t="str">
        <f>IF(Migrationsartikel!AD156="ja","true",FALSE)</f>
        <v>true</v>
      </c>
      <c r="AZ158" t="str">
        <f>IF(Migrationsartikel!AE156="ja","true",FALSE)</f>
        <v>true</v>
      </c>
      <c r="BA158" t="str">
        <f>IF(Migrationsartikel!AF156="ja","Denner Partner","")</f>
        <v/>
      </c>
      <c r="BB158" t="str">
        <f>IF(Migrationsartikel!AG156="ja","true","false")</f>
        <v>false</v>
      </c>
      <c r="BC158" t="s">
        <v>1923</v>
      </c>
      <c r="BD158" s="31" t="s">
        <v>235</v>
      </c>
      <c r="BE158" s="31" t="s">
        <v>233</v>
      </c>
    </row>
    <row r="159" spans="2:57" ht="21.75" customHeight="1" x14ac:dyDescent="0.45">
      <c r="B159" t="s">
        <v>115</v>
      </c>
      <c r="E159" s="31" t="s">
        <v>1585</v>
      </c>
      <c r="F159" t="str">
        <f>"Warengruppe&gt;&gt;"&amp;Migrationsartikel!V157&amp;"&gt;&gt;"&amp;Migrationsartikel!W157&amp;"&gt;&gt;"&amp;Migrationsartikel!X157</f>
        <v>Warengruppe&gt;&gt;Getränke&gt;&gt;Tafelgetränke&gt;&gt;Tafelgetränke</v>
      </c>
      <c r="J159" s="31" t="s">
        <v>125</v>
      </c>
      <c r="M159" s="31" t="s">
        <v>137</v>
      </c>
      <c r="P159" s="31">
        <f>Migrationsartikel!B157</f>
        <v>907</v>
      </c>
      <c r="R159" t="str">
        <f>Migrationsartikel!F157&amp;" "&amp;Migrationsartikel!G157&amp;" "&amp;Migrationsartikel!H157</f>
        <v>Cider aus der Region 33cl</v>
      </c>
      <c r="S159" t="str">
        <f>Migrationsartikel!J157&amp;" "&amp;Migrationsartikel!K157&amp;" "&amp;Migrationsartikel!L157</f>
        <v>Cidre de la région 33cl</v>
      </c>
      <c r="T159" t="str">
        <f>Migrationsartikel!N157&amp;" "&amp;Migrationsartikel!O157&amp;" "&amp;Migrationsartikel!P157</f>
        <v>Sidro della regione 33cl</v>
      </c>
      <c r="U159" t="str">
        <f>Migrationsartikel!F157</f>
        <v>Cider</v>
      </c>
      <c r="V159" t="str">
        <f>Migrationsartikel!J157</f>
        <v>Cidre</v>
      </c>
      <c r="W159" t="str">
        <f>Migrationsartikel!N157</f>
        <v>Sidro</v>
      </c>
      <c r="X159" t="str">
        <f>Migrationsartikel!G157</f>
        <v>aus der Region</v>
      </c>
      <c r="Y159" t="str">
        <f>Migrationsartikel!K157</f>
        <v>de la région</v>
      </c>
      <c r="Z159" t="str">
        <f>Migrationsartikel!O157</f>
        <v>della regione</v>
      </c>
      <c r="AA159" s="31" t="str">
        <f>Migrationsartikel!H157</f>
        <v>33cl</v>
      </c>
      <c r="AB159" s="31" t="str">
        <f>Migrationsartikel!L157</f>
        <v>33cl</v>
      </c>
      <c r="AC159" s="31" t="str">
        <f>Migrationsartikel!P157</f>
        <v>33cl</v>
      </c>
      <c r="AD159" t="str">
        <f>Migrationsartikel!I157</f>
        <v>Cider 33cl</v>
      </c>
      <c r="AE159" t="str">
        <f>Migrationsartikel!M157</f>
        <v>Cidre 33cl</v>
      </c>
      <c r="AF159" t="str">
        <f>Migrationsartikel!Q157</f>
        <v>Sidro 33cl</v>
      </c>
      <c r="AG159" s="45">
        <f>Migrationsartikel!R157</f>
        <v>0.33</v>
      </c>
      <c r="AH159" s="46" t="str">
        <f>Migrationsartikel!T157</f>
        <v>Liter</v>
      </c>
      <c r="AI159" s="46" t="str">
        <f t="shared" si="6"/>
        <v>5</v>
      </c>
      <c r="AJ159" s="46" t="s">
        <v>176</v>
      </c>
      <c r="AK159">
        <f>Migrationsartikel!S157</f>
        <v>1</v>
      </c>
      <c r="AL159">
        <f>Migrationsartikel!S157</f>
        <v>1</v>
      </c>
      <c r="AM159">
        <f>Migrationsartikel!S157</f>
        <v>1</v>
      </c>
      <c r="AN159" t="str">
        <f>Migrationsartikel!U157</f>
        <v>(PCE) Stück</v>
      </c>
      <c r="AO159" t="str">
        <f t="shared" si="7"/>
        <v>(PCE) Pièce</v>
      </c>
      <c r="AP159" t="str">
        <f t="shared" si="8"/>
        <v>(PCE) Pièce</v>
      </c>
      <c r="AQ159" s="31" t="s">
        <v>195</v>
      </c>
      <c r="AR159" s="47"/>
      <c r="AS159" s="47"/>
      <c r="AT159" s="31" t="s">
        <v>208</v>
      </c>
      <c r="AU159" s="47"/>
      <c r="AV159" s="47"/>
      <c r="AW159" t="str">
        <f>IF(Migrationsartikel!AB157="ja","true",FALSE)</f>
        <v>true</v>
      </c>
      <c r="AX159" t="str">
        <f>IF(Migrationsartikel!AC157="ja","true",FALSE)</f>
        <v>true</v>
      </c>
      <c r="AY159" t="str">
        <f>IF(Migrationsartikel!AD157="ja","true",FALSE)</f>
        <v>true</v>
      </c>
      <c r="AZ159" t="str">
        <f>IF(Migrationsartikel!AE157="ja","true",FALSE)</f>
        <v>true</v>
      </c>
      <c r="BA159" t="str">
        <f>IF(Migrationsartikel!AF157="ja","Denner Partner","")</f>
        <v/>
      </c>
      <c r="BB159" t="str">
        <f>IF(Migrationsartikel!AG157="ja","true","false")</f>
        <v>false</v>
      </c>
      <c r="BC159" t="s">
        <v>1923</v>
      </c>
      <c r="BD159" s="31" t="s">
        <v>235</v>
      </c>
      <c r="BE159" s="31" t="s">
        <v>233</v>
      </c>
    </row>
    <row r="160" spans="2:57" ht="21.75" customHeight="1" x14ac:dyDescent="0.45">
      <c r="B160" t="s">
        <v>115</v>
      </c>
      <c r="E160" s="31" t="s">
        <v>1586</v>
      </c>
      <c r="F160" t="str">
        <f>"Warengruppe&gt;&gt;"&amp;Migrationsartikel!V158&amp;"&gt;&gt;"&amp;Migrationsartikel!W158&amp;"&gt;&gt;"&amp;Migrationsartikel!X158</f>
        <v>Warengruppe&gt;&gt;Getränke&gt;&gt;Tafelgetränke&gt;&gt;Tafelgetränke</v>
      </c>
      <c r="J160" s="31" t="s">
        <v>125</v>
      </c>
      <c r="M160" s="31" t="s">
        <v>137</v>
      </c>
      <c r="P160" s="31">
        <f>Migrationsartikel!B158</f>
        <v>908</v>
      </c>
      <c r="R160" t="str">
        <f>Migrationsartikel!F158&amp;" "&amp;Migrationsartikel!G158&amp;" "&amp;Migrationsartikel!H158</f>
        <v>Cider aus der Region 50cl</v>
      </c>
      <c r="S160" t="str">
        <f>Migrationsartikel!J158&amp;" "&amp;Migrationsartikel!K158&amp;" "&amp;Migrationsartikel!L158</f>
        <v>Cidre de la région 50cl</v>
      </c>
      <c r="T160" t="str">
        <f>Migrationsartikel!N158&amp;" "&amp;Migrationsartikel!O158&amp;" "&amp;Migrationsartikel!P158</f>
        <v>Sidro della regione 50cl</v>
      </c>
      <c r="U160" t="str">
        <f>Migrationsartikel!F158</f>
        <v>Cider</v>
      </c>
      <c r="V160" t="str">
        <f>Migrationsartikel!J158</f>
        <v>Cidre</v>
      </c>
      <c r="W160" t="str">
        <f>Migrationsartikel!N158</f>
        <v>Sidro</v>
      </c>
      <c r="X160" t="str">
        <f>Migrationsartikel!G158</f>
        <v>aus der Region</v>
      </c>
      <c r="Y160" t="str">
        <f>Migrationsartikel!K158</f>
        <v>de la région</v>
      </c>
      <c r="Z160" t="str">
        <f>Migrationsartikel!O158</f>
        <v>della regione</v>
      </c>
      <c r="AA160" s="31" t="str">
        <f>Migrationsartikel!H158</f>
        <v>50cl</v>
      </c>
      <c r="AB160" s="31" t="str">
        <f>Migrationsartikel!L158</f>
        <v>50cl</v>
      </c>
      <c r="AC160" s="31" t="str">
        <f>Migrationsartikel!P158</f>
        <v>50cl</v>
      </c>
      <c r="AD160" t="str">
        <f>Migrationsartikel!I158</f>
        <v>Cider 50cl</v>
      </c>
      <c r="AE160" t="str">
        <f>Migrationsartikel!M158</f>
        <v>Cidre 50cl</v>
      </c>
      <c r="AF160" t="str">
        <f>Migrationsartikel!Q158</f>
        <v>Sidro 50cl</v>
      </c>
      <c r="AG160" s="45">
        <f>Migrationsartikel!R158</f>
        <v>0.5</v>
      </c>
      <c r="AH160" s="46" t="str">
        <f>Migrationsartikel!T158</f>
        <v>Liter</v>
      </c>
      <c r="AI160" s="46" t="str">
        <f t="shared" si="6"/>
        <v>5</v>
      </c>
      <c r="AJ160" s="46" t="s">
        <v>176</v>
      </c>
      <c r="AK160">
        <f>Migrationsartikel!S158</f>
        <v>1</v>
      </c>
      <c r="AL160">
        <f>Migrationsartikel!S158</f>
        <v>1</v>
      </c>
      <c r="AM160">
        <f>Migrationsartikel!S158</f>
        <v>1</v>
      </c>
      <c r="AN160" t="str">
        <f>Migrationsartikel!U158</f>
        <v>(PCE) Stück</v>
      </c>
      <c r="AO160" t="str">
        <f t="shared" si="7"/>
        <v>(PCE) Pièce</v>
      </c>
      <c r="AP160" t="str">
        <f t="shared" si="8"/>
        <v>(PCE) Pièce</v>
      </c>
      <c r="AQ160" s="31" t="s">
        <v>195</v>
      </c>
      <c r="AR160" s="47"/>
      <c r="AS160" s="47"/>
      <c r="AT160" s="31" t="s">
        <v>208</v>
      </c>
      <c r="AU160" s="47"/>
      <c r="AV160" s="47"/>
      <c r="AW160" t="str">
        <f>IF(Migrationsartikel!AB158="ja","true",FALSE)</f>
        <v>true</v>
      </c>
      <c r="AX160" t="str">
        <f>IF(Migrationsartikel!AC158="ja","true",FALSE)</f>
        <v>true</v>
      </c>
      <c r="AY160" t="str">
        <f>IF(Migrationsartikel!AD158="ja","true",FALSE)</f>
        <v>true</v>
      </c>
      <c r="AZ160" t="str">
        <f>IF(Migrationsartikel!AE158="ja","true",FALSE)</f>
        <v>true</v>
      </c>
      <c r="BA160" t="str">
        <f>IF(Migrationsartikel!AF158="ja","Denner Partner","")</f>
        <v/>
      </c>
      <c r="BB160" t="str">
        <f>IF(Migrationsartikel!AG158="ja","true","false")</f>
        <v>false</v>
      </c>
      <c r="BC160" t="s">
        <v>1923</v>
      </c>
      <c r="BD160" s="31" t="s">
        <v>235</v>
      </c>
      <c r="BE160" s="31" t="s">
        <v>233</v>
      </c>
    </row>
    <row r="161" spans="2:57" ht="21.75" customHeight="1" x14ac:dyDescent="0.45">
      <c r="B161" t="s">
        <v>115</v>
      </c>
      <c r="E161" s="31" t="s">
        <v>1587</v>
      </c>
      <c r="F161" t="str">
        <f>"Warengruppe&gt;&gt;"&amp;Migrationsartikel!V159&amp;"&gt;&gt;"&amp;Migrationsartikel!W159&amp;"&gt;&gt;"&amp;Migrationsartikel!X159</f>
        <v>Warengruppe&gt;&gt;Getränke&gt;&gt;Tafelgetränke&gt;&gt;Tafelgetränke</v>
      </c>
      <c r="J161" s="31" t="s">
        <v>125</v>
      </c>
      <c r="M161" s="31" t="s">
        <v>137</v>
      </c>
      <c r="P161" s="31">
        <f>Migrationsartikel!B159</f>
        <v>909</v>
      </c>
      <c r="R161" t="str">
        <f>Migrationsartikel!F159&amp;" "&amp;Migrationsartikel!G159&amp;" "&amp;Migrationsartikel!H159</f>
        <v>Cider aus der Region 75cl</v>
      </c>
      <c r="S161" t="str">
        <f>Migrationsartikel!J159&amp;" "&amp;Migrationsartikel!K159&amp;" "&amp;Migrationsartikel!L159</f>
        <v>Cidre de la région 75cl</v>
      </c>
      <c r="T161" t="str">
        <f>Migrationsartikel!N159&amp;" "&amp;Migrationsartikel!O159&amp;" "&amp;Migrationsartikel!P159</f>
        <v>Sidro della regione 75cl</v>
      </c>
      <c r="U161" t="str">
        <f>Migrationsartikel!F159</f>
        <v>Cider</v>
      </c>
      <c r="V161" t="str">
        <f>Migrationsartikel!J159</f>
        <v>Cidre</v>
      </c>
      <c r="W161" t="str">
        <f>Migrationsartikel!N159</f>
        <v>Sidro</v>
      </c>
      <c r="X161" t="str">
        <f>Migrationsartikel!G159</f>
        <v>aus der Region</v>
      </c>
      <c r="Y161" t="str">
        <f>Migrationsartikel!K159</f>
        <v>de la région</v>
      </c>
      <c r="Z161" t="str">
        <f>Migrationsartikel!O159</f>
        <v>della regione</v>
      </c>
      <c r="AA161" s="31" t="str">
        <f>Migrationsartikel!H159</f>
        <v>75cl</v>
      </c>
      <c r="AB161" s="31" t="str">
        <f>Migrationsartikel!L159</f>
        <v>75cl</v>
      </c>
      <c r="AC161" s="31" t="str">
        <f>Migrationsartikel!P159</f>
        <v>75cl</v>
      </c>
      <c r="AD161" t="str">
        <f>Migrationsartikel!I159</f>
        <v>Cider 75cl</v>
      </c>
      <c r="AE161" t="str">
        <f>Migrationsartikel!M159</f>
        <v>Cidre 75cl</v>
      </c>
      <c r="AF161" t="str">
        <f>Migrationsartikel!Q159</f>
        <v>Sidro 75cl</v>
      </c>
      <c r="AG161" s="45">
        <f>Migrationsartikel!R159</f>
        <v>0.75</v>
      </c>
      <c r="AH161" s="46" t="str">
        <f>Migrationsartikel!T159</f>
        <v>Liter</v>
      </c>
      <c r="AI161" s="46" t="str">
        <f t="shared" si="6"/>
        <v>5</v>
      </c>
      <c r="AJ161" s="46" t="s">
        <v>176</v>
      </c>
      <c r="AK161">
        <f>Migrationsartikel!S159</f>
        <v>1</v>
      </c>
      <c r="AL161">
        <f>Migrationsartikel!S159</f>
        <v>1</v>
      </c>
      <c r="AM161">
        <f>Migrationsartikel!S159</f>
        <v>1</v>
      </c>
      <c r="AN161" t="str">
        <f>Migrationsartikel!U159</f>
        <v>(PCE) Stück</v>
      </c>
      <c r="AO161" t="str">
        <f t="shared" si="7"/>
        <v>(PCE) Pièce</v>
      </c>
      <c r="AP161" t="str">
        <f t="shared" si="8"/>
        <v>(PCE) Pièce</v>
      </c>
      <c r="AQ161" s="31" t="s">
        <v>195</v>
      </c>
      <c r="AR161" s="47"/>
      <c r="AS161" s="47"/>
      <c r="AT161" s="31" t="s">
        <v>208</v>
      </c>
      <c r="AU161" s="47"/>
      <c r="AV161" s="47"/>
      <c r="AW161" t="str">
        <f>IF(Migrationsartikel!AB159="ja","true",FALSE)</f>
        <v>true</v>
      </c>
      <c r="AX161" t="str">
        <f>IF(Migrationsartikel!AC159="ja","true",FALSE)</f>
        <v>true</v>
      </c>
      <c r="AY161" t="str">
        <f>IF(Migrationsartikel!AD159="ja","true",FALSE)</f>
        <v>true</v>
      </c>
      <c r="AZ161" t="str">
        <f>IF(Migrationsartikel!AE159="ja","true",FALSE)</f>
        <v>true</v>
      </c>
      <c r="BA161" t="str">
        <f>IF(Migrationsartikel!AF159="ja","Denner Partner","")</f>
        <v/>
      </c>
      <c r="BB161" t="str">
        <f>IF(Migrationsartikel!AG159="ja","true","false")</f>
        <v>false</v>
      </c>
      <c r="BC161" t="s">
        <v>1923</v>
      </c>
      <c r="BD161" s="31" t="s">
        <v>235</v>
      </c>
      <c r="BE161" s="31" t="s">
        <v>233</v>
      </c>
    </row>
    <row r="162" spans="2:57" ht="21.75" customHeight="1" x14ac:dyDescent="0.45">
      <c r="B162" t="s">
        <v>115</v>
      </c>
      <c r="E162" s="31" t="s">
        <v>1588</v>
      </c>
      <c r="F162" t="str">
        <f>"Warengruppe&gt;&gt;"&amp;Migrationsartikel!V160&amp;"&gt;&gt;"&amp;Migrationsartikel!W160&amp;"&gt;&gt;"&amp;Migrationsartikel!X160</f>
        <v>Warengruppe&gt;&gt;Getränke&gt;&gt;Tafelgetränke&gt;&gt;Tafelgetränke</v>
      </c>
      <c r="J162" s="31" t="s">
        <v>125</v>
      </c>
      <c r="M162" s="31" t="s">
        <v>137</v>
      </c>
      <c r="P162" s="31">
        <f>Migrationsartikel!B160</f>
        <v>910</v>
      </c>
      <c r="R162" t="str">
        <f>Migrationsartikel!F160&amp;" "&amp;Migrationsartikel!G160&amp;" "&amp;Migrationsartikel!H160</f>
        <v>Cider aus der Region 1l</v>
      </c>
      <c r="S162" t="str">
        <f>Migrationsartikel!J160&amp;" "&amp;Migrationsartikel!K160&amp;" "&amp;Migrationsartikel!L160</f>
        <v>Cidre de la région 1l</v>
      </c>
      <c r="T162" t="str">
        <f>Migrationsartikel!N160&amp;" "&amp;Migrationsartikel!O160&amp;" "&amp;Migrationsartikel!P160</f>
        <v>Sidro della regione 1l</v>
      </c>
      <c r="U162" t="str">
        <f>Migrationsartikel!F160</f>
        <v>Cider</v>
      </c>
      <c r="V162" t="str">
        <f>Migrationsartikel!J160</f>
        <v>Cidre</v>
      </c>
      <c r="W162" t="str">
        <f>Migrationsartikel!N160</f>
        <v>Sidro</v>
      </c>
      <c r="X162" t="str">
        <f>Migrationsartikel!G160</f>
        <v>aus der Region</v>
      </c>
      <c r="Y162" t="str">
        <f>Migrationsartikel!K160</f>
        <v>de la région</v>
      </c>
      <c r="Z162" t="str">
        <f>Migrationsartikel!O160</f>
        <v>della regione</v>
      </c>
      <c r="AA162" s="31" t="str">
        <f>Migrationsartikel!H160</f>
        <v>1l</v>
      </c>
      <c r="AB162" s="31" t="str">
        <f>Migrationsartikel!L160</f>
        <v>1l</v>
      </c>
      <c r="AC162" s="31" t="str">
        <f>Migrationsartikel!P160</f>
        <v>1l</v>
      </c>
      <c r="AD162" t="str">
        <f>Migrationsartikel!I160</f>
        <v>Cider 1l</v>
      </c>
      <c r="AE162" t="str">
        <f>Migrationsartikel!M160</f>
        <v>Cidre 1l</v>
      </c>
      <c r="AF162" t="str">
        <f>Migrationsartikel!Q160</f>
        <v>Sidro 1l</v>
      </c>
      <c r="AG162" s="45">
        <f>Migrationsartikel!R160</f>
        <v>1</v>
      </c>
      <c r="AH162" s="46" t="str">
        <f>Migrationsartikel!T160</f>
        <v>Liter</v>
      </c>
      <c r="AI162" s="46" t="str">
        <f t="shared" si="6"/>
        <v>5</v>
      </c>
      <c r="AJ162" s="46" t="s">
        <v>176</v>
      </c>
      <c r="AK162">
        <f>Migrationsartikel!S160</f>
        <v>1</v>
      </c>
      <c r="AL162">
        <f>Migrationsartikel!S160</f>
        <v>1</v>
      </c>
      <c r="AM162">
        <f>Migrationsartikel!S160</f>
        <v>1</v>
      </c>
      <c r="AN162" t="str">
        <f>Migrationsartikel!U160</f>
        <v>(PCE) Stück</v>
      </c>
      <c r="AO162" t="str">
        <f t="shared" si="7"/>
        <v>(PCE) Pièce</v>
      </c>
      <c r="AP162" t="str">
        <f t="shared" si="8"/>
        <v>(PCE) Pièce</v>
      </c>
      <c r="AQ162" s="31" t="s">
        <v>195</v>
      </c>
      <c r="AR162" s="47"/>
      <c r="AS162" s="47"/>
      <c r="AT162" s="31" t="s">
        <v>208</v>
      </c>
      <c r="AU162" s="47"/>
      <c r="AV162" s="47"/>
      <c r="AW162" t="str">
        <f>IF(Migrationsartikel!AB160="ja","true",FALSE)</f>
        <v>true</v>
      </c>
      <c r="AX162" t="str">
        <f>IF(Migrationsartikel!AC160="ja","true",FALSE)</f>
        <v>true</v>
      </c>
      <c r="AY162" t="str">
        <f>IF(Migrationsartikel!AD160="ja","true",FALSE)</f>
        <v>true</v>
      </c>
      <c r="AZ162" t="str">
        <f>IF(Migrationsartikel!AE160="ja","true",FALSE)</f>
        <v>true</v>
      </c>
      <c r="BA162" t="str">
        <f>IF(Migrationsartikel!AF160="ja","Denner Partner","")</f>
        <v/>
      </c>
      <c r="BB162" t="str">
        <f>IF(Migrationsartikel!AG160="ja","true","false")</f>
        <v>false</v>
      </c>
      <c r="BC162" t="s">
        <v>1923</v>
      </c>
      <c r="BD162" s="31" t="s">
        <v>235</v>
      </c>
      <c r="BE162" s="31" t="s">
        <v>233</v>
      </c>
    </row>
    <row r="163" spans="2:57" ht="21.75" customHeight="1" x14ac:dyDescent="0.45">
      <c r="B163" t="s">
        <v>115</v>
      </c>
      <c r="E163" s="31" t="s">
        <v>1589</v>
      </c>
      <c r="F163" t="str">
        <f>"Warengruppe&gt;&gt;"&amp;Migrationsartikel!V161&amp;"&gt;&gt;"&amp;Migrationsartikel!W161&amp;"&gt;&gt;"&amp;Migrationsartikel!X161</f>
        <v>Warengruppe&gt;&gt;Getränke&gt;&gt;Tafelgetränke&gt;&gt;Tafelgetränke</v>
      </c>
      <c r="J163" s="31" t="s">
        <v>125</v>
      </c>
      <c r="M163" s="31" t="s">
        <v>137</v>
      </c>
      <c r="P163" s="31">
        <f>Migrationsartikel!B161</f>
        <v>911</v>
      </c>
      <c r="R163" t="str">
        <f>Migrationsartikel!F161&amp;" "&amp;Migrationsartikel!G161&amp;" "&amp;Migrationsartikel!H161</f>
        <v>Sirup aus der Region 35cl</v>
      </c>
      <c r="S163" t="str">
        <f>Migrationsartikel!J161&amp;" "&amp;Migrationsartikel!K161&amp;" "&amp;Migrationsartikel!L161</f>
        <v>Sirop  de la région 35cl</v>
      </c>
      <c r="T163" t="str">
        <f>Migrationsartikel!N161&amp;" "&amp;Migrationsartikel!O161&amp;" "&amp;Migrationsartikel!P161</f>
        <v>Sciroppo della regione 35cl</v>
      </c>
      <c r="U163" t="str">
        <f>Migrationsartikel!F161</f>
        <v>Sirup</v>
      </c>
      <c r="V163" t="str">
        <f>Migrationsartikel!J161</f>
        <v xml:space="preserve">Sirop </v>
      </c>
      <c r="W163" t="str">
        <f>Migrationsartikel!N161</f>
        <v>Sciroppo</v>
      </c>
      <c r="X163" t="str">
        <f>Migrationsartikel!G161</f>
        <v>aus der Region</v>
      </c>
      <c r="Y163" t="str">
        <f>Migrationsartikel!K161</f>
        <v>de la région</v>
      </c>
      <c r="Z163" t="str">
        <f>Migrationsartikel!O161</f>
        <v>della regione</v>
      </c>
      <c r="AA163" s="31" t="str">
        <f>Migrationsartikel!H161</f>
        <v>35cl</v>
      </c>
      <c r="AB163" s="31" t="str">
        <f>Migrationsartikel!L161</f>
        <v>35cl</v>
      </c>
      <c r="AC163" s="31" t="str">
        <f>Migrationsartikel!P161</f>
        <v>35cl</v>
      </c>
      <c r="AD163" t="str">
        <f>Migrationsartikel!I161</f>
        <v>Sirup 35cl</v>
      </c>
      <c r="AE163" t="str">
        <f>Migrationsartikel!M161</f>
        <v>Sirop 35cl</v>
      </c>
      <c r="AF163" t="str">
        <f>Migrationsartikel!Q161</f>
        <v>Sciroppo 35cl</v>
      </c>
      <c r="AG163" s="45">
        <f>Migrationsartikel!R161</f>
        <v>0.35</v>
      </c>
      <c r="AH163" s="46" t="str">
        <f>Migrationsartikel!T161</f>
        <v>Liter</v>
      </c>
      <c r="AI163" s="46" t="str">
        <f t="shared" si="6"/>
        <v>5</v>
      </c>
      <c r="AJ163" s="46" t="s">
        <v>176</v>
      </c>
      <c r="AK163">
        <f>Migrationsartikel!S161</f>
        <v>1</v>
      </c>
      <c r="AL163">
        <f>Migrationsartikel!S161</f>
        <v>1</v>
      </c>
      <c r="AM163">
        <f>Migrationsartikel!S161</f>
        <v>1</v>
      </c>
      <c r="AN163" t="str">
        <f>Migrationsartikel!U161</f>
        <v>(PCE) Stück</v>
      </c>
      <c r="AO163" t="str">
        <f t="shared" si="7"/>
        <v>(PCE) Pièce</v>
      </c>
      <c r="AP163" t="str">
        <f t="shared" si="8"/>
        <v>(PCE) Pièce</v>
      </c>
      <c r="AQ163" s="31" t="s">
        <v>195</v>
      </c>
      <c r="AR163" s="47"/>
      <c r="AS163" s="47"/>
      <c r="AT163" s="31" t="s">
        <v>208</v>
      </c>
      <c r="AU163" s="47"/>
      <c r="AV163" s="47"/>
      <c r="AW163" t="str">
        <f>IF(Migrationsartikel!AB161="ja","true",FALSE)</f>
        <v>true</v>
      </c>
      <c r="AX163" t="str">
        <f>IF(Migrationsartikel!AC161="ja","true",FALSE)</f>
        <v>true</v>
      </c>
      <c r="AY163" t="str">
        <f>IF(Migrationsartikel!AD161="ja","true",FALSE)</f>
        <v>true</v>
      </c>
      <c r="AZ163" t="str">
        <f>IF(Migrationsartikel!AE161="ja","true",FALSE)</f>
        <v>true</v>
      </c>
      <c r="BA163" t="str">
        <f>IF(Migrationsartikel!AF161="ja","Denner Partner","")</f>
        <v/>
      </c>
      <c r="BB163" t="str">
        <f>IF(Migrationsartikel!AG161="ja","true","false")</f>
        <v>false</v>
      </c>
      <c r="BC163" t="s">
        <v>1923</v>
      </c>
      <c r="BD163" s="31" t="s">
        <v>235</v>
      </c>
      <c r="BE163" s="31" t="s">
        <v>233</v>
      </c>
    </row>
    <row r="164" spans="2:57" ht="21.75" customHeight="1" x14ac:dyDescent="0.45">
      <c r="B164" t="s">
        <v>115</v>
      </c>
      <c r="E164" s="31" t="s">
        <v>1590</v>
      </c>
      <c r="F164" t="str">
        <f>"Warengruppe&gt;&gt;"&amp;Migrationsartikel!V162&amp;"&gt;&gt;"&amp;Migrationsartikel!W162&amp;"&gt;&gt;"&amp;Migrationsartikel!X162</f>
        <v>Warengruppe&gt;&gt;Getränke&gt;&gt;Tafelgetränke&gt;&gt;Tafelgetränke</v>
      </c>
      <c r="J164" s="31" t="s">
        <v>125</v>
      </c>
      <c r="M164" s="31" t="s">
        <v>137</v>
      </c>
      <c r="P164" s="31">
        <f>Migrationsartikel!B162</f>
        <v>912</v>
      </c>
      <c r="R164" t="str">
        <f>Migrationsartikel!F162&amp;" "&amp;Migrationsartikel!G162&amp;" "&amp;Migrationsartikel!H162</f>
        <v>Sirup aus der Region 50cl</v>
      </c>
      <c r="S164" t="str">
        <f>Migrationsartikel!J162&amp;" "&amp;Migrationsartikel!K162&amp;" "&amp;Migrationsartikel!L162</f>
        <v>Sirop  de la région 50cl</v>
      </c>
      <c r="T164" t="str">
        <f>Migrationsartikel!N162&amp;" "&amp;Migrationsartikel!O162&amp;" "&amp;Migrationsartikel!P162</f>
        <v>Sciroppo della regione 50cl</v>
      </c>
      <c r="U164" t="str">
        <f>Migrationsartikel!F162</f>
        <v>Sirup</v>
      </c>
      <c r="V164" t="str">
        <f>Migrationsartikel!J162</f>
        <v xml:space="preserve">Sirop </v>
      </c>
      <c r="W164" t="str">
        <f>Migrationsartikel!N162</f>
        <v>Sciroppo</v>
      </c>
      <c r="X164" t="str">
        <f>Migrationsartikel!G162</f>
        <v>aus der Region</v>
      </c>
      <c r="Y164" t="str">
        <f>Migrationsartikel!K162</f>
        <v>de la région</v>
      </c>
      <c r="Z164" t="str">
        <f>Migrationsartikel!O162</f>
        <v>della regione</v>
      </c>
      <c r="AA164" s="31" t="str">
        <f>Migrationsartikel!H162</f>
        <v>50cl</v>
      </c>
      <c r="AB164" s="31" t="str">
        <f>Migrationsartikel!L162</f>
        <v>50cl</v>
      </c>
      <c r="AC164" s="31" t="str">
        <f>Migrationsartikel!P162</f>
        <v>50cl</v>
      </c>
      <c r="AD164" t="str">
        <f>Migrationsartikel!I162</f>
        <v>Sirup 50cl</v>
      </c>
      <c r="AE164" t="str">
        <f>Migrationsartikel!M162</f>
        <v>Sirop 50cl</v>
      </c>
      <c r="AF164" t="str">
        <f>Migrationsartikel!Q162</f>
        <v>Sciroppo 50cl</v>
      </c>
      <c r="AG164" s="45">
        <f>Migrationsartikel!R162</f>
        <v>0.5</v>
      </c>
      <c r="AH164" s="46" t="str">
        <f>Migrationsartikel!T162</f>
        <v>Liter</v>
      </c>
      <c r="AI164" s="46" t="str">
        <f t="shared" si="6"/>
        <v>5</v>
      </c>
      <c r="AJ164" s="46" t="s">
        <v>176</v>
      </c>
      <c r="AK164">
        <f>Migrationsartikel!S162</f>
        <v>1</v>
      </c>
      <c r="AL164">
        <f>Migrationsartikel!S162</f>
        <v>1</v>
      </c>
      <c r="AM164">
        <f>Migrationsartikel!S162</f>
        <v>1</v>
      </c>
      <c r="AN164" t="str">
        <f>Migrationsartikel!U162</f>
        <v>(PCE) Stück</v>
      </c>
      <c r="AO164" t="str">
        <f t="shared" si="7"/>
        <v>(PCE) Pièce</v>
      </c>
      <c r="AP164" t="str">
        <f t="shared" si="8"/>
        <v>(PCE) Pièce</v>
      </c>
      <c r="AQ164" s="31" t="s">
        <v>195</v>
      </c>
      <c r="AR164" s="47"/>
      <c r="AS164" s="47"/>
      <c r="AT164" s="31" t="s">
        <v>208</v>
      </c>
      <c r="AU164" s="47"/>
      <c r="AV164" s="47"/>
      <c r="AW164" t="str">
        <f>IF(Migrationsartikel!AB162="ja","true",FALSE)</f>
        <v>true</v>
      </c>
      <c r="AX164" t="str">
        <f>IF(Migrationsartikel!AC162="ja","true",FALSE)</f>
        <v>true</v>
      </c>
      <c r="AY164" t="str">
        <f>IF(Migrationsartikel!AD162="ja","true",FALSE)</f>
        <v>true</v>
      </c>
      <c r="AZ164" t="str">
        <f>IF(Migrationsartikel!AE162="ja","true",FALSE)</f>
        <v>true</v>
      </c>
      <c r="BA164" t="str">
        <f>IF(Migrationsartikel!AF162="ja","Denner Partner","")</f>
        <v/>
      </c>
      <c r="BB164" t="str">
        <f>IF(Migrationsartikel!AG162="ja","true","false")</f>
        <v>false</v>
      </c>
      <c r="BC164" t="s">
        <v>1923</v>
      </c>
      <c r="BD164" s="31" t="s">
        <v>235</v>
      </c>
      <c r="BE164" s="31" t="s">
        <v>233</v>
      </c>
    </row>
    <row r="165" spans="2:57" ht="21.75" customHeight="1" x14ac:dyDescent="0.45">
      <c r="B165" t="s">
        <v>115</v>
      </c>
      <c r="E165" s="31" t="s">
        <v>1591</v>
      </c>
      <c r="F165" t="str">
        <f>"Warengruppe&gt;&gt;"&amp;Migrationsartikel!V163&amp;"&gt;&gt;"&amp;Migrationsartikel!W163&amp;"&gt;&gt;"&amp;Migrationsartikel!X163</f>
        <v>Warengruppe&gt;&gt;Getränke&gt;&gt;Tafelgetränke&gt;&gt;Tafelgetränke</v>
      </c>
      <c r="J165" s="31" t="s">
        <v>125</v>
      </c>
      <c r="M165" s="31" t="s">
        <v>137</v>
      </c>
      <c r="P165" s="31">
        <f>Migrationsartikel!B163</f>
        <v>913</v>
      </c>
      <c r="R165" t="str">
        <f>Migrationsartikel!F163&amp;" "&amp;Migrationsartikel!G163&amp;" "&amp;Migrationsartikel!H163</f>
        <v>Sirup aus der Region 75cl</v>
      </c>
      <c r="S165" t="str">
        <f>Migrationsartikel!J163&amp;" "&amp;Migrationsartikel!K163&amp;" "&amp;Migrationsartikel!L163</f>
        <v>Sirop  de la région 75cl</v>
      </c>
      <c r="T165" t="str">
        <f>Migrationsartikel!N163&amp;" "&amp;Migrationsartikel!O163&amp;" "&amp;Migrationsartikel!P163</f>
        <v>Sciroppo della regione 75cl</v>
      </c>
      <c r="U165" t="str">
        <f>Migrationsartikel!F163</f>
        <v>Sirup</v>
      </c>
      <c r="V165" t="str">
        <f>Migrationsartikel!J163</f>
        <v xml:space="preserve">Sirop </v>
      </c>
      <c r="W165" t="str">
        <f>Migrationsartikel!N163</f>
        <v>Sciroppo</v>
      </c>
      <c r="X165" t="str">
        <f>Migrationsartikel!G163</f>
        <v>aus der Region</v>
      </c>
      <c r="Y165" t="str">
        <f>Migrationsartikel!K163</f>
        <v>de la région</v>
      </c>
      <c r="Z165" t="str">
        <f>Migrationsartikel!O163</f>
        <v>della regione</v>
      </c>
      <c r="AA165" s="31" t="str">
        <f>Migrationsartikel!H163</f>
        <v>75cl</v>
      </c>
      <c r="AB165" s="31" t="str">
        <f>Migrationsartikel!L163</f>
        <v>75cl</v>
      </c>
      <c r="AC165" s="31" t="str">
        <f>Migrationsartikel!P163</f>
        <v>75cl</v>
      </c>
      <c r="AD165" t="str">
        <f>Migrationsartikel!I163</f>
        <v>Sirup 75cl</v>
      </c>
      <c r="AE165" t="str">
        <f>Migrationsartikel!M163</f>
        <v>Sirop 75cl</v>
      </c>
      <c r="AF165" t="str">
        <f>Migrationsartikel!Q163</f>
        <v>Sciroppo 75cl</v>
      </c>
      <c r="AG165" s="45">
        <f>Migrationsartikel!R163</f>
        <v>0.75</v>
      </c>
      <c r="AH165" s="46" t="str">
        <f>Migrationsartikel!T163</f>
        <v>Liter</v>
      </c>
      <c r="AI165" s="46" t="str">
        <f t="shared" si="6"/>
        <v>5</v>
      </c>
      <c r="AJ165" s="46" t="s">
        <v>176</v>
      </c>
      <c r="AK165">
        <f>Migrationsartikel!S163</f>
        <v>1</v>
      </c>
      <c r="AL165">
        <f>Migrationsartikel!S163</f>
        <v>1</v>
      </c>
      <c r="AM165">
        <f>Migrationsartikel!S163</f>
        <v>1</v>
      </c>
      <c r="AN165" t="str">
        <f>Migrationsartikel!U163</f>
        <v>(PCE) Stück</v>
      </c>
      <c r="AO165" t="str">
        <f t="shared" si="7"/>
        <v>(PCE) Pièce</v>
      </c>
      <c r="AP165" t="str">
        <f t="shared" si="8"/>
        <v>(PCE) Pièce</v>
      </c>
      <c r="AQ165" s="31" t="s">
        <v>195</v>
      </c>
      <c r="AR165" s="47"/>
      <c r="AS165" s="47"/>
      <c r="AT165" s="31" t="s">
        <v>208</v>
      </c>
      <c r="AU165" s="47"/>
      <c r="AV165" s="47"/>
      <c r="AW165" t="str">
        <f>IF(Migrationsartikel!AB163="ja","true",FALSE)</f>
        <v>true</v>
      </c>
      <c r="AX165" t="str">
        <f>IF(Migrationsartikel!AC163="ja","true",FALSE)</f>
        <v>true</v>
      </c>
      <c r="AY165" t="str">
        <f>IF(Migrationsartikel!AD163="ja","true",FALSE)</f>
        <v>true</v>
      </c>
      <c r="AZ165" t="str">
        <f>IF(Migrationsartikel!AE163="ja","true",FALSE)</f>
        <v>true</v>
      </c>
      <c r="BA165" t="str">
        <f>IF(Migrationsartikel!AF163="ja","Denner Partner","")</f>
        <v/>
      </c>
      <c r="BB165" t="str">
        <f>IF(Migrationsartikel!AG163="ja","true","false")</f>
        <v>false</v>
      </c>
      <c r="BC165" t="s">
        <v>1923</v>
      </c>
      <c r="BD165" s="31" t="s">
        <v>235</v>
      </c>
      <c r="BE165" s="31" t="s">
        <v>233</v>
      </c>
    </row>
    <row r="166" spans="2:57" ht="21.75" customHeight="1" x14ac:dyDescent="0.45">
      <c r="B166" t="s">
        <v>115</v>
      </c>
      <c r="E166" s="31" t="s">
        <v>1592</v>
      </c>
      <c r="F166" t="str">
        <f>"Warengruppe&gt;&gt;"&amp;Migrationsartikel!V164&amp;"&gt;&gt;"&amp;Migrationsartikel!W164&amp;"&gt;&gt;"&amp;Migrationsartikel!X164</f>
        <v>Warengruppe&gt;&gt;Getränke&gt;&gt;Tafelgetränke&gt;&gt;Tafelgetränke</v>
      </c>
      <c r="J166" s="31" t="s">
        <v>125</v>
      </c>
      <c r="M166" s="31" t="s">
        <v>137</v>
      </c>
      <c r="P166" s="31">
        <f>Migrationsartikel!B164</f>
        <v>914</v>
      </c>
      <c r="R166" t="str">
        <f>Migrationsartikel!F164&amp;" "&amp;Migrationsartikel!G164&amp;" "&amp;Migrationsartikel!H164</f>
        <v>Sirup aus der Region 1l</v>
      </c>
      <c r="S166" t="str">
        <f>Migrationsartikel!J164&amp;" "&amp;Migrationsartikel!K164&amp;" "&amp;Migrationsartikel!L164</f>
        <v>Sirop  de la région 1l</v>
      </c>
      <c r="T166" t="str">
        <f>Migrationsartikel!N164&amp;" "&amp;Migrationsartikel!O164&amp;" "&amp;Migrationsartikel!P164</f>
        <v>Sciroppo della regione 1l</v>
      </c>
      <c r="U166" t="str">
        <f>Migrationsartikel!F164</f>
        <v>Sirup</v>
      </c>
      <c r="V166" t="str">
        <f>Migrationsartikel!J164</f>
        <v xml:space="preserve">Sirop </v>
      </c>
      <c r="W166" t="str">
        <f>Migrationsartikel!N164</f>
        <v>Sciroppo</v>
      </c>
      <c r="X166" t="str">
        <f>Migrationsartikel!G164</f>
        <v>aus der Region</v>
      </c>
      <c r="Y166" t="str">
        <f>Migrationsartikel!K164</f>
        <v>de la région</v>
      </c>
      <c r="Z166" t="str">
        <f>Migrationsartikel!O164</f>
        <v>della regione</v>
      </c>
      <c r="AA166" s="31" t="str">
        <f>Migrationsartikel!H164</f>
        <v>1l</v>
      </c>
      <c r="AB166" s="31" t="str">
        <f>Migrationsartikel!L164</f>
        <v>1l</v>
      </c>
      <c r="AC166" s="31" t="str">
        <f>Migrationsartikel!P164</f>
        <v>1l</v>
      </c>
      <c r="AD166" t="str">
        <f>Migrationsartikel!I164</f>
        <v>Sirup 1l</v>
      </c>
      <c r="AE166" t="str">
        <f>Migrationsartikel!M164</f>
        <v>Sirop 1l</v>
      </c>
      <c r="AF166" t="str">
        <f>Migrationsartikel!Q164</f>
        <v>Sciroppo 1l</v>
      </c>
      <c r="AG166" s="45">
        <f>Migrationsartikel!R164</f>
        <v>1</v>
      </c>
      <c r="AH166" s="46" t="str">
        <f>Migrationsartikel!T164</f>
        <v>Liter</v>
      </c>
      <c r="AI166" s="46" t="str">
        <f t="shared" si="6"/>
        <v>5</v>
      </c>
      <c r="AJ166" s="46" t="s">
        <v>176</v>
      </c>
      <c r="AK166">
        <f>Migrationsartikel!S164</f>
        <v>1</v>
      </c>
      <c r="AL166">
        <f>Migrationsartikel!S164</f>
        <v>1</v>
      </c>
      <c r="AM166">
        <f>Migrationsartikel!S164</f>
        <v>1</v>
      </c>
      <c r="AN166" t="str">
        <f>Migrationsartikel!U164</f>
        <v>(PCE) Stück</v>
      </c>
      <c r="AO166" t="str">
        <f t="shared" si="7"/>
        <v>(PCE) Pièce</v>
      </c>
      <c r="AP166" t="str">
        <f t="shared" si="8"/>
        <v>(PCE) Pièce</v>
      </c>
      <c r="AQ166" s="31" t="s">
        <v>195</v>
      </c>
      <c r="AR166" s="47"/>
      <c r="AS166" s="47"/>
      <c r="AT166" s="31" t="s">
        <v>208</v>
      </c>
      <c r="AU166" s="47"/>
      <c r="AV166" s="47"/>
      <c r="AW166" t="str">
        <f>IF(Migrationsartikel!AB164="ja","true",FALSE)</f>
        <v>true</v>
      </c>
      <c r="AX166" t="str">
        <f>IF(Migrationsartikel!AC164="ja","true",FALSE)</f>
        <v>true</v>
      </c>
      <c r="AY166" t="str">
        <f>IF(Migrationsartikel!AD164="ja","true",FALSE)</f>
        <v>true</v>
      </c>
      <c r="AZ166" t="str">
        <f>IF(Migrationsartikel!AE164="ja","true",FALSE)</f>
        <v>true</v>
      </c>
      <c r="BA166" t="str">
        <f>IF(Migrationsartikel!AF164="ja","Denner Partner","")</f>
        <v/>
      </c>
      <c r="BB166" t="str">
        <f>IF(Migrationsartikel!AG164="ja","true","false")</f>
        <v>false</v>
      </c>
      <c r="BC166" t="s">
        <v>1923</v>
      </c>
      <c r="BD166" s="31" t="s">
        <v>235</v>
      </c>
      <c r="BE166" s="31" t="s">
        <v>233</v>
      </c>
    </row>
    <row r="167" spans="2:57" ht="21.75" customHeight="1" x14ac:dyDescent="0.45">
      <c r="B167" t="s">
        <v>115</v>
      </c>
      <c r="E167" s="31" t="s">
        <v>1593</v>
      </c>
      <c r="F167" t="str">
        <f>"Warengruppe&gt;&gt;"&amp;Migrationsartikel!V165&amp;"&gt;&gt;"&amp;Migrationsartikel!W165&amp;"&gt;&gt;"&amp;Migrationsartikel!X165</f>
        <v>Warengruppe&gt;&gt;Getränke&gt;&gt;Kaffee und Tee&gt;&gt;Tee</v>
      </c>
      <c r="J167" s="31" t="s">
        <v>125</v>
      </c>
      <c r="M167" s="31" t="s">
        <v>137</v>
      </c>
      <c r="P167" s="31">
        <f>Migrationsartikel!B165</f>
        <v>915</v>
      </c>
      <c r="R167" t="str">
        <f>Migrationsartikel!F165&amp;" "&amp;Migrationsartikel!G165&amp;" "&amp;Migrationsartikel!H165</f>
        <v>Tee  aus der Region 1Stk</v>
      </c>
      <c r="S167" t="str">
        <f>Migrationsartikel!J165&amp;" "&amp;Migrationsartikel!K165&amp;" "&amp;Migrationsartikel!L165</f>
        <v>Thé  de la région 1pce</v>
      </c>
      <c r="T167" t="str">
        <f>Migrationsartikel!N165&amp;" "&amp;Migrationsartikel!O165&amp;" "&amp;Migrationsartikel!P165</f>
        <v>Tè  della regione 1pz</v>
      </c>
      <c r="U167" t="str">
        <f>Migrationsartikel!F165</f>
        <v xml:space="preserve">Tee </v>
      </c>
      <c r="V167" t="str">
        <f>Migrationsartikel!J165</f>
        <v xml:space="preserve">Thé </v>
      </c>
      <c r="W167" t="str">
        <f>Migrationsartikel!N165</f>
        <v xml:space="preserve">Tè </v>
      </c>
      <c r="X167" t="str">
        <f>Migrationsartikel!G165</f>
        <v>aus der Region</v>
      </c>
      <c r="Y167" t="str">
        <f>Migrationsartikel!K165</f>
        <v>de la région</v>
      </c>
      <c r="Z167" t="str">
        <f>Migrationsartikel!O165</f>
        <v>della regione</v>
      </c>
      <c r="AA167" s="31" t="str">
        <f>Migrationsartikel!H165</f>
        <v>1Stk</v>
      </c>
      <c r="AB167" s="31" t="str">
        <f>Migrationsartikel!L165</f>
        <v>1pce</v>
      </c>
      <c r="AC167" s="31" t="str">
        <f>Migrationsartikel!P165</f>
        <v>1pz</v>
      </c>
      <c r="AD167" t="str">
        <f>Migrationsartikel!I165</f>
        <v xml:space="preserve">Tee </v>
      </c>
      <c r="AE167" t="str">
        <f>Migrationsartikel!M165</f>
        <v xml:space="preserve">Thé </v>
      </c>
      <c r="AF167" t="str">
        <f>Migrationsartikel!Q165</f>
        <v xml:space="preserve">Tè </v>
      </c>
      <c r="AG167" s="45">
        <f>Migrationsartikel!R165</f>
        <v>1</v>
      </c>
      <c r="AH167" s="46" t="str">
        <f>Migrationsartikel!T165</f>
        <v>Stück</v>
      </c>
      <c r="AI167" s="46" t="str">
        <f t="shared" si="6"/>
        <v>7</v>
      </c>
      <c r="AJ167" s="46" t="s">
        <v>176</v>
      </c>
      <c r="AK167">
        <f>Migrationsartikel!S165</f>
        <v>1</v>
      </c>
      <c r="AL167">
        <f>Migrationsartikel!S165</f>
        <v>1</v>
      </c>
      <c r="AM167">
        <f>Migrationsartikel!S165</f>
        <v>1</v>
      </c>
      <c r="AN167" t="str">
        <f>Migrationsartikel!U165</f>
        <v>(PCE) Stück</v>
      </c>
      <c r="AO167" t="str">
        <f t="shared" si="7"/>
        <v>(PCE) Pièce</v>
      </c>
      <c r="AP167" t="str">
        <f t="shared" si="8"/>
        <v>(PCE) Pièce</v>
      </c>
      <c r="AQ167" s="31" t="s">
        <v>195</v>
      </c>
      <c r="AR167" s="47"/>
      <c r="AS167" s="47"/>
      <c r="AT167" s="31" t="s">
        <v>208</v>
      </c>
      <c r="AU167" s="47"/>
      <c r="AV167" s="47"/>
      <c r="AW167" t="str">
        <f>IF(Migrationsartikel!AB165="ja","true",FALSE)</f>
        <v>true</v>
      </c>
      <c r="AX167" t="str">
        <f>IF(Migrationsartikel!AC165="ja","true",FALSE)</f>
        <v>true</v>
      </c>
      <c r="AY167" t="str">
        <f>IF(Migrationsartikel!AD165="ja","true",FALSE)</f>
        <v>true</v>
      </c>
      <c r="AZ167" t="str">
        <f>IF(Migrationsartikel!AE165="ja","true",FALSE)</f>
        <v>true</v>
      </c>
      <c r="BA167" t="str">
        <f>IF(Migrationsartikel!AF165="ja","Denner Partner","")</f>
        <v/>
      </c>
      <c r="BB167" t="str">
        <f>IF(Migrationsartikel!AG165="ja","true","false")</f>
        <v>false</v>
      </c>
      <c r="BC167" t="s">
        <v>1923</v>
      </c>
      <c r="BD167" s="31" t="s">
        <v>235</v>
      </c>
      <c r="BE167" s="31" t="s">
        <v>233</v>
      </c>
    </row>
    <row r="168" spans="2:57" ht="21.75" customHeight="1" x14ac:dyDescent="0.45">
      <c r="B168" t="s">
        <v>115</v>
      </c>
      <c r="E168" s="31" t="s">
        <v>1594</v>
      </c>
      <c r="F168" t="str">
        <f>"Warengruppe&gt;&gt;"&amp;Migrationsartikel!V166&amp;"&gt;&gt;"&amp;Migrationsartikel!W166&amp;"&gt;&gt;"&amp;Migrationsartikel!X166</f>
        <v>Warengruppe&gt;&gt;Near Food&gt;&gt;Gebrauchsartikel&gt;&gt;Gebrauchsartikel</v>
      </c>
      <c r="J168" s="31" t="s">
        <v>125</v>
      </c>
      <c r="M168" s="31" t="s">
        <v>137</v>
      </c>
      <c r="P168" s="31">
        <f>Migrationsartikel!B166</f>
        <v>950</v>
      </c>
      <c r="R168" t="str">
        <f>Migrationsartikel!F166&amp;" "&amp;Migrationsartikel!G166&amp;" "&amp;Migrationsartikel!H166</f>
        <v>Gasflasche  10.5kg</v>
      </c>
      <c r="S168" t="str">
        <f>Migrationsartikel!J166&amp;" "&amp;Migrationsartikel!K166&amp;" "&amp;Migrationsartikel!L166</f>
        <v>Bouteille de gaz  10.5kg</v>
      </c>
      <c r="T168" t="str">
        <f>Migrationsartikel!N166&amp;" "&amp;Migrationsartikel!O166&amp;" "&amp;Migrationsartikel!P166</f>
        <v>Bombola di gas  10.5kg</v>
      </c>
      <c r="U168" t="str">
        <f>Migrationsartikel!F166</f>
        <v>Gasflasche</v>
      </c>
      <c r="V168" t="str">
        <f>Migrationsartikel!J166</f>
        <v>Bouteille de gaz</v>
      </c>
      <c r="W168" t="str">
        <f>Migrationsartikel!N166</f>
        <v>Bombola di gas</v>
      </c>
      <c r="X168">
        <f>Migrationsartikel!G166</f>
        <v>0</v>
      </c>
      <c r="Y168">
        <f>Migrationsartikel!K166</f>
        <v>0</v>
      </c>
      <c r="Z168">
        <f>Migrationsartikel!O166</f>
        <v>0</v>
      </c>
      <c r="AA168" s="31" t="str">
        <f>Migrationsartikel!H166</f>
        <v>10.5kg</v>
      </c>
      <c r="AB168" s="31" t="str">
        <f>Migrationsartikel!L166</f>
        <v>10.5kg</v>
      </c>
      <c r="AC168" s="31" t="str">
        <f>Migrationsartikel!P166</f>
        <v>10.5kg</v>
      </c>
      <c r="AD168" t="str">
        <f>Migrationsartikel!I166</f>
        <v>Gasflasche 10.5kg</v>
      </c>
      <c r="AE168" t="str">
        <f>Migrationsartikel!M166</f>
        <v>Bouteille gaz 10.5kg</v>
      </c>
      <c r="AF168" t="str">
        <f>Migrationsartikel!Q166</f>
        <v>Bombola gas 10.5kg</v>
      </c>
      <c r="AG168" s="45">
        <f>Migrationsartikel!R166</f>
        <v>10.5</v>
      </c>
      <c r="AH168" s="46" t="str">
        <f>Migrationsartikel!T166</f>
        <v>Kilogramm</v>
      </c>
      <c r="AI168" s="46" t="str">
        <f t="shared" si="6"/>
        <v>3</v>
      </c>
      <c r="AJ168" s="46" t="s">
        <v>176</v>
      </c>
      <c r="AK168">
        <f>Migrationsartikel!S166</f>
        <v>1</v>
      </c>
      <c r="AL168">
        <f>Migrationsartikel!S166</f>
        <v>1</v>
      </c>
      <c r="AM168">
        <f>Migrationsartikel!S166</f>
        <v>1</v>
      </c>
      <c r="AN168" t="str">
        <f>Migrationsartikel!U166</f>
        <v>(PCE) Stück</v>
      </c>
      <c r="AO168" t="str">
        <f t="shared" si="7"/>
        <v>(PCE) Pièce</v>
      </c>
      <c r="AP168" t="str">
        <f t="shared" si="8"/>
        <v>(PCE) Pièce</v>
      </c>
      <c r="AQ168" s="31" t="s">
        <v>195</v>
      </c>
      <c r="AR168" s="47"/>
      <c r="AS168" s="47"/>
      <c r="AT168" s="31" t="s">
        <v>208</v>
      </c>
      <c r="AU168" s="47"/>
      <c r="AV168" s="47"/>
      <c r="AW168" t="str">
        <f>IF(Migrationsartikel!AB166="ja","true",FALSE)</f>
        <v>true</v>
      </c>
      <c r="AX168" t="str">
        <f>IF(Migrationsartikel!AC166="ja","true",FALSE)</f>
        <v>true</v>
      </c>
      <c r="AY168" t="str">
        <f>IF(Migrationsartikel!AD166="ja","true",FALSE)</f>
        <v>true</v>
      </c>
      <c r="AZ168" t="str">
        <f>IF(Migrationsartikel!AE166="ja","true",FALSE)</f>
        <v>true</v>
      </c>
      <c r="BA168" t="str">
        <f>IF(Migrationsartikel!AF166="ja","Denner Partner","")</f>
        <v/>
      </c>
      <c r="BB168" t="str">
        <f>IF(Migrationsartikel!AG166="ja","true","false")</f>
        <v>true</v>
      </c>
      <c r="BC168" t="s">
        <v>1923</v>
      </c>
      <c r="BD168" s="31" t="s">
        <v>235</v>
      </c>
      <c r="BE168" s="31" t="s">
        <v>233</v>
      </c>
    </row>
    <row r="169" spans="2:57" ht="21.75" customHeight="1" x14ac:dyDescent="0.45">
      <c r="B169" t="s">
        <v>115</v>
      </c>
      <c r="E169" s="31" t="s">
        <v>1595</v>
      </c>
      <c r="F169" t="str">
        <f>"Warengruppe&gt;&gt;"&amp;Migrationsartikel!V167&amp;"&gt;&gt;"&amp;Migrationsartikel!W167&amp;"&gt;&gt;"&amp;Migrationsartikel!X167</f>
        <v>Warengruppe&gt;&gt;Near Food&gt;&gt;Gebrauchsartikel&gt;&gt;Gebrauchsartikel</v>
      </c>
      <c r="J169" s="31" t="s">
        <v>125</v>
      </c>
      <c r="M169" s="31" t="s">
        <v>137</v>
      </c>
      <c r="P169" s="31">
        <f>Migrationsartikel!B167</f>
        <v>951</v>
      </c>
      <c r="R169" t="str">
        <f>Migrationsartikel!F167&amp;" "&amp;Migrationsartikel!G167&amp;" "&amp;Migrationsartikel!H167</f>
        <v>Gasflasche  5kg</v>
      </c>
      <c r="S169" t="str">
        <f>Migrationsartikel!J167&amp;" "&amp;Migrationsartikel!K167&amp;" "&amp;Migrationsartikel!L167</f>
        <v>Bouteille de gaz  5kg</v>
      </c>
      <c r="T169" t="str">
        <f>Migrationsartikel!N167&amp;" "&amp;Migrationsartikel!O167&amp;" "&amp;Migrationsartikel!P167</f>
        <v>Bombola di gas  5kg</v>
      </c>
      <c r="U169" t="str">
        <f>Migrationsartikel!F167</f>
        <v>Gasflasche</v>
      </c>
      <c r="V169" t="str">
        <f>Migrationsartikel!J167</f>
        <v>Bouteille de gaz</v>
      </c>
      <c r="W169" t="str">
        <f>Migrationsartikel!N167</f>
        <v>Bombola di gas</v>
      </c>
      <c r="X169">
        <f>Migrationsartikel!G167</f>
        <v>0</v>
      </c>
      <c r="Y169">
        <f>Migrationsartikel!K167</f>
        <v>0</v>
      </c>
      <c r="Z169">
        <f>Migrationsartikel!O167</f>
        <v>0</v>
      </c>
      <c r="AA169" s="31" t="str">
        <f>Migrationsartikel!H167</f>
        <v>5kg</v>
      </c>
      <c r="AB169" s="31" t="str">
        <f>Migrationsartikel!L167</f>
        <v>5kg</v>
      </c>
      <c r="AC169" s="31" t="str">
        <f>Migrationsartikel!P167</f>
        <v>5kg</v>
      </c>
      <c r="AD169" t="str">
        <f>Migrationsartikel!I167</f>
        <v>Gasflasche 5kg</v>
      </c>
      <c r="AE169" t="str">
        <f>Migrationsartikel!M167</f>
        <v>Bouteille gaz 5kg</v>
      </c>
      <c r="AF169" t="str">
        <f>Migrationsartikel!Q167</f>
        <v>Bombola gas 5kg</v>
      </c>
      <c r="AG169" s="45">
        <f>Migrationsartikel!R167</f>
        <v>5</v>
      </c>
      <c r="AH169" s="46" t="str">
        <f>Migrationsartikel!T167</f>
        <v>Kilogramm</v>
      </c>
      <c r="AI169" s="46" t="str">
        <f t="shared" si="6"/>
        <v>3</v>
      </c>
      <c r="AJ169" s="46" t="s">
        <v>176</v>
      </c>
      <c r="AK169">
        <f>Migrationsartikel!S167</f>
        <v>1</v>
      </c>
      <c r="AL169">
        <f>Migrationsartikel!S167</f>
        <v>1</v>
      </c>
      <c r="AM169">
        <f>Migrationsartikel!S167</f>
        <v>1</v>
      </c>
      <c r="AN169" t="str">
        <f>Migrationsartikel!U167</f>
        <v>(PCE) Stück</v>
      </c>
      <c r="AO169" t="str">
        <f t="shared" si="7"/>
        <v>(PCE) Pièce</v>
      </c>
      <c r="AP169" t="str">
        <f t="shared" si="8"/>
        <v>(PCE) Pièce</v>
      </c>
      <c r="AQ169" s="31" t="s">
        <v>195</v>
      </c>
      <c r="AR169" s="47"/>
      <c r="AS169" s="47"/>
      <c r="AT169" s="31" t="s">
        <v>208</v>
      </c>
      <c r="AU169" s="47"/>
      <c r="AV169" s="47"/>
      <c r="AW169" t="str">
        <f>IF(Migrationsartikel!AB167="ja","true",FALSE)</f>
        <v>true</v>
      </c>
      <c r="AX169" t="str">
        <f>IF(Migrationsartikel!AC167="ja","true",FALSE)</f>
        <v>true</v>
      </c>
      <c r="AY169" t="str">
        <f>IF(Migrationsartikel!AD167="ja","true",FALSE)</f>
        <v>true</v>
      </c>
      <c r="AZ169" t="str">
        <f>IF(Migrationsartikel!AE167="ja","true",FALSE)</f>
        <v>true</v>
      </c>
      <c r="BA169" t="str">
        <f>IF(Migrationsartikel!AF167="ja","Denner Partner","")</f>
        <v/>
      </c>
      <c r="BB169" t="str">
        <f>IF(Migrationsartikel!AG167="ja","true","false")</f>
        <v>true</v>
      </c>
      <c r="BC169" t="s">
        <v>1923</v>
      </c>
      <c r="BD169" s="31" t="s">
        <v>235</v>
      </c>
      <c r="BE169" s="31" t="s">
        <v>233</v>
      </c>
    </row>
    <row r="170" spans="2:57" ht="21.75" customHeight="1" x14ac:dyDescent="0.45">
      <c r="B170" t="s">
        <v>115</v>
      </c>
      <c r="E170" s="31" t="s">
        <v>1596</v>
      </c>
      <c r="F170" t="str">
        <f>"Warengruppe&gt;&gt;"&amp;Migrationsartikel!V168&amp;"&gt;&gt;"&amp;Migrationsartikel!W168&amp;"&gt;&gt;"&amp;Migrationsartikel!X168</f>
        <v>Warengruppe&gt;&gt;Near Food&gt;&gt;Gebrauchsartikel&gt;&gt;Gebrauchsartikel</v>
      </c>
      <c r="J170" s="31" t="s">
        <v>125</v>
      </c>
      <c r="M170" s="31" t="s">
        <v>137</v>
      </c>
      <c r="P170" s="31">
        <f>Migrationsartikel!B168</f>
        <v>952</v>
      </c>
      <c r="R170" t="str">
        <f>Migrationsartikel!F168&amp;" "&amp;Migrationsartikel!G168&amp;" "&amp;Migrationsartikel!H168</f>
        <v>Gasflasche   33kg</v>
      </c>
      <c r="S170" t="str">
        <f>Migrationsartikel!J168&amp;" "&amp;Migrationsartikel!K168&amp;" "&amp;Migrationsartikel!L168</f>
        <v>Bouteille de gaz  33kg</v>
      </c>
      <c r="T170" t="str">
        <f>Migrationsartikel!N168&amp;" "&amp;Migrationsartikel!O168&amp;" "&amp;Migrationsartikel!P168</f>
        <v>Bombola di gas  33kg</v>
      </c>
      <c r="U170" t="str">
        <f>Migrationsartikel!F168</f>
        <v xml:space="preserve">Gasflasche </v>
      </c>
      <c r="V170" t="str">
        <f>Migrationsartikel!J168</f>
        <v>Bouteille de gaz</v>
      </c>
      <c r="W170" t="str">
        <f>Migrationsartikel!N168</f>
        <v>Bombola di gas</v>
      </c>
      <c r="X170">
        <f>Migrationsartikel!G168</f>
        <v>0</v>
      </c>
      <c r="Y170">
        <f>Migrationsartikel!K168</f>
        <v>0</v>
      </c>
      <c r="Z170">
        <f>Migrationsartikel!O168</f>
        <v>0</v>
      </c>
      <c r="AA170" s="31" t="str">
        <f>Migrationsartikel!H168</f>
        <v>33kg</v>
      </c>
      <c r="AB170" s="31" t="str">
        <f>Migrationsartikel!L168</f>
        <v>33kg</v>
      </c>
      <c r="AC170" s="31" t="str">
        <f>Migrationsartikel!P168</f>
        <v>33kg</v>
      </c>
      <c r="AD170" t="str">
        <f>Migrationsartikel!I168</f>
        <v>Gasflasche 33kg</v>
      </c>
      <c r="AE170" t="str">
        <f>Migrationsartikel!M168</f>
        <v>Bouteille gaz 33kg</v>
      </c>
      <c r="AF170" t="str">
        <f>Migrationsartikel!Q168</f>
        <v>Bombola gas 33kg</v>
      </c>
      <c r="AG170" s="45">
        <f>Migrationsartikel!R168</f>
        <v>33</v>
      </c>
      <c r="AH170" s="46" t="str">
        <f>Migrationsartikel!T168</f>
        <v>Kilogramm</v>
      </c>
      <c r="AI170" s="46" t="str">
        <f t="shared" si="6"/>
        <v>3</v>
      </c>
      <c r="AJ170" s="46" t="s">
        <v>176</v>
      </c>
      <c r="AK170">
        <f>Migrationsartikel!S168</f>
        <v>1</v>
      </c>
      <c r="AL170">
        <f>Migrationsartikel!S168</f>
        <v>1</v>
      </c>
      <c r="AM170">
        <f>Migrationsartikel!S168</f>
        <v>1</v>
      </c>
      <c r="AN170" t="str">
        <f>Migrationsartikel!U168</f>
        <v>(PCE) Stück</v>
      </c>
      <c r="AO170" t="str">
        <f t="shared" si="7"/>
        <v>(PCE) Pièce</v>
      </c>
      <c r="AP170" t="str">
        <f t="shared" si="8"/>
        <v>(PCE) Pièce</v>
      </c>
      <c r="AQ170" s="31" t="s">
        <v>195</v>
      </c>
      <c r="AR170" s="47"/>
      <c r="AS170" s="47"/>
      <c r="AT170" s="31" t="s">
        <v>208</v>
      </c>
      <c r="AU170" s="47"/>
      <c r="AV170" s="47"/>
      <c r="AW170" t="str">
        <f>IF(Migrationsartikel!AB168="ja","true",FALSE)</f>
        <v>true</v>
      </c>
      <c r="AX170" t="str">
        <f>IF(Migrationsartikel!AC168="ja","true",FALSE)</f>
        <v>true</v>
      </c>
      <c r="AY170" t="str">
        <f>IF(Migrationsartikel!AD168="ja","true",FALSE)</f>
        <v>true</v>
      </c>
      <c r="AZ170" t="str">
        <f>IF(Migrationsartikel!AE168="ja","true",FALSE)</f>
        <v>true</v>
      </c>
      <c r="BA170" t="str">
        <f>IF(Migrationsartikel!AF168="ja","Denner Partner","")</f>
        <v/>
      </c>
      <c r="BB170" t="str">
        <f>IF(Migrationsartikel!AG168="ja","true","false")</f>
        <v>true</v>
      </c>
      <c r="BC170" t="s">
        <v>1923</v>
      </c>
      <c r="BD170" s="31" t="s">
        <v>235</v>
      </c>
      <c r="BE170" s="31" t="s">
        <v>233</v>
      </c>
    </row>
    <row r="171" spans="2:57" ht="21.75" customHeight="1" x14ac:dyDescent="0.45">
      <c r="B171" t="s">
        <v>115</v>
      </c>
      <c r="E171" s="31" t="s">
        <v>1597</v>
      </c>
      <c r="F171" t="str">
        <f>"Warengruppe&gt;&gt;"&amp;Migrationsartikel!V169&amp;"&gt;&gt;"&amp;Migrationsartikel!W169&amp;"&gt;&gt;"&amp;Migrationsartikel!X169</f>
        <v>Warengruppe&gt;&gt;Near Food&gt;&gt;Gebrauchsartikel&gt;&gt;Gebrauchsartikel</v>
      </c>
      <c r="J171" s="31" t="s">
        <v>125</v>
      </c>
      <c r="M171" s="31" t="s">
        <v>137</v>
      </c>
      <c r="P171" s="31">
        <f>Migrationsartikel!B169</f>
        <v>953</v>
      </c>
      <c r="R171" t="str">
        <f>Migrationsartikel!F169&amp;" "&amp;Migrationsartikel!G169&amp;" "&amp;Migrationsartikel!H169</f>
        <v>Gasflasche   35kg</v>
      </c>
      <c r="S171" t="str">
        <f>Migrationsartikel!J169&amp;" "&amp;Migrationsartikel!K169&amp;" "&amp;Migrationsartikel!L169</f>
        <v>Bouteille de gaz  35kg</v>
      </c>
      <c r="T171" t="str">
        <f>Migrationsartikel!N169&amp;" "&amp;Migrationsartikel!O169&amp;" "&amp;Migrationsartikel!P169</f>
        <v>Bombola di gas  35kg</v>
      </c>
      <c r="U171" t="str">
        <f>Migrationsartikel!F169</f>
        <v xml:space="preserve">Gasflasche </v>
      </c>
      <c r="V171" t="str">
        <f>Migrationsartikel!J169</f>
        <v>Bouteille de gaz</v>
      </c>
      <c r="W171" t="str">
        <f>Migrationsartikel!N169</f>
        <v>Bombola di gas</v>
      </c>
      <c r="X171">
        <f>Migrationsartikel!G169</f>
        <v>0</v>
      </c>
      <c r="Y171">
        <f>Migrationsartikel!K169</f>
        <v>0</v>
      </c>
      <c r="Z171">
        <f>Migrationsartikel!O169</f>
        <v>0</v>
      </c>
      <c r="AA171" s="31" t="str">
        <f>Migrationsartikel!H169</f>
        <v>35kg</v>
      </c>
      <c r="AB171" s="31" t="str">
        <f>Migrationsartikel!L169</f>
        <v>35kg</v>
      </c>
      <c r="AC171" s="31" t="str">
        <f>Migrationsartikel!P169</f>
        <v>35kg</v>
      </c>
      <c r="AD171" t="str">
        <f>Migrationsartikel!I169</f>
        <v>Gasflasche 35kg</v>
      </c>
      <c r="AE171" t="str">
        <f>Migrationsartikel!M169</f>
        <v>Bouteille gaz 35kg</v>
      </c>
      <c r="AF171" t="str">
        <f>Migrationsartikel!Q169</f>
        <v>Bombola gas 35kg</v>
      </c>
      <c r="AG171" s="45">
        <f>Migrationsartikel!R169</f>
        <v>35</v>
      </c>
      <c r="AH171" s="46" t="str">
        <f>Migrationsartikel!T169</f>
        <v>Kilogramm</v>
      </c>
      <c r="AI171" s="46" t="str">
        <f t="shared" si="6"/>
        <v>3</v>
      </c>
      <c r="AJ171" s="46" t="s">
        <v>176</v>
      </c>
      <c r="AK171">
        <f>Migrationsartikel!S169</f>
        <v>1</v>
      </c>
      <c r="AL171">
        <f>Migrationsartikel!S169</f>
        <v>1</v>
      </c>
      <c r="AM171">
        <f>Migrationsartikel!S169</f>
        <v>1</v>
      </c>
      <c r="AN171" t="str">
        <f>Migrationsartikel!U169</f>
        <v>(PCE) Stück</v>
      </c>
      <c r="AO171" t="str">
        <f t="shared" si="7"/>
        <v>(PCE) Pièce</v>
      </c>
      <c r="AP171" t="str">
        <f t="shared" si="8"/>
        <v>(PCE) Pièce</v>
      </c>
      <c r="AQ171" s="31" t="s">
        <v>195</v>
      </c>
      <c r="AR171" s="47"/>
      <c r="AS171" s="47"/>
      <c r="AT171" s="31" t="s">
        <v>208</v>
      </c>
      <c r="AU171" s="47"/>
      <c r="AV171" s="47"/>
      <c r="AW171" t="str">
        <f>IF(Migrationsartikel!AB169="ja","true",FALSE)</f>
        <v>true</v>
      </c>
      <c r="AX171" t="str">
        <f>IF(Migrationsartikel!AC169="ja","true",FALSE)</f>
        <v>true</v>
      </c>
      <c r="AY171" t="str">
        <f>IF(Migrationsartikel!AD169="ja","true",FALSE)</f>
        <v>true</v>
      </c>
      <c r="AZ171" t="str">
        <f>IF(Migrationsartikel!AE169="ja","true",FALSE)</f>
        <v>true</v>
      </c>
      <c r="BA171" t="str">
        <f>IF(Migrationsartikel!AF169="ja","Denner Partner","")</f>
        <v/>
      </c>
      <c r="BB171" t="str">
        <f>IF(Migrationsartikel!AG169="ja","true","false")</f>
        <v>true</v>
      </c>
      <c r="BC171" t="s">
        <v>1923</v>
      </c>
      <c r="BD171" s="31" t="s">
        <v>235</v>
      </c>
      <c r="BE171" s="31" t="s">
        <v>233</v>
      </c>
    </row>
    <row r="172" spans="2:57" ht="21.75" customHeight="1" x14ac:dyDescent="0.45">
      <c r="B172" t="s">
        <v>115</v>
      </c>
      <c r="E172" s="31" t="s">
        <v>1598</v>
      </c>
      <c r="F172" t="str">
        <f>"Warengruppe&gt;&gt;"&amp;Migrationsartikel!V170&amp;"&gt;&gt;"&amp;Migrationsartikel!W170&amp;"&gt;&gt;"&amp;Migrationsartikel!X170</f>
        <v>Warengruppe&gt;&gt;Near Food&gt;&gt;Gebrauchsartikel&gt;&gt;Gebrauchsartikel</v>
      </c>
      <c r="J172" s="31" t="s">
        <v>125</v>
      </c>
      <c r="M172" s="31" t="s">
        <v>137</v>
      </c>
      <c r="P172" s="31">
        <f>Migrationsartikel!B170</f>
        <v>954</v>
      </c>
      <c r="R172" t="str">
        <f>Migrationsartikel!F170&amp;" "&amp;Migrationsartikel!G170&amp;" "&amp;Migrationsartikel!H170</f>
        <v>Gasflasche   7.5kg</v>
      </c>
      <c r="S172" t="str">
        <f>Migrationsartikel!J170&amp;" "&amp;Migrationsartikel!K170&amp;" "&amp;Migrationsartikel!L170</f>
        <v>Bouteille de gaz  7.5kg</v>
      </c>
      <c r="T172" t="str">
        <f>Migrationsartikel!N170&amp;" "&amp;Migrationsartikel!O170&amp;" "&amp;Migrationsartikel!P170</f>
        <v>Bombola di gas  7.5kg</v>
      </c>
      <c r="U172" t="str">
        <f>Migrationsartikel!F170</f>
        <v xml:space="preserve">Gasflasche </v>
      </c>
      <c r="V172" t="str">
        <f>Migrationsartikel!J170</f>
        <v>Bouteille de gaz</v>
      </c>
      <c r="W172" t="str">
        <f>Migrationsartikel!N170</f>
        <v>Bombola di gas</v>
      </c>
      <c r="X172">
        <f>Migrationsartikel!G170</f>
        <v>0</v>
      </c>
      <c r="Y172">
        <f>Migrationsartikel!K170</f>
        <v>0</v>
      </c>
      <c r="Z172">
        <f>Migrationsartikel!O170</f>
        <v>0</v>
      </c>
      <c r="AA172" s="31" t="str">
        <f>Migrationsartikel!H170</f>
        <v>7.5kg</v>
      </c>
      <c r="AB172" s="31" t="str">
        <f>Migrationsartikel!L170</f>
        <v>7.5kg</v>
      </c>
      <c r="AC172" s="31" t="str">
        <f>Migrationsartikel!P170</f>
        <v>7.5kg</v>
      </c>
      <c r="AD172" t="str">
        <f>Migrationsartikel!I170</f>
        <v>Gasflasche 7.5kg</v>
      </c>
      <c r="AE172" t="str">
        <f>Migrationsartikel!M170</f>
        <v>Bouteille gaz 7.5kg</v>
      </c>
      <c r="AF172" t="str">
        <f>Migrationsartikel!Q170</f>
        <v>Bombola gas 7.5kg</v>
      </c>
      <c r="AG172" s="45">
        <f>Migrationsartikel!R170</f>
        <v>7.5</v>
      </c>
      <c r="AH172" s="46" t="str">
        <f>Migrationsartikel!T170</f>
        <v>Kilogramm</v>
      </c>
      <c r="AI172" s="46" t="str">
        <f t="shared" si="6"/>
        <v>3</v>
      </c>
      <c r="AJ172" s="46" t="s">
        <v>176</v>
      </c>
      <c r="AK172">
        <f>Migrationsartikel!S170</f>
        <v>1</v>
      </c>
      <c r="AL172">
        <f>Migrationsartikel!S170</f>
        <v>1</v>
      </c>
      <c r="AM172">
        <f>Migrationsartikel!S170</f>
        <v>1</v>
      </c>
      <c r="AN172" t="str">
        <f>Migrationsartikel!U170</f>
        <v>(PCE) Stück</v>
      </c>
      <c r="AO172" t="str">
        <f t="shared" si="7"/>
        <v>(PCE) Pièce</v>
      </c>
      <c r="AP172" t="str">
        <f t="shared" si="8"/>
        <v>(PCE) Pièce</v>
      </c>
      <c r="AQ172" s="31" t="s">
        <v>195</v>
      </c>
      <c r="AR172" s="47"/>
      <c r="AS172" s="47"/>
      <c r="AT172" s="31" t="s">
        <v>208</v>
      </c>
      <c r="AU172" s="47"/>
      <c r="AV172" s="47"/>
      <c r="AW172" t="str">
        <f>IF(Migrationsartikel!AB170="ja","true",FALSE)</f>
        <v>true</v>
      </c>
      <c r="AX172" t="str">
        <f>IF(Migrationsartikel!AC170="ja","true",FALSE)</f>
        <v>true</v>
      </c>
      <c r="AY172" t="str">
        <f>IF(Migrationsartikel!AD170="ja","true",FALSE)</f>
        <v>true</v>
      </c>
      <c r="AZ172" t="str">
        <f>IF(Migrationsartikel!AE170="ja","true",FALSE)</f>
        <v>true</v>
      </c>
      <c r="BA172" t="str">
        <f>IF(Migrationsartikel!AF170="ja","Denner Partner","")</f>
        <v/>
      </c>
      <c r="BB172" t="str">
        <f>IF(Migrationsartikel!AG170="ja","true","false")</f>
        <v>true</v>
      </c>
      <c r="BC172" t="s">
        <v>1923</v>
      </c>
      <c r="BD172" s="31" t="s">
        <v>235</v>
      </c>
      <c r="BE172" s="31" t="s">
        <v>233</v>
      </c>
    </row>
    <row r="173" spans="2:57" ht="21.75" customHeight="1" x14ac:dyDescent="0.45">
      <c r="B173" t="s">
        <v>115</v>
      </c>
      <c r="E173" s="31" t="s">
        <v>1599</v>
      </c>
      <c r="F173" t="str">
        <f>"Warengruppe&gt;&gt;"&amp;Migrationsartikel!V171&amp;"&gt;&gt;"&amp;Migrationsartikel!W171&amp;"&gt;&gt;"&amp;Migrationsartikel!X171</f>
        <v>Warengruppe&gt;&gt;Near Food&gt;&gt;Gebrauchsartikel&gt;&gt;Gebrauchsartikel</v>
      </c>
      <c r="J173" s="31" t="s">
        <v>125</v>
      </c>
      <c r="M173" s="31" t="s">
        <v>137</v>
      </c>
      <c r="P173" s="31">
        <f>Migrationsartikel!B171</f>
        <v>955</v>
      </c>
      <c r="R173" t="str">
        <f>Migrationsartikel!F171&amp;" "&amp;Migrationsartikel!G171&amp;" "&amp;Migrationsartikel!H171</f>
        <v>Holz  1Stk</v>
      </c>
      <c r="S173" t="str">
        <f>Migrationsartikel!J171&amp;" "&amp;Migrationsartikel!K171&amp;" "&amp;Migrationsartikel!L171</f>
        <v>Bois de chauffage  1pce</v>
      </c>
      <c r="T173" t="str">
        <f>Migrationsartikel!N171&amp;" "&amp;Migrationsartikel!O171&amp;" "&amp;Migrationsartikel!P171</f>
        <v>Legna da ardere  1pz</v>
      </c>
      <c r="U173" t="str">
        <f>Migrationsartikel!F171</f>
        <v>Holz</v>
      </c>
      <c r="V173" t="str">
        <f>Migrationsartikel!J171</f>
        <v>Bois de chauffage</v>
      </c>
      <c r="W173" t="str">
        <f>Migrationsartikel!N171</f>
        <v>Legna da ardere</v>
      </c>
      <c r="X173">
        <f>Migrationsartikel!G171</f>
        <v>0</v>
      </c>
      <c r="Y173">
        <f>Migrationsartikel!K171</f>
        <v>0</v>
      </c>
      <c r="Z173">
        <f>Migrationsartikel!O171</f>
        <v>0</v>
      </c>
      <c r="AA173" s="31" t="str">
        <f>Migrationsartikel!H171</f>
        <v>1Stk</v>
      </c>
      <c r="AB173" s="31" t="str">
        <f>Migrationsartikel!L171</f>
        <v>1pce</v>
      </c>
      <c r="AC173" s="31" t="str">
        <f>Migrationsartikel!P171</f>
        <v>1pz</v>
      </c>
      <c r="AD173" t="str">
        <f>Migrationsartikel!I171</f>
        <v>Holz</v>
      </c>
      <c r="AE173" t="str">
        <f>Migrationsartikel!M171</f>
        <v>Bois de chauffage</v>
      </c>
      <c r="AF173" t="str">
        <f>Migrationsartikel!Q171</f>
        <v>Legna da ardere</v>
      </c>
      <c r="AG173" s="45">
        <f>Migrationsartikel!R171</f>
        <v>1</v>
      </c>
      <c r="AH173" s="46" t="str">
        <f>Migrationsartikel!T171</f>
        <v>Stück</v>
      </c>
      <c r="AI173" s="46" t="str">
        <f t="shared" si="6"/>
        <v>7</v>
      </c>
      <c r="AJ173" s="46" t="s">
        <v>176</v>
      </c>
      <c r="AK173">
        <f>Migrationsartikel!S171</f>
        <v>1</v>
      </c>
      <c r="AL173">
        <f>Migrationsartikel!S171</f>
        <v>1</v>
      </c>
      <c r="AM173">
        <f>Migrationsartikel!S171</f>
        <v>1</v>
      </c>
      <c r="AN173" t="str">
        <f>Migrationsartikel!U171</f>
        <v>(PCE) Stück</v>
      </c>
      <c r="AO173" t="str">
        <f t="shared" si="7"/>
        <v>(PCE) Pièce</v>
      </c>
      <c r="AP173" t="str">
        <f t="shared" si="8"/>
        <v>(PCE) Pièce</v>
      </c>
      <c r="AQ173" s="31" t="s">
        <v>195</v>
      </c>
      <c r="AR173" s="47"/>
      <c r="AS173" s="47"/>
      <c r="AT173" s="31" t="s">
        <v>208</v>
      </c>
      <c r="AU173" s="47"/>
      <c r="AV173" s="47"/>
      <c r="AW173" t="str">
        <f>IF(Migrationsartikel!AB171="ja","true",FALSE)</f>
        <v>true</v>
      </c>
      <c r="AX173" t="str">
        <f>IF(Migrationsartikel!AC171="ja","true",FALSE)</f>
        <v>true</v>
      </c>
      <c r="AY173" t="str">
        <f>IF(Migrationsartikel!AD171="ja","true",FALSE)</f>
        <v>true</v>
      </c>
      <c r="AZ173" t="str">
        <f>IF(Migrationsartikel!AE171="ja","true",FALSE)</f>
        <v>true</v>
      </c>
      <c r="BA173" t="str">
        <f>IF(Migrationsartikel!AF171="ja","Denner Partner","")</f>
        <v/>
      </c>
      <c r="BB173" t="str">
        <f>IF(Migrationsartikel!AG171="ja","true","false")</f>
        <v>true</v>
      </c>
      <c r="BC173" t="s">
        <v>1923</v>
      </c>
      <c r="BD173" s="31" t="s">
        <v>235</v>
      </c>
      <c r="BE173" s="31" t="s">
        <v>233</v>
      </c>
    </row>
    <row r="174" spans="2:57" ht="21.75" customHeight="1" x14ac:dyDescent="0.45">
      <c r="B174" t="s">
        <v>115</v>
      </c>
      <c r="E174" s="31" t="s">
        <v>1600</v>
      </c>
      <c r="F174" t="str">
        <f>"Warengruppe&gt;&gt;"&amp;Migrationsartikel!V172&amp;"&gt;&gt;"&amp;Migrationsartikel!W172&amp;"&gt;&gt;"&amp;Migrationsartikel!X172</f>
        <v>Warengruppe&gt;&gt;Near Food&gt;&gt;Gebrauchsartikel&gt;&gt;Gebrauchsartikel</v>
      </c>
      <c r="J174" s="31" t="s">
        <v>125</v>
      </c>
      <c r="M174" s="31" t="s">
        <v>137</v>
      </c>
      <c r="P174" s="31">
        <f>Migrationsartikel!B172</f>
        <v>956</v>
      </c>
      <c r="R174" t="str">
        <f>Migrationsartikel!F172&amp;" "&amp;Migrationsartikel!G172&amp;" "&amp;Migrationsartikel!H172</f>
        <v>Holzkohle  1Stk</v>
      </c>
      <c r="S174" t="str">
        <f>Migrationsartikel!J172&amp;" "&amp;Migrationsartikel!K172&amp;" "&amp;Migrationsartikel!L172</f>
        <v>Charbon de bois  1pce</v>
      </c>
      <c r="T174" t="str">
        <f>Migrationsartikel!N172&amp;" "&amp;Migrationsartikel!O172&amp;" "&amp;Migrationsartikel!P172</f>
        <v>Carbone  1pz</v>
      </c>
      <c r="U174" t="str">
        <f>Migrationsartikel!F172</f>
        <v>Holzkohle</v>
      </c>
      <c r="V174" t="str">
        <f>Migrationsartikel!J172</f>
        <v>Charbon de bois</v>
      </c>
      <c r="W174" t="str">
        <f>Migrationsartikel!N172</f>
        <v>Carbone</v>
      </c>
      <c r="X174">
        <f>Migrationsartikel!G172</f>
        <v>0</v>
      </c>
      <c r="Y174">
        <f>Migrationsartikel!K172</f>
        <v>0</v>
      </c>
      <c r="Z174">
        <f>Migrationsartikel!O172</f>
        <v>0</v>
      </c>
      <c r="AA174" s="31" t="str">
        <f>Migrationsartikel!H172</f>
        <v>1Stk</v>
      </c>
      <c r="AB174" s="31" t="str">
        <f>Migrationsartikel!L172</f>
        <v>1pce</v>
      </c>
      <c r="AC174" s="31" t="str">
        <f>Migrationsartikel!P172</f>
        <v>1pz</v>
      </c>
      <c r="AD174" t="str">
        <f>Migrationsartikel!I172</f>
        <v>Holzkohle</v>
      </c>
      <c r="AE174" t="str">
        <f>Migrationsartikel!M172</f>
        <v>Charbon de bois</v>
      </c>
      <c r="AF174" t="str">
        <f>Migrationsartikel!Q172</f>
        <v>Carbone</v>
      </c>
      <c r="AG174" s="45">
        <f>Migrationsartikel!R172</f>
        <v>1</v>
      </c>
      <c r="AH174" s="46" t="str">
        <f>Migrationsartikel!T172</f>
        <v>Stück</v>
      </c>
      <c r="AI174" s="46" t="str">
        <f t="shared" si="6"/>
        <v>7</v>
      </c>
      <c r="AJ174" s="46" t="s">
        <v>176</v>
      </c>
      <c r="AK174">
        <f>Migrationsartikel!S172</f>
        <v>1</v>
      </c>
      <c r="AL174">
        <f>Migrationsartikel!S172</f>
        <v>1</v>
      </c>
      <c r="AM174">
        <f>Migrationsartikel!S172</f>
        <v>1</v>
      </c>
      <c r="AN174" t="str">
        <f>Migrationsartikel!U172</f>
        <v>(PCE) Stück</v>
      </c>
      <c r="AO174" t="str">
        <f t="shared" si="7"/>
        <v>(PCE) Pièce</v>
      </c>
      <c r="AP174" t="str">
        <f t="shared" si="8"/>
        <v>(PCE) Pièce</v>
      </c>
      <c r="AQ174" s="31" t="s">
        <v>195</v>
      </c>
      <c r="AR174" s="47"/>
      <c r="AS174" s="47"/>
      <c r="AT174" s="31" t="s">
        <v>208</v>
      </c>
      <c r="AU174" s="47"/>
      <c r="AV174" s="47"/>
      <c r="AW174" t="str">
        <f>IF(Migrationsartikel!AB172="ja","true",FALSE)</f>
        <v>true</v>
      </c>
      <c r="AX174" t="str">
        <f>IF(Migrationsartikel!AC172="ja","true",FALSE)</f>
        <v>true</v>
      </c>
      <c r="AY174" t="str">
        <f>IF(Migrationsartikel!AD172="ja","true",FALSE)</f>
        <v>true</v>
      </c>
      <c r="AZ174" t="str">
        <f>IF(Migrationsartikel!AE172="ja","true",FALSE)</f>
        <v>true</v>
      </c>
      <c r="BA174" t="str">
        <f>IF(Migrationsartikel!AF172="ja","Denner Partner","")</f>
        <v/>
      </c>
      <c r="BB174" t="str">
        <f>IF(Migrationsartikel!AG172="ja","true","false")</f>
        <v>true</v>
      </c>
      <c r="BC174" t="s">
        <v>1923</v>
      </c>
      <c r="BD174" s="31" t="s">
        <v>235</v>
      </c>
      <c r="BE174" s="31" t="s">
        <v>233</v>
      </c>
    </row>
    <row r="175" spans="2:57" ht="21.75" customHeight="1" x14ac:dyDescent="0.45">
      <c r="B175" t="s">
        <v>115</v>
      </c>
      <c r="E175" s="31" t="s">
        <v>1601</v>
      </c>
      <c r="F175" t="str">
        <f>"Warengruppe&gt;&gt;"&amp;Migrationsartikel!V173&amp;"&gt;&gt;"&amp;Migrationsartikel!W173&amp;"&gt;&gt;"&amp;Migrationsartikel!X173</f>
        <v>Warengruppe&gt;&gt;Near Food&gt;&gt;Gebrauchsartikel&gt;&gt;Gebrauchsartikel</v>
      </c>
      <c r="J175" s="31" t="s">
        <v>125</v>
      </c>
      <c r="M175" s="31" t="s">
        <v>137</v>
      </c>
      <c r="P175" s="31">
        <f>Migrationsartikel!B173</f>
        <v>957</v>
      </c>
      <c r="R175" t="str">
        <f>Migrationsartikel!F173&amp;" "&amp;Migrationsartikel!G173&amp;" "&amp;Migrationsartikel!H173</f>
        <v>Karten  1Stk</v>
      </c>
      <c r="S175" t="str">
        <f>Migrationsartikel!J173&amp;" "&amp;Migrationsartikel!K173&amp;" "&amp;Migrationsartikel!L173</f>
        <v>Cartes   1pce</v>
      </c>
      <c r="T175" t="str">
        <f>Migrationsartikel!N173&amp;" "&amp;Migrationsartikel!O173&amp;" "&amp;Migrationsartikel!P173</f>
        <v>Cartoline  1pz</v>
      </c>
      <c r="U175" t="str">
        <f>Migrationsartikel!F173</f>
        <v>Karten</v>
      </c>
      <c r="V175" t="str">
        <f>Migrationsartikel!J173</f>
        <v xml:space="preserve">Cartes </v>
      </c>
      <c r="W175" t="str">
        <f>Migrationsartikel!N173</f>
        <v>Cartoline</v>
      </c>
      <c r="X175">
        <f>Migrationsartikel!G173</f>
        <v>0</v>
      </c>
      <c r="Y175">
        <f>Migrationsartikel!K173</f>
        <v>0</v>
      </c>
      <c r="Z175">
        <f>Migrationsartikel!O173</f>
        <v>0</v>
      </c>
      <c r="AA175" s="31" t="str">
        <f>Migrationsartikel!H173</f>
        <v>1Stk</v>
      </c>
      <c r="AB175" s="31" t="str">
        <f>Migrationsartikel!L173</f>
        <v>1pce</v>
      </c>
      <c r="AC175" s="31" t="str">
        <f>Migrationsartikel!P173</f>
        <v>1pz</v>
      </c>
      <c r="AD175" t="str">
        <f>Migrationsartikel!I173</f>
        <v>Karten</v>
      </c>
      <c r="AE175" t="str">
        <f>Migrationsartikel!M173</f>
        <v xml:space="preserve">Cartes </v>
      </c>
      <c r="AF175" t="str">
        <f>Migrationsartikel!Q173</f>
        <v>Cartoline</v>
      </c>
      <c r="AG175" s="45">
        <f>Migrationsartikel!R173</f>
        <v>1</v>
      </c>
      <c r="AH175" s="46" t="str">
        <f>Migrationsartikel!T173</f>
        <v>Stück</v>
      </c>
      <c r="AI175" s="46" t="str">
        <f t="shared" si="6"/>
        <v>7</v>
      </c>
      <c r="AJ175" s="46" t="s">
        <v>176</v>
      </c>
      <c r="AK175">
        <f>Migrationsartikel!S173</f>
        <v>1</v>
      </c>
      <c r="AL175">
        <f>Migrationsartikel!S173</f>
        <v>1</v>
      </c>
      <c r="AM175">
        <f>Migrationsartikel!S173</f>
        <v>1</v>
      </c>
      <c r="AN175" t="str">
        <f>Migrationsartikel!U173</f>
        <v>(PCE) Stück</v>
      </c>
      <c r="AO175" t="str">
        <f t="shared" si="7"/>
        <v>(PCE) Pièce</v>
      </c>
      <c r="AP175" t="str">
        <f t="shared" si="8"/>
        <v>(PCE) Pièce</v>
      </c>
      <c r="AQ175" s="31" t="s">
        <v>195</v>
      </c>
      <c r="AR175" s="47"/>
      <c r="AS175" s="47"/>
      <c r="AT175" s="31" t="s">
        <v>208</v>
      </c>
      <c r="AU175" s="47"/>
      <c r="AV175" s="47"/>
      <c r="AW175" t="str">
        <f>IF(Migrationsartikel!AB173="ja","true",FALSE)</f>
        <v>true</v>
      </c>
      <c r="AX175" t="str">
        <f>IF(Migrationsartikel!AC173="ja","true",FALSE)</f>
        <v>true</v>
      </c>
      <c r="AY175" t="str">
        <f>IF(Migrationsartikel!AD173="ja","true",FALSE)</f>
        <v>true</v>
      </c>
      <c r="AZ175" t="str">
        <f>IF(Migrationsartikel!AE173="ja","true",FALSE)</f>
        <v>true</v>
      </c>
      <c r="BA175" t="str">
        <f>IF(Migrationsartikel!AF173="ja","Denner Partner","")</f>
        <v/>
      </c>
      <c r="BB175" t="str">
        <f>IF(Migrationsartikel!AG173="ja","true","false")</f>
        <v>true</v>
      </c>
      <c r="BC175" t="s">
        <v>1923</v>
      </c>
      <c r="BD175" s="31" t="s">
        <v>235</v>
      </c>
      <c r="BE175" s="31" t="s">
        <v>233</v>
      </c>
    </row>
    <row r="176" spans="2:57" ht="21.75" customHeight="1" x14ac:dyDescent="0.45">
      <c r="B176" t="s">
        <v>115</v>
      </c>
      <c r="E176" s="31" t="s">
        <v>1602</v>
      </c>
      <c r="F176" t="str">
        <f>"Warengruppe&gt;&gt;"&amp;Migrationsartikel!V174&amp;"&gt;&gt;"&amp;Migrationsartikel!W174&amp;"&gt;&gt;"&amp;Migrationsartikel!X174</f>
        <v>Warengruppe&gt;&gt;Near Food&gt;&gt;Gebrauchsartikel&gt;&gt;Gebrauchsartikel</v>
      </c>
      <c r="J176" s="31" t="s">
        <v>125</v>
      </c>
      <c r="M176" s="31" t="s">
        <v>137</v>
      </c>
      <c r="P176" s="31">
        <f>Migrationsartikel!B174</f>
        <v>958</v>
      </c>
      <c r="R176" t="str">
        <f>Migrationsartikel!F174&amp;" "&amp;Migrationsartikel!G174&amp;" "&amp;Migrationsartikel!H174</f>
        <v>Pellets  1Stk</v>
      </c>
      <c r="S176" t="str">
        <f>Migrationsartikel!J174&amp;" "&amp;Migrationsartikel!K174&amp;" "&amp;Migrationsartikel!L174</f>
        <v>Pellets  1pce</v>
      </c>
      <c r="T176" t="str">
        <f>Migrationsartikel!N174&amp;" "&amp;Migrationsartikel!O174&amp;" "&amp;Migrationsartikel!P174</f>
        <v>Pellet  1pz</v>
      </c>
      <c r="U176" t="str">
        <f>Migrationsartikel!F174</f>
        <v>Pellets</v>
      </c>
      <c r="V176" t="str">
        <f>Migrationsartikel!J174</f>
        <v>Pellets</v>
      </c>
      <c r="W176" t="str">
        <f>Migrationsartikel!N174</f>
        <v>Pellet</v>
      </c>
      <c r="X176">
        <f>Migrationsartikel!G174</f>
        <v>0</v>
      </c>
      <c r="Y176">
        <f>Migrationsartikel!K174</f>
        <v>0</v>
      </c>
      <c r="Z176">
        <f>Migrationsartikel!O174</f>
        <v>0</v>
      </c>
      <c r="AA176" s="31" t="str">
        <f>Migrationsartikel!H174</f>
        <v>1Stk</v>
      </c>
      <c r="AB176" s="31" t="str">
        <f>Migrationsartikel!L174</f>
        <v>1pce</v>
      </c>
      <c r="AC176" s="31" t="str">
        <f>Migrationsartikel!P174</f>
        <v>1pz</v>
      </c>
      <c r="AD176" t="str">
        <f>Migrationsartikel!I174</f>
        <v>Pellets</v>
      </c>
      <c r="AE176" t="str">
        <f>Migrationsartikel!M174</f>
        <v>Pellets</v>
      </c>
      <c r="AF176" t="str">
        <f>Migrationsartikel!Q174</f>
        <v>Pellet</v>
      </c>
      <c r="AG176" s="45">
        <f>Migrationsartikel!R174</f>
        <v>1</v>
      </c>
      <c r="AH176" s="46" t="str">
        <f>Migrationsartikel!T174</f>
        <v>Stück</v>
      </c>
      <c r="AI176" s="46" t="str">
        <f t="shared" si="6"/>
        <v>7</v>
      </c>
      <c r="AJ176" s="46" t="s">
        <v>176</v>
      </c>
      <c r="AK176">
        <f>Migrationsartikel!S174</f>
        <v>1</v>
      </c>
      <c r="AL176">
        <f>Migrationsartikel!S174</f>
        <v>1</v>
      </c>
      <c r="AM176">
        <f>Migrationsartikel!S174</f>
        <v>1</v>
      </c>
      <c r="AN176" t="str">
        <f>Migrationsartikel!U174</f>
        <v>(PCE) Stück</v>
      </c>
      <c r="AO176" t="str">
        <f t="shared" si="7"/>
        <v>(PCE) Pièce</v>
      </c>
      <c r="AP176" t="str">
        <f t="shared" si="8"/>
        <v>(PCE) Pièce</v>
      </c>
      <c r="AQ176" s="31" t="s">
        <v>195</v>
      </c>
      <c r="AR176" s="47"/>
      <c r="AS176" s="47"/>
      <c r="AT176" s="31" t="s">
        <v>208</v>
      </c>
      <c r="AU176" s="47"/>
      <c r="AV176" s="47"/>
      <c r="AW176" t="str">
        <f>IF(Migrationsartikel!AB174="ja","true",FALSE)</f>
        <v>true</v>
      </c>
      <c r="AX176" t="str">
        <f>IF(Migrationsartikel!AC174="ja","true",FALSE)</f>
        <v>true</v>
      </c>
      <c r="AY176" t="str">
        <f>IF(Migrationsartikel!AD174="ja","true",FALSE)</f>
        <v>true</v>
      </c>
      <c r="AZ176" t="str">
        <f>IF(Migrationsartikel!AE174="ja","true",FALSE)</f>
        <v>true</v>
      </c>
      <c r="BA176" t="str">
        <f>IF(Migrationsartikel!AF174="ja","Denner Partner","")</f>
        <v/>
      </c>
      <c r="BB176" t="str">
        <f>IF(Migrationsartikel!AG174="ja","true","false")</f>
        <v>true</v>
      </c>
      <c r="BC176" t="s">
        <v>1923</v>
      </c>
      <c r="BD176" s="31" t="s">
        <v>235</v>
      </c>
      <c r="BE176" s="31" t="s">
        <v>233</v>
      </c>
    </row>
    <row r="177" spans="2:57" ht="21.75" customHeight="1" x14ac:dyDescent="0.45">
      <c r="B177" t="s">
        <v>115</v>
      </c>
      <c r="E177" s="31" t="s">
        <v>1603</v>
      </c>
      <c r="F177" t="str">
        <f>"Warengruppe&gt;&gt;"&amp;Migrationsartikel!V175&amp;"&gt;&gt;"&amp;Migrationsartikel!W175&amp;"&gt;&gt;"&amp;Migrationsartikel!X175</f>
        <v>Warengruppe&gt;&gt;Near Food&gt;&gt;Gebrauchsartikel&gt;&gt;Gebrauchsartikel</v>
      </c>
      <c r="J177" s="31" t="s">
        <v>125</v>
      </c>
      <c r="M177" s="31" t="s">
        <v>137</v>
      </c>
      <c r="P177" s="31">
        <f>Migrationsartikel!B175</f>
        <v>959</v>
      </c>
      <c r="R177" t="str">
        <f>Migrationsartikel!F175&amp;" "&amp;Migrationsartikel!G175&amp;" "&amp;Migrationsartikel!H175</f>
        <v>Zeitschriften  1Stk</v>
      </c>
      <c r="S177" t="str">
        <f>Migrationsartikel!J175&amp;" "&amp;Migrationsartikel!K175&amp;" "&amp;Migrationsartikel!L175</f>
        <v>Magazines  1pce</v>
      </c>
      <c r="T177" t="str">
        <f>Migrationsartikel!N175&amp;" "&amp;Migrationsartikel!O175&amp;" "&amp;Migrationsartikel!P175</f>
        <v>Riviste  1pz</v>
      </c>
      <c r="U177" t="str">
        <f>Migrationsartikel!F175</f>
        <v>Zeitschriften</v>
      </c>
      <c r="V177" t="str">
        <f>Migrationsartikel!J175</f>
        <v>Magazines</v>
      </c>
      <c r="W177" t="str">
        <f>Migrationsartikel!N175</f>
        <v>Riviste</v>
      </c>
      <c r="X177">
        <f>Migrationsartikel!G175</f>
        <v>0</v>
      </c>
      <c r="Y177">
        <f>Migrationsartikel!K175</f>
        <v>0</v>
      </c>
      <c r="Z177">
        <f>Migrationsartikel!O175</f>
        <v>0</v>
      </c>
      <c r="AA177" s="31" t="str">
        <f>Migrationsartikel!H175</f>
        <v>1Stk</v>
      </c>
      <c r="AB177" s="31" t="str">
        <f>Migrationsartikel!L175</f>
        <v>1pce</v>
      </c>
      <c r="AC177" s="31" t="str">
        <f>Migrationsartikel!P175</f>
        <v>1pz</v>
      </c>
      <c r="AD177" t="str">
        <f>Migrationsartikel!I175</f>
        <v>Zeitschriften</v>
      </c>
      <c r="AE177" t="str">
        <f>Migrationsartikel!M175</f>
        <v>Magazines</v>
      </c>
      <c r="AF177" t="str">
        <f>Migrationsartikel!Q175</f>
        <v>Riviste</v>
      </c>
      <c r="AG177" s="45">
        <f>Migrationsartikel!R175</f>
        <v>1</v>
      </c>
      <c r="AH177" s="46" t="str">
        <f>Migrationsartikel!T175</f>
        <v>Stück</v>
      </c>
      <c r="AI177" s="46" t="str">
        <f t="shared" si="6"/>
        <v>7</v>
      </c>
      <c r="AJ177" s="46" t="s">
        <v>176</v>
      </c>
      <c r="AK177">
        <f>Migrationsartikel!S175</f>
        <v>1</v>
      </c>
      <c r="AL177">
        <f>Migrationsartikel!S175</f>
        <v>1</v>
      </c>
      <c r="AM177">
        <f>Migrationsartikel!S175</f>
        <v>1</v>
      </c>
      <c r="AN177" t="str">
        <f>Migrationsartikel!U175</f>
        <v>(PCE) Stück</v>
      </c>
      <c r="AO177" t="str">
        <f t="shared" si="7"/>
        <v>(PCE) Pièce</v>
      </c>
      <c r="AP177" t="str">
        <f t="shared" si="8"/>
        <v>(PCE) Pièce</v>
      </c>
      <c r="AQ177" s="31" t="s">
        <v>195</v>
      </c>
      <c r="AR177" s="47"/>
      <c r="AS177" s="47"/>
      <c r="AT177" s="31" t="s">
        <v>208</v>
      </c>
      <c r="AU177" s="47"/>
      <c r="AV177" s="47"/>
      <c r="AW177" t="str">
        <f>IF(Migrationsartikel!AB175="ja","true",FALSE)</f>
        <v>true</v>
      </c>
      <c r="AX177" t="str">
        <f>IF(Migrationsartikel!AC175="ja","true",FALSE)</f>
        <v>true</v>
      </c>
      <c r="AY177" t="str">
        <f>IF(Migrationsartikel!AD175="ja","true",FALSE)</f>
        <v>true</v>
      </c>
      <c r="AZ177" t="str">
        <f>IF(Migrationsartikel!AE175="ja","true",FALSE)</f>
        <v>true</v>
      </c>
      <c r="BA177" t="str">
        <f>IF(Migrationsartikel!AF175="ja","Denner Partner","")</f>
        <v/>
      </c>
      <c r="BB177" t="str">
        <f>IF(Migrationsartikel!AG175="ja","true","false")</f>
        <v>true</v>
      </c>
      <c r="BC177" t="s">
        <v>1923</v>
      </c>
      <c r="BD177" s="31" t="s">
        <v>235</v>
      </c>
      <c r="BE177" s="31" t="s">
        <v>233</v>
      </c>
    </row>
    <row r="178" spans="2:57" ht="21.75" customHeight="1" x14ac:dyDescent="0.45">
      <c r="B178" t="s">
        <v>115</v>
      </c>
      <c r="E178" s="31" t="s">
        <v>1604</v>
      </c>
      <c r="F178" t="str">
        <f>"Warengruppe&gt;&gt;"&amp;Migrationsartikel!V176&amp;"&gt;&gt;"&amp;Migrationsartikel!W176&amp;"&gt;&gt;"&amp;Migrationsartikel!X176</f>
        <v>Warengruppe&gt;&gt;Near Food&gt;&gt;Gebrauchsartikel&gt;&gt;Gebührensäcke und Marken</v>
      </c>
      <c r="J178" s="31" t="s">
        <v>125</v>
      </c>
      <c r="M178" s="31" t="s">
        <v>137</v>
      </c>
      <c r="P178" s="31">
        <f>Migrationsartikel!B176</f>
        <v>960</v>
      </c>
      <c r="R178" t="str">
        <f>Migrationsartikel!F176&amp;" "&amp;Migrationsartikel!G176&amp;" "&amp;Migrationsartikel!H176</f>
        <v>Bündelmarke  1Stk</v>
      </c>
      <c r="S178" t="str">
        <f>Migrationsartikel!J176&amp;" "&amp;Migrationsartikel!K176&amp;" "&amp;Migrationsartikel!L176</f>
        <v>Marque de regroupement  1pce</v>
      </c>
      <c r="T178" t="str">
        <f>Migrationsartikel!N176&amp;" "&amp;Migrationsartikel!O176&amp;" "&amp;Migrationsartikel!P176</f>
        <v>Tagliando tarif. fasci  1pz</v>
      </c>
      <c r="U178" t="str">
        <f>Migrationsartikel!F176</f>
        <v>Bündelmarke</v>
      </c>
      <c r="V178" t="str">
        <f>Migrationsartikel!J176</f>
        <v>Marque de regroupement</v>
      </c>
      <c r="W178" t="str">
        <f>Migrationsartikel!N176</f>
        <v>Tagliando tarif. fasci</v>
      </c>
      <c r="X178">
        <f>Migrationsartikel!G176</f>
        <v>0</v>
      </c>
      <c r="Y178">
        <f>Migrationsartikel!K176</f>
        <v>0</v>
      </c>
      <c r="Z178">
        <f>Migrationsartikel!O176</f>
        <v>0</v>
      </c>
      <c r="AA178" s="31" t="str">
        <f>Migrationsartikel!H176</f>
        <v>1Stk</v>
      </c>
      <c r="AB178" s="31" t="str">
        <f>Migrationsartikel!L176</f>
        <v>1pce</v>
      </c>
      <c r="AC178" s="31" t="str">
        <f>Migrationsartikel!P176</f>
        <v>1pz</v>
      </c>
      <c r="AD178" t="str">
        <f>Migrationsartikel!I176</f>
        <v>Bündelmarke</v>
      </c>
      <c r="AE178" t="str">
        <f>Migrationsartikel!M176</f>
        <v>Marque de regroupement</v>
      </c>
      <c r="AF178" t="str">
        <f>Migrationsartikel!Q176</f>
        <v>Tagliando tarif. fasci</v>
      </c>
      <c r="AG178" s="45">
        <f>Migrationsartikel!R176</f>
        <v>1</v>
      </c>
      <c r="AH178" s="46" t="str">
        <f>Migrationsartikel!T176</f>
        <v>Stück</v>
      </c>
      <c r="AI178" s="46" t="str">
        <f t="shared" si="6"/>
        <v>7</v>
      </c>
      <c r="AJ178" s="46" t="s">
        <v>176</v>
      </c>
      <c r="AK178">
        <f>Migrationsartikel!S176</f>
        <v>1</v>
      </c>
      <c r="AL178">
        <f>Migrationsartikel!S176</f>
        <v>1</v>
      </c>
      <c r="AM178">
        <f>Migrationsartikel!S176</f>
        <v>1</v>
      </c>
      <c r="AN178" t="str">
        <f>Migrationsartikel!U176</f>
        <v>(PCE) Stück</v>
      </c>
      <c r="AO178" t="str">
        <f t="shared" si="7"/>
        <v>(PCE) Pièce</v>
      </c>
      <c r="AP178" t="str">
        <f t="shared" si="8"/>
        <v>(PCE) Pièce</v>
      </c>
      <c r="AQ178" s="31" t="s">
        <v>195</v>
      </c>
      <c r="AR178" s="47"/>
      <c r="AS178" s="47"/>
      <c r="AT178" s="31" t="s">
        <v>208</v>
      </c>
      <c r="AU178" s="47"/>
      <c r="AV178" s="47"/>
      <c r="AW178" t="str">
        <f>IF(Migrationsartikel!AB176="ja","true",FALSE)</f>
        <v>true</v>
      </c>
      <c r="AX178" t="str">
        <f>IF(Migrationsartikel!AC176="ja","true",FALSE)</f>
        <v>true</v>
      </c>
      <c r="AY178" t="str">
        <f>IF(Migrationsartikel!AD176="ja","true",FALSE)</f>
        <v>true</v>
      </c>
      <c r="AZ178" t="str">
        <f>IF(Migrationsartikel!AE176="ja","true",FALSE)</f>
        <v>true</v>
      </c>
      <c r="BA178" t="str">
        <f>IF(Migrationsartikel!AF176="ja","Denner Partner","")</f>
        <v/>
      </c>
      <c r="BB178" t="str">
        <f>IF(Migrationsartikel!AG176="ja","true","false")</f>
        <v>false</v>
      </c>
      <c r="BC178" t="s">
        <v>1923</v>
      </c>
      <c r="BD178" s="31" t="s">
        <v>235</v>
      </c>
      <c r="BE178" s="31" t="s">
        <v>233</v>
      </c>
    </row>
    <row r="179" spans="2:57" ht="21.75" customHeight="1" x14ac:dyDescent="0.45">
      <c r="B179" t="s">
        <v>115</v>
      </c>
      <c r="E179" s="31" t="s">
        <v>1605</v>
      </c>
      <c r="F179" t="str">
        <f>"Warengruppe&gt;&gt;"&amp;Migrationsartikel!V177&amp;"&gt;&gt;"&amp;Migrationsartikel!W177&amp;"&gt;&gt;"&amp;Migrationsartikel!X177</f>
        <v>Warengruppe&gt;&gt;Near Food&gt;&gt;Gebrauchsartikel&gt;&gt;Gebührensäcke und Marken</v>
      </c>
      <c r="J179" s="31" t="s">
        <v>125</v>
      </c>
      <c r="M179" s="31" t="s">
        <v>137</v>
      </c>
      <c r="P179" s="31">
        <f>Migrationsartikel!B177</f>
        <v>961</v>
      </c>
      <c r="R179" t="str">
        <f>Migrationsartikel!F177&amp;" "&amp;Migrationsartikel!G177&amp;" "&amp;Migrationsartikel!H177</f>
        <v>Container Band  1Stk</v>
      </c>
      <c r="S179" t="str">
        <f>Migrationsartikel!J177&amp;" "&amp;Migrationsartikel!K177&amp;" "&amp;Migrationsartikel!L177</f>
        <v>Bande de conteneur  1pce</v>
      </c>
      <c r="T179" t="str">
        <f>Migrationsartikel!N177&amp;" "&amp;Migrationsartikel!O177&amp;" "&amp;Migrationsartikel!P177</f>
        <v>Fascia per contenitore  1pz</v>
      </c>
      <c r="U179" t="str">
        <f>Migrationsartikel!F177</f>
        <v>Container Band</v>
      </c>
      <c r="V179" t="str">
        <f>Migrationsartikel!J177</f>
        <v>Bande de conteneur</v>
      </c>
      <c r="W179" t="str">
        <f>Migrationsartikel!N177</f>
        <v>Fascia per contenitore</v>
      </c>
      <c r="X179">
        <f>Migrationsartikel!G177</f>
        <v>0</v>
      </c>
      <c r="Y179">
        <f>Migrationsartikel!K177</f>
        <v>0</v>
      </c>
      <c r="Z179">
        <f>Migrationsartikel!O177</f>
        <v>0</v>
      </c>
      <c r="AA179" s="31" t="str">
        <f>Migrationsartikel!H177</f>
        <v>1Stk</v>
      </c>
      <c r="AB179" s="31" t="str">
        <f>Migrationsartikel!L177</f>
        <v>1pce</v>
      </c>
      <c r="AC179" s="31" t="str">
        <f>Migrationsartikel!P177</f>
        <v>1pz</v>
      </c>
      <c r="AD179" t="str">
        <f>Migrationsartikel!I177</f>
        <v>Container Band 1Stk</v>
      </c>
      <c r="AE179" t="str">
        <f>Migrationsartikel!M177</f>
        <v>Bande conteneur 1pce</v>
      </c>
      <c r="AF179" t="str">
        <f>Migrationsartikel!Q177</f>
        <v>Fascia contenitore 1pz</v>
      </c>
      <c r="AG179" s="45">
        <f>Migrationsartikel!R177</f>
        <v>1</v>
      </c>
      <c r="AH179" s="46" t="str">
        <f>Migrationsartikel!T177</f>
        <v>Stück</v>
      </c>
      <c r="AI179" s="46" t="str">
        <f t="shared" si="6"/>
        <v>7</v>
      </c>
      <c r="AJ179" s="46" t="s">
        <v>176</v>
      </c>
      <c r="AK179">
        <f>Migrationsartikel!S177</f>
        <v>1</v>
      </c>
      <c r="AL179">
        <f>Migrationsartikel!S177</f>
        <v>1</v>
      </c>
      <c r="AM179">
        <f>Migrationsartikel!S177</f>
        <v>1</v>
      </c>
      <c r="AN179" t="str">
        <f>Migrationsartikel!U177</f>
        <v>(PCE) Stück</v>
      </c>
      <c r="AO179" t="str">
        <f t="shared" si="7"/>
        <v>(PCE) Pièce</v>
      </c>
      <c r="AP179" t="str">
        <f t="shared" si="8"/>
        <v>(PCE) Pièce</v>
      </c>
      <c r="AQ179" s="31" t="s">
        <v>195</v>
      </c>
      <c r="AR179" s="47"/>
      <c r="AS179" s="47"/>
      <c r="AT179" s="31" t="s">
        <v>208</v>
      </c>
      <c r="AU179" s="47"/>
      <c r="AV179" s="47"/>
      <c r="AW179" t="str">
        <f>IF(Migrationsartikel!AB177="ja","true",FALSE)</f>
        <v>true</v>
      </c>
      <c r="AX179" t="str">
        <f>IF(Migrationsartikel!AC177="ja","true",FALSE)</f>
        <v>true</v>
      </c>
      <c r="AY179" t="str">
        <f>IF(Migrationsartikel!AD177="ja","true",FALSE)</f>
        <v>true</v>
      </c>
      <c r="AZ179" t="str">
        <f>IF(Migrationsartikel!AE177="ja","true",FALSE)</f>
        <v>true</v>
      </c>
      <c r="BA179" t="str">
        <f>IF(Migrationsartikel!AF177="ja","Denner Partner","")</f>
        <v/>
      </c>
      <c r="BB179" t="str">
        <f>IF(Migrationsartikel!AG177="ja","true","false")</f>
        <v>false</v>
      </c>
      <c r="BC179" t="s">
        <v>1923</v>
      </c>
      <c r="BD179" s="31" t="s">
        <v>235</v>
      </c>
      <c r="BE179" s="31" t="s">
        <v>233</v>
      </c>
    </row>
    <row r="180" spans="2:57" ht="21.75" customHeight="1" x14ac:dyDescent="0.45">
      <c r="B180" t="s">
        <v>115</v>
      </c>
      <c r="E180" s="31" t="s">
        <v>1606</v>
      </c>
      <c r="F180" t="str">
        <f>"Warengruppe&gt;&gt;"&amp;Migrationsartikel!V178&amp;"&gt;&gt;"&amp;Migrationsartikel!W178&amp;"&gt;&gt;"&amp;Migrationsartikel!X178</f>
        <v>Warengruppe&gt;&gt;Near Food&gt;&gt;Gebrauchsartikel&gt;&gt;Gebührensäcke und Marken</v>
      </c>
      <c r="J180" s="31" t="s">
        <v>125</v>
      </c>
      <c r="M180" s="31" t="s">
        <v>137</v>
      </c>
      <c r="P180" s="31">
        <f>Migrationsartikel!B178</f>
        <v>962</v>
      </c>
      <c r="R180" t="str">
        <f>Migrationsartikel!F178&amp;" "&amp;Migrationsartikel!G178&amp;" "&amp;Migrationsartikel!H178</f>
        <v>Container Band  240L</v>
      </c>
      <c r="S180" t="str">
        <f>Migrationsartikel!J178&amp;" "&amp;Migrationsartikel!K178&amp;" "&amp;Migrationsartikel!L178</f>
        <v>Bande de conteneur  240l</v>
      </c>
      <c r="T180" t="str">
        <f>Migrationsartikel!N178&amp;" "&amp;Migrationsartikel!O178&amp;" "&amp;Migrationsartikel!P178</f>
        <v>Fascia per contenitore  240l</v>
      </c>
      <c r="U180" t="str">
        <f>Migrationsartikel!F178</f>
        <v>Container Band</v>
      </c>
      <c r="V180" t="str">
        <f>Migrationsartikel!J178</f>
        <v>Bande de conteneur</v>
      </c>
      <c r="W180" t="str">
        <f>Migrationsartikel!N178</f>
        <v>Fascia per contenitore</v>
      </c>
      <c r="X180">
        <f>Migrationsartikel!G178</f>
        <v>0</v>
      </c>
      <c r="Y180">
        <f>Migrationsartikel!K178</f>
        <v>0</v>
      </c>
      <c r="Z180">
        <f>Migrationsartikel!O178</f>
        <v>0</v>
      </c>
      <c r="AA180" s="31" t="str">
        <f>Migrationsartikel!H178</f>
        <v>240L</v>
      </c>
      <c r="AB180" s="31" t="str">
        <f>Migrationsartikel!L178</f>
        <v>240l</v>
      </c>
      <c r="AC180" s="31" t="str">
        <f>Migrationsartikel!P178</f>
        <v>240l</v>
      </c>
      <c r="AD180" t="str">
        <f>Migrationsartikel!I178</f>
        <v>Container Band 240L</v>
      </c>
      <c r="AE180" t="str">
        <f>Migrationsartikel!M178</f>
        <v>Bande conteneur 240l</v>
      </c>
      <c r="AF180" t="str">
        <f>Migrationsartikel!Q178</f>
        <v>Fascia contenitore 240l</v>
      </c>
      <c r="AG180" s="45">
        <f>Migrationsartikel!R178</f>
        <v>1</v>
      </c>
      <c r="AH180" s="46" t="str">
        <f>Migrationsartikel!T178</f>
        <v>Stück</v>
      </c>
      <c r="AI180" s="46" t="str">
        <f t="shared" si="6"/>
        <v>7</v>
      </c>
      <c r="AJ180" s="46" t="s">
        <v>176</v>
      </c>
      <c r="AK180">
        <f>Migrationsartikel!S178</f>
        <v>1</v>
      </c>
      <c r="AL180">
        <f>Migrationsartikel!S178</f>
        <v>1</v>
      </c>
      <c r="AM180">
        <f>Migrationsartikel!S178</f>
        <v>1</v>
      </c>
      <c r="AN180" t="str">
        <f>Migrationsartikel!U178</f>
        <v>(PCE) Stück</v>
      </c>
      <c r="AO180" t="str">
        <f t="shared" si="7"/>
        <v>(PCE) Pièce</v>
      </c>
      <c r="AP180" t="str">
        <f t="shared" si="8"/>
        <v>(PCE) Pièce</v>
      </c>
      <c r="AQ180" s="31" t="s">
        <v>195</v>
      </c>
      <c r="AR180" s="47"/>
      <c r="AS180" s="47"/>
      <c r="AT180" s="31" t="s">
        <v>208</v>
      </c>
      <c r="AU180" s="47"/>
      <c r="AV180" s="47"/>
      <c r="AW180" t="str">
        <f>IF(Migrationsartikel!AB178="ja","true",FALSE)</f>
        <v>true</v>
      </c>
      <c r="AX180" t="str">
        <f>IF(Migrationsartikel!AC178="ja","true",FALSE)</f>
        <v>true</v>
      </c>
      <c r="AY180" t="str">
        <f>IF(Migrationsartikel!AD178="ja","true",FALSE)</f>
        <v>true</v>
      </c>
      <c r="AZ180" t="str">
        <f>IF(Migrationsartikel!AE178="ja","true",FALSE)</f>
        <v>true</v>
      </c>
      <c r="BA180" t="str">
        <f>IF(Migrationsartikel!AF178="ja","Denner Partner","")</f>
        <v/>
      </c>
      <c r="BB180" t="str">
        <f>IF(Migrationsartikel!AG178="ja","true","false")</f>
        <v>false</v>
      </c>
      <c r="BC180" t="s">
        <v>1923</v>
      </c>
      <c r="BD180" s="31" t="s">
        <v>235</v>
      </c>
      <c r="BE180" s="31" t="s">
        <v>233</v>
      </c>
    </row>
    <row r="181" spans="2:57" ht="21.75" customHeight="1" x14ac:dyDescent="0.45">
      <c r="B181" t="s">
        <v>115</v>
      </c>
      <c r="E181" s="31" t="s">
        <v>1607</v>
      </c>
      <c r="F181" t="str">
        <f>"Warengruppe&gt;&gt;"&amp;Migrationsartikel!V179&amp;"&gt;&gt;"&amp;Migrationsartikel!W179&amp;"&gt;&gt;"&amp;Migrationsartikel!X179</f>
        <v>Warengruppe&gt;&gt;Near Food&gt;&gt;Gebrauchsartikel&gt;&gt;Gebührensäcke und Marken</v>
      </c>
      <c r="J181" s="31" t="s">
        <v>125</v>
      </c>
      <c r="M181" s="31" t="s">
        <v>137</v>
      </c>
      <c r="P181" s="31">
        <f>Migrationsartikel!B179</f>
        <v>963</v>
      </c>
      <c r="R181" t="str">
        <f>Migrationsartikel!F179&amp;" "&amp;Migrationsartikel!G179&amp;" "&amp;Migrationsartikel!H179</f>
        <v>Container Band  800L</v>
      </c>
      <c r="S181" t="str">
        <f>Migrationsartikel!J179&amp;" "&amp;Migrationsartikel!K179&amp;" "&amp;Migrationsartikel!L179</f>
        <v>Bande de conteneur  800l</v>
      </c>
      <c r="T181" t="str">
        <f>Migrationsartikel!N179&amp;" "&amp;Migrationsartikel!O179&amp;" "&amp;Migrationsartikel!P179</f>
        <v>Fascia per contenitore  800l</v>
      </c>
      <c r="U181" t="str">
        <f>Migrationsartikel!F179</f>
        <v>Container Band</v>
      </c>
      <c r="V181" t="str">
        <f>Migrationsartikel!J179</f>
        <v>Bande de conteneur</v>
      </c>
      <c r="W181" t="str">
        <f>Migrationsartikel!N179</f>
        <v>Fascia per contenitore</v>
      </c>
      <c r="X181">
        <f>Migrationsartikel!G179</f>
        <v>0</v>
      </c>
      <c r="Y181">
        <f>Migrationsartikel!K179</f>
        <v>0</v>
      </c>
      <c r="Z181">
        <f>Migrationsartikel!O179</f>
        <v>0</v>
      </c>
      <c r="AA181" s="31" t="str">
        <f>Migrationsartikel!H179</f>
        <v>800L</v>
      </c>
      <c r="AB181" s="31" t="str">
        <f>Migrationsartikel!L179</f>
        <v>800l</v>
      </c>
      <c r="AC181" s="31" t="str">
        <f>Migrationsartikel!P179</f>
        <v>800l</v>
      </c>
      <c r="AD181" t="str">
        <f>Migrationsartikel!I179</f>
        <v>Container Band 800L</v>
      </c>
      <c r="AE181" t="str">
        <f>Migrationsartikel!M179</f>
        <v>Bande conteneur 800l</v>
      </c>
      <c r="AF181" t="str">
        <f>Migrationsartikel!Q179</f>
        <v>Fascia contenitore 800l</v>
      </c>
      <c r="AG181" s="45">
        <f>Migrationsartikel!R179</f>
        <v>1</v>
      </c>
      <c r="AH181" s="46" t="str">
        <f>Migrationsartikel!T179</f>
        <v>Stück</v>
      </c>
      <c r="AI181" s="46" t="str">
        <f t="shared" si="6"/>
        <v>7</v>
      </c>
      <c r="AJ181" s="46" t="s">
        <v>176</v>
      </c>
      <c r="AK181">
        <f>Migrationsartikel!S179</f>
        <v>1</v>
      </c>
      <c r="AL181">
        <f>Migrationsartikel!S179</f>
        <v>1</v>
      </c>
      <c r="AM181">
        <f>Migrationsartikel!S179</f>
        <v>1</v>
      </c>
      <c r="AN181" t="str">
        <f>Migrationsartikel!U179</f>
        <v>(PCE) Stück</v>
      </c>
      <c r="AO181" t="str">
        <f t="shared" si="7"/>
        <v>(PCE) Pièce</v>
      </c>
      <c r="AP181" t="str">
        <f t="shared" si="8"/>
        <v>(PCE) Pièce</v>
      </c>
      <c r="AQ181" s="31" t="s">
        <v>195</v>
      </c>
      <c r="AR181" s="47"/>
      <c r="AS181" s="47"/>
      <c r="AT181" s="31" t="s">
        <v>208</v>
      </c>
      <c r="AU181" s="47"/>
      <c r="AV181" s="47"/>
      <c r="AW181" t="str">
        <f>IF(Migrationsartikel!AB179="ja","true",FALSE)</f>
        <v>true</v>
      </c>
      <c r="AX181" t="str">
        <f>IF(Migrationsartikel!AC179="ja","true",FALSE)</f>
        <v>true</v>
      </c>
      <c r="AY181" t="str">
        <f>IF(Migrationsartikel!AD179="ja","true",FALSE)</f>
        <v>true</v>
      </c>
      <c r="AZ181" t="str">
        <f>IF(Migrationsartikel!AE179="ja","true",FALSE)</f>
        <v>true</v>
      </c>
      <c r="BA181" t="str">
        <f>IF(Migrationsartikel!AF179="ja","Denner Partner","")</f>
        <v/>
      </c>
      <c r="BB181" t="str">
        <f>IF(Migrationsartikel!AG179="ja","true","false")</f>
        <v>false</v>
      </c>
      <c r="BC181" t="s">
        <v>1923</v>
      </c>
      <c r="BD181" s="31" t="s">
        <v>235</v>
      </c>
      <c r="BE181" s="31" t="s">
        <v>233</v>
      </c>
    </row>
    <row r="182" spans="2:57" ht="21.75" customHeight="1" x14ac:dyDescent="0.45">
      <c r="B182" t="s">
        <v>115</v>
      </c>
      <c r="E182" s="31" t="s">
        <v>1608</v>
      </c>
      <c r="F182" t="str">
        <f>"Warengruppe&gt;&gt;"&amp;Migrationsartikel!V180&amp;"&gt;&gt;"&amp;Migrationsartikel!W180&amp;"&gt;&gt;"&amp;Migrationsartikel!X180</f>
        <v>Warengruppe&gt;&gt;Near Food&gt;&gt;Gebrauchsartikel&gt;&gt;Gebührensäcke und Marken</v>
      </c>
      <c r="J182" s="31" t="s">
        <v>125</v>
      </c>
      <c r="M182" s="31" t="s">
        <v>137</v>
      </c>
      <c r="P182" s="31">
        <f>Migrationsartikel!B180</f>
        <v>964</v>
      </c>
      <c r="R182" t="str">
        <f>Migrationsartikel!F180&amp;" "&amp;Migrationsartikel!G180&amp;" "&amp;Migrationsartikel!H180</f>
        <v>Container Band   250L</v>
      </c>
      <c r="S182" t="str">
        <f>Migrationsartikel!J180&amp;" "&amp;Migrationsartikel!K180&amp;" "&amp;Migrationsartikel!L180</f>
        <v>Bande de conteneur  250l</v>
      </c>
      <c r="T182" t="str">
        <f>Migrationsartikel!N180&amp;" "&amp;Migrationsartikel!O180&amp;" "&amp;Migrationsartikel!P180</f>
        <v>Fascia per contenitore  250l</v>
      </c>
      <c r="U182" t="str">
        <f>Migrationsartikel!F180</f>
        <v xml:space="preserve">Container Band </v>
      </c>
      <c r="V182" t="str">
        <f>Migrationsartikel!J180</f>
        <v>Bande de conteneur</v>
      </c>
      <c r="W182" t="str">
        <f>Migrationsartikel!N180</f>
        <v>Fascia per contenitore</v>
      </c>
      <c r="X182">
        <f>Migrationsartikel!G180</f>
        <v>0</v>
      </c>
      <c r="Y182">
        <f>Migrationsartikel!K180</f>
        <v>0</v>
      </c>
      <c r="Z182">
        <f>Migrationsartikel!O180</f>
        <v>0</v>
      </c>
      <c r="AA182" s="31" t="str">
        <f>Migrationsartikel!H180</f>
        <v>250L</v>
      </c>
      <c r="AB182" s="31" t="str">
        <f>Migrationsartikel!L180</f>
        <v>250l</v>
      </c>
      <c r="AC182" s="31" t="str">
        <f>Migrationsartikel!P180</f>
        <v>250l</v>
      </c>
      <c r="AD182" t="str">
        <f>Migrationsartikel!I180</f>
        <v>Container Band 250L</v>
      </c>
      <c r="AE182" t="str">
        <f>Migrationsartikel!M180</f>
        <v>Bande conteneur 250l</v>
      </c>
      <c r="AF182" t="str">
        <f>Migrationsartikel!Q180</f>
        <v>Fascia contenitore 250l</v>
      </c>
      <c r="AG182" s="45">
        <f>Migrationsartikel!R180</f>
        <v>1</v>
      </c>
      <c r="AH182" s="46" t="str">
        <f>Migrationsartikel!T180</f>
        <v>Stück</v>
      </c>
      <c r="AI182" s="46" t="str">
        <f t="shared" si="6"/>
        <v>7</v>
      </c>
      <c r="AJ182" s="46" t="s">
        <v>176</v>
      </c>
      <c r="AK182">
        <f>Migrationsartikel!S180</f>
        <v>1</v>
      </c>
      <c r="AL182">
        <f>Migrationsartikel!S180</f>
        <v>1</v>
      </c>
      <c r="AM182">
        <f>Migrationsartikel!S180</f>
        <v>1</v>
      </c>
      <c r="AN182" t="str">
        <f>Migrationsartikel!U180</f>
        <v>(PCE) Stück</v>
      </c>
      <c r="AO182" t="str">
        <f t="shared" si="7"/>
        <v>(PCE) Pièce</v>
      </c>
      <c r="AP182" t="str">
        <f t="shared" si="8"/>
        <v>(PCE) Pièce</v>
      </c>
      <c r="AQ182" s="31" t="s">
        <v>195</v>
      </c>
      <c r="AR182" s="47"/>
      <c r="AS182" s="47"/>
      <c r="AT182" s="31" t="s">
        <v>208</v>
      </c>
      <c r="AU182" s="47"/>
      <c r="AV182" s="47"/>
      <c r="AW182" t="str">
        <f>IF(Migrationsartikel!AB180="ja","true",FALSE)</f>
        <v>true</v>
      </c>
      <c r="AX182" t="str">
        <f>IF(Migrationsartikel!AC180="ja","true",FALSE)</f>
        <v>true</v>
      </c>
      <c r="AY182" t="str">
        <f>IF(Migrationsartikel!AD180="ja","true",FALSE)</f>
        <v>true</v>
      </c>
      <c r="AZ182" t="str">
        <f>IF(Migrationsartikel!AE180="ja","true",FALSE)</f>
        <v>true</v>
      </c>
      <c r="BA182" t="str">
        <f>IF(Migrationsartikel!AF180="ja","Denner Partner","")</f>
        <v/>
      </c>
      <c r="BB182" t="str">
        <f>IF(Migrationsartikel!AG180="ja","true","false")</f>
        <v>false</v>
      </c>
      <c r="BC182" t="s">
        <v>1923</v>
      </c>
      <c r="BD182" s="31" t="s">
        <v>235</v>
      </c>
      <c r="BE182" s="31" t="s">
        <v>233</v>
      </c>
    </row>
    <row r="183" spans="2:57" ht="21.75" customHeight="1" x14ac:dyDescent="0.45">
      <c r="B183" t="s">
        <v>115</v>
      </c>
      <c r="E183" s="31" t="s">
        <v>1609</v>
      </c>
      <c r="F183" t="str">
        <f>"Warengruppe&gt;&gt;"&amp;Migrationsartikel!V181&amp;"&gt;&gt;"&amp;Migrationsartikel!W181&amp;"&gt;&gt;"&amp;Migrationsartikel!X181</f>
        <v>Warengruppe&gt;&gt;Near Food&gt;&gt;Gebrauchsartikel&gt;&gt;Gebührensäcke und Marken</v>
      </c>
      <c r="J183" s="31" t="s">
        <v>125</v>
      </c>
      <c r="M183" s="31" t="s">
        <v>137</v>
      </c>
      <c r="P183" s="31">
        <f>Migrationsartikel!B181</f>
        <v>965</v>
      </c>
      <c r="R183" t="str">
        <f>Migrationsartikel!F181&amp;" "&amp;Migrationsartikel!G181&amp;" "&amp;Migrationsartikel!H181</f>
        <v>Gebührenmarke Sperrgut  1Stk</v>
      </c>
      <c r="S183" t="str">
        <f>Migrationsartikel!J181&amp;" "&amp;Migrationsartikel!K181&amp;" "&amp;Migrationsartikel!L181</f>
        <v>Timbre-taxe encombr.  1pce</v>
      </c>
      <c r="T183" t="str">
        <f>Migrationsartikel!N181&amp;" "&amp;Migrationsartikel!O181&amp;" "&amp;Migrationsartikel!P181</f>
        <v>Tagliando tarif. ing.  1pz</v>
      </c>
      <c r="U183" t="str">
        <f>Migrationsartikel!F181</f>
        <v>Gebührenmarke Sperrgut</v>
      </c>
      <c r="V183" t="str">
        <f>Migrationsartikel!J181</f>
        <v>Timbre-taxe encombr.</v>
      </c>
      <c r="W183" t="str">
        <f>Migrationsartikel!N181</f>
        <v>Tagliando tarif. ing.</v>
      </c>
      <c r="X183">
        <f>Migrationsartikel!G181</f>
        <v>0</v>
      </c>
      <c r="Y183">
        <f>Migrationsartikel!K181</f>
        <v>0</v>
      </c>
      <c r="Z183">
        <f>Migrationsartikel!O181</f>
        <v>0</v>
      </c>
      <c r="AA183" s="31" t="str">
        <f>Migrationsartikel!H181</f>
        <v>1Stk</v>
      </c>
      <c r="AB183" s="31" t="str">
        <f>Migrationsartikel!L181</f>
        <v>1pce</v>
      </c>
      <c r="AC183" s="31" t="str">
        <f>Migrationsartikel!P181</f>
        <v>1pz</v>
      </c>
      <c r="AD183" t="str">
        <f>Migrationsartikel!I181</f>
        <v>Gebührenmarke Sperrgut</v>
      </c>
      <c r="AE183" t="str">
        <f>Migrationsartikel!M181</f>
        <v>Timbre-taxe encombr.</v>
      </c>
      <c r="AF183" t="str">
        <f>Migrationsartikel!Q181</f>
        <v>Tagliando tarif. ing.</v>
      </c>
      <c r="AG183" s="45">
        <f>Migrationsartikel!R181</f>
        <v>1</v>
      </c>
      <c r="AH183" s="46" t="str">
        <f>Migrationsartikel!T181</f>
        <v>Stück</v>
      </c>
      <c r="AI183" s="46" t="str">
        <f t="shared" si="6"/>
        <v>7</v>
      </c>
      <c r="AJ183" s="46" t="s">
        <v>176</v>
      </c>
      <c r="AK183">
        <f>Migrationsartikel!S181</f>
        <v>1</v>
      </c>
      <c r="AL183">
        <f>Migrationsartikel!S181</f>
        <v>1</v>
      </c>
      <c r="AM183">
        <f>Migrationsartikel!S181</f>
        <v>1</v>
      </c>
      <c r="AN183" t="str">
        <f>Migrationsartikel!U181</f>
        <v>(PCE) Stück</v>
      </c>
      <c r="AO183" t="str">
        <f t="shared" si="7"/>
        <v>(PCE) Pièce</v>
      </c>
      <c r="AP183" t="str">
        <f t="shared" si="8"/>
        <v>(PCE) Pièce</v>
      </c>
      <c r="AQ183" s="31" t="s">
        <v>195</v>
      </c>
      <c r="AR183" s="47"/>
      <c r="AS183" s="47"/>
      <c r="AT183" s="31" t="s">
        <v>208</v>
      </c>
      <c r="AU183" s="47"/>
      <c r="AV183" s="47"/>
      <c r="AW183" t="str">
        <f>IF(Migrationsartikel!AB181="ja","true",FALSE)</f>
        <v>true</v>
      </c>
      <c r="AX183" t="str">
        <f>IF(Migrationsartikel!AC181="ja","true",FALSE)</f>
        <v>true</v>
      </c>
      <c r="AY183" t="str">
        <f>IF(Migrationsartikel!AD181="ja","true",FALSE)</f>
        <v>true</v>
      </c>
      <c r="AZ183" t="str">
        <f>IF(Migrationsartikel!AE181="ja","true",FALSE)</f>
        <v>true</v>
      </c>
      <c r="BA183" t="str">
        <f>IF(Migrationsartikel!AF181="ja","Denner Partner","")</f>
        <v/>
      </c>
      <c r="BB183" t="str">
        <f>IF(Migrationsartikel!AG181="ja","true","false")</f>
        <v>false</v>
      </c>
      <c r="BC183" t="s">
        <v>1923</v>
      </c>
      <c r="BD183" s="31" t="s">
        <v>235</v>
      </c>
      <c r="BE183" s="31" t="s">
        <v>233</v>
      </c>
    </row>
    <row r="184" spans="2:57" ht="21.75" customHeight="1" x14ac:dyDescent="0.45">
      <c r="B184" t="s">
        <v>115</v>
      </c>
      <c r="E184" s="31" t="s">
        <v>1610</v>
      </c>
      <c r="F184" t="str">
        <f>"Warengruppe&gt;&gt;"&amp;Migrationsartikel!V182&amp;"&gt;&gt;"&amp;Migrationsartikel!W182&amp;"&gt;&gt;"&amp;Migrationsartikel!X182</f>
        <v>Warengruppe&gt;&gt;Near Food&gt;&gt;Gebrauchsartikel&gt;&gt;Gebührensäcke und Marken</v>
      </c>
      <c r="J184" s="31" t="s">
        <v>125</v>
      </c>
      <c r="M184" s="31" t="s">
        <v>137</v>
      </c>
      <c r="P184" s="31">
        <f>Migrationsartikel!B182</f>
        <v>966</v>
      </c>
      <c r="R184" t="str">
        <f>Migrationsartikel!F182&amp;" "&amp;Migrationsartikel!G182&amp;" "&amp;Migrationsartikel!H182</f>
        <v>Gebührensäcke   110L</v>
      </c>
      <c r="S184" t="str">
        <f>Migrationsartikel!J182&amp;" "&amp;Migrationsartikel!K182&amp;" "&amp;Migrationsartikel!L182</f>
        <v>Sacs poubelles taxés  110l</v>
      </c>
      <c r="T184" t="str">
        <f>Migrationsartikel!N182&amp;" "&amp;Migrationsartikel!O182&amp;" "&amp;Migrationsartikel!P182</f>
        <v>Sacchi rifiuti  110l</v>
      </c>
      <c r="U184" t="str">
        <f>Migrationsartikel!F182</f>
        <v xml:space="preserve">Gebührensäcke </v>
      </c>
      <c r="V184" t="str">
        <f>Migrationsartikel!J182</f>
        <v>Sacs poubelles taxés</v>
      </c>
      <c r="W184" t="str">
        <f>Migrationsartikel!N182</f>
        <v>Sacchi rifiuti</v>
      </c>
      <c r="X184">
        <f>Migrationsartikel!G182</f>
        <v>0</v>
      </c>
      <c r="Y184">
        <f>Migrationsartikel!K182</f>
        <v>0</v>
      </c>
      <c r="Z184">
        <f>Migrationsartikel!O182</f>
        <v>0</v>
      </c>
      <c r="AA184" s="31" t="str">
        <f>Migrationsartikel!H182</f>
        <v>110L</v>
      </c>
      <c r="AB184" s="31" t="str">
        <f>Migrationsartikel!L182</f>
        <v>110l</v>
      </c>
      <c r="AC184" s="31" t="str">
        <f>Migrationsartikel!P182</f>
        <v>110l</v>
      </c>
      <c r="AD184" t="str">
        <f>Migrationsartikel!I182</f>
        <v>Gebührensäcke 110L</v>
      </c>
      <c r="AE184" t="str">
        <f>Migrationsartikel!M182</f>
        <v>Sacs poubelles 110l</v>
      </c>
      <c r="AF184" t="str">
        <f>Migrationsartikel!Q182</f>
        <v>Sacchi rifiuti 110l</v>
      </c>
      <c r="AG184" s="45">
        <f>Migrationsartikel!R182</f>
        <v>1</v>
      </c>
      <c r="AH184" s="46" t="str">
        <f>Migrationsartikel!T182</f>
        <v>Stück</v>
      </c>
      <c r="AI184" s="46" t="str">
        <f t="shared" si="6"/>
        <v>7</v>
      </c>
      <c r="AJ184" s="46" t="s">
        <v>176</v>
      </c>
      <c r="AK184">
        <f>Migrationsartikel!S182</f>
        <v>1</v>
      </c>
      <c r="AL184">
        <f>Migrationsartikel!S182</f>
        <v>1</v>
      </c>
      <c r="AM184">
        <f>Migrationsartikel!S182</f>
        <v>1</v>
      </c>
      <c r="AN184" t="str">
        <f>Migrationsartikel!U182</f>
        <v>(PCE) Stück</v>
      </c>
      <c r="AO184" t="str">
        <f t="shared" si="7"/>
        <v>(PCE) Pièce</v>
      </c>
      <c r="AP184" t="str">
        <f t="shared" si="8"/>
        <v>(PCE) Pièce</v>
      </c>
      <c r="AQ184" s="31" t="s">
        <v>195</v>
      </c>
      <c r="AR184" s="47"/>
      <c r="AS184" s="47"/>
      <c r="AT184" s="31" t="s">
        <v>208</v>
      </c>
      <c r="AU184" s="47"/>
      <c r="AV184" s="47"/>
      <c r="AW184" t="str">
        <f>IF(Migrationsartikel!AB182="ja","true",FALSE)</f>
        <v>true</v>
      </c>
      <c r="AX184" t="str">
        <f>IF(Migrationsartikel!AC182="ja","true",FALSE)</f>
        <v>true</v>
      </c>
      <c r="AY184" t="str">
        <f>IF(Migrationsartikel!AD182="ja","true",FALSE)</f>
        <v>true</v>
      </c>
      <c r="AZ184" t="str">
        <f>IF(Migrationsartikel!AE182="ja","true",FALSE)</f>
        <v>true</v>
      </c>
      <c r="BA184" t="str">
        <f>IF(Migrationsartikel!AF182="ja","Denner Partner","")</f>
        <v/>
      </c>
      <c r="BB184" t="str">
        <f>IF(Migrationsartikel!AG182="ja","true","false")</f>
        <v>false</v>
      </c>
      <c r="BC184" t="s">
        <v>1923</v>
      </c>
      <c r="BD184" s="31" t="s">
        <v>235</v>
      </c>
      <c r="BE184" s="31" t="s">
        <v>233</v>
      </c>
    </row>
    <row r="185" spans="2:57" ht="21.75" customHeight="1" x14ac:dyDescent="0.45">
      <c r="B185" t="s">
        <v>115</v>
      </c>
      <c r="E185" s="31" t="s">
        <v>1611</v>
      </c>
      <c r="F185" t="str">
        <f>"Warengruppe&gt;&gt;"&amp;Migrationsartikel!V183&amp;"&gt;&gt;"&amp;Migrationsartikel!W183&amp;"&gt;&gt;"&amp;Migrationsartikel!X183</f>
        <v>Warengruppe&gt;&gt;Near Food&gt;&gt;Gebrauchsartikel&gt;&gt;Gebührensäcke und Marken</v>
      </c>
      <c r="J185" s="31" t="s">
        <v>125</v>
      </c>
      <c r="M185" s="31" t="s">
        <v>137</v>
      </c>
      <c r="P185" s="31">
        <f>Migrationsartikel!B183</f>
        <v>967</v>
      </c>
      <c r="R185" t="str">
        <f>Migrationsartikel!F183&amp;" "&amp;Migrationsartikel!G183&amp;" "&amp;Migrationsartikel!H183</f>
        <v>Gebührensäcke   17L</v>
      </c>
      <c r="S185" t="str">
        <f>Migrationsartikel!J183&amp;" "&amp;Migrationsartikel!K183&amp;" "&amp;Migrationsartikel!L183</f>
        <v>Sacs poubelles taxés  17l</v>
      </c>
      <c r="T185" t="str">
        <f>Migrationsartikel!N183&amp;" "&amp;Migrationsartikel!O183&amp;" "&amp;Migrationsartikel!P183</f>
        <v>Sacchi rifiuti  17l</v>
      </c>
      <c r="U185" t="str">
        <f>Migrationsartikel!F183</f>
        <v xml:space="preserve">Gebührensäcke </v>
      </c>
      <c r="V185" t="str">
        <f>Migrationsartikel!J183</f>
        <v>Sacs poubelles taxés</v>
      </c>
      <c r="W185" t="str">
        <f>Migrationsartikel!N183</f>
        <v>Sacchi rifiuti</v>
      </c>
      <c r="X185">
        <f>Migrationsartikel!G183</f>
        <v>0</v>
      </c>
      <c r="Y185">
        <f>Migrationsartikel!K183</f>
        <v>0</v>
      </c>
      <c r="Z185">
        <f>Migrationsartikel!O183</f>
        <v>0</v>
      </c>
      <c r="AA185" s="31" t="str">
        <f>Migrationsartikel!H183</f>
        <v>17L</v>
      </c>
      <c r="AB185" s="31" t="str">
        <f>Migrationsartikel!L183</f>
        <v>17l</v>
      </c>
      <c r="AC185" s="31" t="str">
        <f>Migrationsartikel!P183</f>
        <v>17l</v>
      </c>
      <c r="AD185" t="str">
        <f>Migrationsartikel!I183</f>
        <v>Gebührensäcke 17L</v>
      </c>
      <c r="AE185" t="str">
        <f>Migrationsartikel!M183</f>
        <v>Sacs poubelles 17l</v>
      </c>
      <c r="AF185" t="str">
        <f>Migrationsartikel!Q183</f>
        <v>Sacchi rifiuti 17l</v>
      </c>
      <c r="AG185" s="45">
        <f>Migrationsartikel!R183</f>
        <v>1</v>
      </c>
      <c r="AH185" s="46" t="str">
        <f>Migrationsartikel!T183</f>
        <v>Stück</v>
      </c>
      <c r="AI185" s="46" t="str">
        <f t="shared" si="6"/>
        <v>7</v>
      </c>
      <c r="AJ185" s="46" t="s">
        <v>176</v>
      </c>
      <c r="AK185">
        <f>Migrationsartikel!S183</f>
        <v>1</v>
      </c>
      <c r="AL185">
        <f>Migrationsartikel!S183</f>
        <v>1</v>
      </c>
      <c r="AM185">
        <f>Migrationsartikel!S183</f>
        <v>1</v>
      </c>
      <c r="AN185" t="str">
        <f>Migrationsartikel!U183</f>
        <v>(PCE) Stück</v>
      </c>
      <c r="AO185" t="str">
        <f t="shared" si="7"/>
        <v>(PCE) Pièce</v>
      </c>
      <c r="AP185" t="str">
        <f t="shared" si="8"/>
        <v>(PCE) Pièce</v>
      </c>
      <c r="AQ185" s="31" t="s">
        <v>195</v>
      </c>
      <c r="AR185" s="47"/>
      <c r="AS185" s="47"/>
      <c r="AT185" s="31" t="s">
        <v>208</v>
      </c>
      <c r="AU185" s="47"/>
      <c r="AV185" s="47"/>
      <c r="AW185" t="str">
        <f>IF(Migrationsartikel!AB183="ja","true",FALSE)</f>
        <v>true</v>
      </c>
      <c r="AX185" t="str">
        <f>IF(Migrationsartikel!AC183="ja","true",FALSE)</f>
        <v>true</v>
      </c>
      <c r="AY185" t="str">
        <f>IF(Migrationsartikel!AD183="ja","true",FALSE)</f>
        <v>true</v>
      </c>
      <c r="AZ185" t="str">
        <f>IF(Migrationsartikel!AE183="ja","true",FALSE)</f>
        <v>true</v>
      </c>
      <c r="BA185" t="str">
        <f>IF(Migrationsartikel!AF183="ja","Denner Partner","")</f>
        <v/>
      </c>
      <c r="BB185" t="str">
        <f>IF(Migrationsartikel!AG183="ja","true","false")</f>
        <v>false</v>
      </c>
      <c r="BC185" t="s">
        <v>1923</v>
      </c>
      <c r="BD185" s="31" t="s">
        <v>235</v>
      </c>
      <c r="BE185" s="31" t="s">
        <v>233</v>
      </c>
    </row>
    <row r="186" spans="2:57" ht="21.75" customHeight="1" x14ac:dyDescent="0.45">
      <c r="B186" t="s">
        <v>115</v>
      </c>
      <c r="E186" s="31" t="s">
        <v>1612</v>
      </c>
      <c r="F186" t="str">
        <f>"Warengruppe&gt;&gt;"&amp;Migrationsartikel!V184&amp;"&gt;&gt;"&amp;Migrationsartikel!W184&amp;"&gt;&gt;"&amp;Migrationsartikel!X184</f>
        <v>Warengruppe&gt;&gt;Near Food&gt;&gt;Gebrauchsartikel&gt;&gt;Gebührensäcke und Marken</v>
      </c>
      <c r="J186" s="31" t="s">
        <v>125</v>
      </c>
      <c r="M186" s="31" t="s">
        <v>137</v>
      </c>
      <c r="P186" s="31">
        <f>Migrationsartikel!B184</f>
        <v>968</v>
      </c>
      <c r="R186" t="str">
        <f>Migrationsartikel!F184&amp;" "&amp;Migrationsartikel!G184&amp;" "&amp;Migrationsartikel!H184</f>
        <v>Gebührensäcke   35L</v>
      </c>
      <c r="S186" t="str">
        <f>Migrationsartikel!J184&amp;" "&amp;Migrationsartikel!K184&amp;" "&amp;Migrationsartikel!L184</f>
        <v>Sacs poubelles taxés  35l</v>
      </c>
      <c r="T186" t="str">
        <f>Migrationsartikel!N184&amp;" "&amp;Migrationsartikel!O184&amp;" "&amp;Migrationsartikel!P184</f>
        <v>Sacchi rifiuti  35l</v>
      </c>
      <c r="U186" t="str">
        <f>Migrationsartikel!F184</f>
        <v xml:space="preserve">Gebührensäcke </v>
      </c>
      <c r="V186" t="str">
        <f>Migrationsartikel!J184</f>
        <v>Sacs poubelles taxés</v>
      </c>
      <c r="W186" t="str">
        <f>Migrationsartikel!N184</f>
        <v>Sacchi rifiuti</v>
      </c>
      <c r="X186">
        <f>Migrationsartikel!G184</f>
        <v>0</v>
      </c>
      <c r="Y186">
        <f>Migrationsartikel!K184</f>
        <v>0</v>
      </c>
      <c r="Z186">
        <f>Migrationsartikel!O184</f>
        <v>0</v>
      </c>
      <c r="AA186" s="31" t="str">
        <f>Migrationsartikel!H184</f>
        <v>35L</v>
      </c>
      <c r="AB186" s="31" t="str">
        <f>Migrationsartikel!L184</f>
        <v>35l</v>
      </c>
      <c r="AC186" s="31" t="str">
        <f>Migrationsartikel!P184</f>
        <v>35l</v>
      </c>
      <c r="AD186" t="str">
        <f>Migrationsartikel!I184</f>
        <v>Gebührensäcke 35L</v>
      </c>
      <c r="AE186" t="str">
        <f>Migrationsartikel!M184</f>
        <v>Sacs poubelles 35l</v>
      </c>
      <c r="AF186" t="str">
        <f>Migrationsartikel!Q184</f>
        <v>Sacchi rifiuti 35l</v>
      </c>
      <c r="AG186" s="45">
        <f>Migrationsartikel!R184</f>
        <v>1</v>
      </c>
      <c r="AH186" s="46" t="str">
        <f>Migrationsartikel!T184</f>
        <v>Stück</v>
      </c>
      <c r="AI186" s="46" t="str">
        <f t="shared" si="6"/>
        <v>7</v>
      </c>
      <c r="AJ186" s="46" t="s">
        <v>176</v>
      </c>
      <c r="AK186">
        <f>Migrationsartikel!S184</f>
        <v>1</v>
      </c>
      <c r="AL186">
        <f>Migrationsartikel!S184</f>
        <v>1</v>
      </c>
      <c r="AM186">
        <f>Migrationsartikel!S184</f>
        <v>1</v>
      </c>
      <c r="AN186" t="str">
        <f>Migrationsartikel!U184</f>
        <v>(PCE) Stück</v>
      </c>
      <c r="AO186" t="str">
        <f t="shared" si="7"/>
        <v>(PCE) Pièce</v>
      </c>
      <c r="AP186" t="str">
        <f t="shared" si="8"/>
        <v>(PCE) Pièce</v>
      </c>
      <c r="AQ186" s="31" t="s">
        <v>195</v>
      </c>
      <c r="AR186" s="47"/>
      <c r="AS186" s="47"/>
      <c r="AT186" s="31" t="s">
        <v>208</v>
      </c>
      <c r="AU186" s="47"/>
      <c r="AV186" s="47"/>
      <c r="AW186" t="str">
        <f>IF(Migrationsartikel!AB184="ja","true",FALSE)</f>
        <v>true</v>
      </c>
      <c r="AX186" t="str">
        <f>IF(Migrationsartikel!AC184="ja","true",FALSE)</f>
        <v>true</v>
      </c>
      <c r="AY186" t="str">
        <f>IF(Migrationsartikel!AD184="ja","true",FALSE)</f>
        <v>true</v>
      </c>
      <c r="AZ186" t="str">
        <f>IF(Migrationsartikel!AE184="ja","true",FALSE)</f>
        <v>true</v>
      </c>
      <c r="BA186" t="str">
        <f>IF(Migrationsartikel!AF184="ja","Denner Partner","")</f>
        <v/>
      </c>
      <c r="BB186" t="str">
        <f>IF(Migrationsartikel!AG184="ja","true","false")</f>
        <v>false</v>
      </c>
      <c r="BC186" t="s">
        <v>1923</v>
      </c>
      <c r="BD186" s="31" t="s">
        <v>235</v>
      </c>
      <c r="BE186" s="31" t="s">
        <v>233</v>
      </c>
    </row>
    <row r="187" spans="2:57" ht="21.75" customHeight="1" x14ac:dyDescent="0.45">
      <c r="B187" t="s">
        <v>115</v>
      </c>
      <c r="E187" s="31" t="s">
        <v>1613</v>
      </c>
      <c r="F187" t="str">
        <f>"Warengruppe&gt;&gt;"&amp;Migrationsartikel!V185&amp;"&gt;&gt;"&amp;Migrationsartikel!W185&amp;"&gt;&gt;"&amp;Migrationsartikel!X185</f>
        <v>Warengruppe&gt;&gt;Near Food&gt;&gt;Gebrauchsartikel&gt;&gt;Gebührensäcke und Marken</v>
      </c>
      <c r="J187" s="31" t="s">
        <v>125</v>
      </c>
      <c r="M187" s="31" t="s">
        <v>137</v>
      </c>
      <c r="P187" s="31">
        <f>Migrationsartikel!B185</f>
        <v>969</v>
      </c>
      <c r="R187" t="str">
        <f>Migrationsartikel!F185&amp;" "&amp;Migrationsartikel!G185&amp;" "&amp;Migrationsartikel!H185</f>
        <v>Gebührensäcke   60L</v>
      </c>
      <c r="S187" t="str">
        <f>Migrationsartikel!J185&amp;" "&amp;Migrationsartikel!K185&amp;" "&amp;Migrationsartikel!L185</f>
        <v>Sacs poubelles taxés  60l</v>
      </c>
      <c r="T187" t="str">
        <f>Migrationsartikel!N185&amp;" "&amp;Migrationsartikel!O185&amp;" "&amp;Migrationsartikel!P185</f>
        <v>Sacchi rifiuti  60l</v>
      </c>
      <c r="U187" t="str">
        <f>Migrationsartikel!F185</f>
        <v xml:space="preserve">Gebührensäcke </v>
      </c>
      <c r="V187" t="str">
        <f>Migrationsartikel!J185</f>
        <v>Sacs poubelles taxés</v>
      </c>
      <c r="W187" t="str">
        <f>Migrationsartikel!N185</f>
        <v>Sacchi rifiuti</v>
      </c>
      <c r="X187">
        <f>Migrationsartikel!G185</f>
        <v>0</v>
      </c>
      <c r="Y187">
        <f>Migrationsartikel!K185</f>
        <v>0</v>
      </c>
      <c r="Z187">
        <f>Migrationsartikel!O185</f>
        <v>0</v>
      </c>
      <c r="AA187" s="31" t="str">
        <f>Migrationsartikel!H185</f>
        <v>60L</v>
      </c>
      <c r="AB187" s="31" t="str">
        <f>Migrationsartikel!L185</f>
        <v>60l</v>
      </c>
      <c r="AC187" s="31" t="str">
        <f>Migrationsartikel!P185</f>
        <v>60l</v>
      </c>
      <c r="AD187" t="str">
        <f>Migrationsartikel!I185</f>
        <v>Gebührensäcke 60L</v>
      </c>
      <c r="AE187" t="str">
        <f>Migrationsartikel!M185</f>
        <v>Sacs poubelles 60l</v>
      </c>
      <c r="AF187" t="str">
        <f>Migrationsartikel!Q185</f>
        <v>Sacchi rifiuti 60l</v>
      </c>
      <c r="AG187" s="45">
        <f>Migrationsartikel!R185</f>
        <v>1</v>
      </c>
      <c r="AH187" s="46" t="str">
        <f>Migrationsartikel!T185</f>
        <v>Stück</v>
      </c>
      <c r="AI187" s="46" t="str">
        <f t="shared" si="6"/>
        <v>7</v>
      </c>
      <c r="AJ187" s="46" t="s">
        <v>176</v>
      </c>
      <c r="AK187">
        <f>Migrationsartikel!S185</f>
        <v>1</v>
      </c>
      <c r="AL187">
        <f>Migrationsartikel!S185</f>
        <v>1</v>
      </c>
      <c r="AM187">
        <f>Migrationsartikel!S185</f>
        <v>1</v>
      </c>
      <c r="AN187" t="str">
        <f>Migrationsartikel!U185</f>
        <v>(PCE) Stück</v>
      </c>
      <c r="AO187" t="str">
        <f t="shared" si="7"/>
        <v>(PCE) Pièce</v>
      </c>
      <c r="AP187" t="str">
        <f t="shared" si="8"/>
        <v>(PCE) Pièce</v>
      </c>
      <c r="AQ187" s="31" t="s">
        <v>195</v>
      </c>
      <c r="AR187" s="47"/>
      <c r="AS187" s="47"/>
      <c r="AT187" s="31" t="s">
        <v>208</v>
      </c>
      <c r="AU187" s="47"/>
      <c r="AV187" s="47"/>
      <c r="AW187" t="str">
        <f>IF(Migrationsartikel!AB185="ja","true",FALSE)</f>
        <v>true</v>
      </c>
      <c r="AX187" t="str">
        <f>IF(Migrationsartikel!AC185="ja","true",FALSE)</f>
        <v>true</v>
      </c>
      <c r="AY187" t="str">
        <f>IF(Migrationsartikel!AD185="ja","true",FALSE)</f>
        <v>true</v>
      </c>
      <c r="AZ187" t="str">
        <f>IF(Migrationsartikel!AE185="ja","true",FALSE)</f>
        <v>true</v>
      </c>
      <c r="BA187" t="str">
        <f>IF(Migrationsartikel!AF185="ja","Denner Partner","")</f>
        <v/>
      </c>
      <c r="BB187" t="str">
        <f>IF(Migrationsartikel!AG185="ja","true","false")</f>
        <v>false</v>
      </c>
      <c r="BC187" t="s">
        <v>1923</v>
      </c>
      <c r="BD187" s="31" t="s">
        <v>235</v>
      </c>
      <c r="BE187" s="31" t="s">
        <v>233</v>
      </c>
    </row>
    <row r="188" spans="2:57" ht="21.75" customHeight="1" x14ac:dyDescent="0.45">
      <c r="B188" t="s">
        <v>115</v>
      </c>
      <c r="E188" s="31" t="s">
        <v>1614</v>
      </c>
      <c r="F188" t="str">
        <f>"Warengruppe&gt;&gt;"&amp;Migrationsartikel!V186&amp;"&gt;&gt;"&amp;Migrationsartikel!W186&amp;"&gt;&gt;"&amp;Migrationsartikel!X186</f>
        <v>Warengruppe&gt;&gt;Near Food&gt;&gt;Gebrauchsartikel&gt;&gt;Gebührensäcke und Marken</v>
      </c>
      <c r="J188" s="31" t="s">
        <v>125</v>
      </c>
      <c r="M188" s="31" t="s">
        <v>137</v>
      </c>
      <c r="P188" s="31">
        <f>Migrationsartikel!B186</f>
        <v>970</v>
      </c>
      <c r="R188" t="str">
        <f>Migrationsartikel!F186&amp;" "&amp;Migrationsartikel!G186&amp;" "&amp;Migrationsartikel!H186</f>
        <v>Plastikmüllsäcke  1Stk</v>
      </c>
      <c r="S188" t="str">
        <f>Migrationsartikel!J186&amp;" "&amp;Migrationsartikel!K186&amp;" "&amp;Migrationsartikel!L186</f>
        <v>Sacs poubelles plast.  1pce</v>
      </c>
      <c r="T188" t="str">
        <f>Migrationsartikel!N186&amp;" "&amp;Migrationsartikel!O186&amp;" "&amp;Migrationsartikel!P186</f>
        <v>Sacchi rifiuti plast.  1pz</v>
      </c>
      <c r="U188" t="str">
        <f>Migrationsartikel!F186</f>
        <v>Plastikmüllsäcke</v>
      </c>
      <c r="V188" t="str">
        <f>Migrationsartikel!J186</f>
        <v>Sacs poubelles plast.</v>
      </c>
      <c r="W188" t="str">
        <f>Migrationsartikel!N186</f>
        <v>Sacchi rifiuti plast.</v>
      </c>
      <c r="X188">
        <f>Migrationsartikel!G186</f>
        <v>0</v>
      </c>
      <c r="Y188">
        <f>Migrationsartikel!K186</f>
        <v>0</v>
      </c>
      <c r="Z188">
        <f>Migrationsartikel!O186</f>
        <v>0</v>
      </c>
      <c r="AA188" s="31" t="str">
        <f>Migrationsartikel!H186</f>
        <v>1Stk</v>
      </c>
      <c r="AB188" s="31" t="str">
        <f>Migrationsartikel!L186</f>
        <v>1pce</v>
      </c>
      <c r="AC188" s="31" t="str">
        <f>Migrationsartikel!P186</f>
        <v>1pz</v>
      </c>
      <c r="AD188" t="str">
        <f>Migrationsartikel!I186</f>
        <v>Plastikmüllsäcke</v>
      </c>
      <c r="AE188" t="str">
        <f>Migrationsartikel!M186</f>
        <v>Sacs poubelles plast.</v>
      </c>
      <c r="AF188" t="str">
        <f>Migrationsartikel!Q186</f>
        <v>Sacchi rifiuti plast.</v>
      </c>
      <c r="AG188" s="45">
        <f>Migrationsartikel!R186</f>
        <v>1</v>
      </c>
      <c r="AH188" s="46" t="str">
        <f>Migrationsartikel!T186</f>
        <v>Stück</v>
      </c>
      <c r="AI188" s="46" t="str">
        <f t="shared" si="6"/>
        <v>7</v>
      </c>
      <c r="AJ188" s="46" t="s">
        <v>176</v>
      </c>
      <c r="AK188">
        <f>Migrationsartikel!S186</f>
        <v>1</v>
      </c>
      <c r="AL188">
        <f>Migrationsartikel!S186</f>
        <v>1</v>
      </c>
      <c r="AM188">
        <f>Migrationsartikel!S186</f>
        <v>1</v>
      </c>
      <c r="AN188" t="str">
        <f>Migrationsartikel!U186</f>
        <v>(PCE) Stück</v>
      </c>
      <c r="AO188" t="str">
        <f t="shared" si="7"/>
        <v>(PCE) Pièce</v>
      </c>
      <c r="AP188" t="str">
        <f t="shared" si="8"/>
        <v>(PCE) Pièce</v>
      </c>
      <c r="AQ188" s="31" t="s">
        <v>195</v>
      </c>
      <c r="AR188" s="47"/>
      <c r="AS188" s="47"/>
      <c r="AT188" s="31" t="s">
        <v>208</v>
      </c>
      <c r="AU188" s="47"/>
      <c r="AV188" s="47"/>
      <c r="AW188" t="str">
        <f>IF(Migrationsartikel!AB186="ja","true",FALSE)</f>
        <v>true</v>
      </c>
      <c r="AX188" t="str">
        <f>IF(Migrationsartikel!AC186="ja","true",FALSE)</f>
        <v>true</v>
      </c>
      <c r="AY188" t="str">
        <f>IF(Migrationsartikel!AD186="ja","true",FALSE)</f>
        <v>true</v>
      </c>
      <c r="AZ188" t="str">
        <f>IF(Migrationsartikel!AE186="ja","true",FALSE)</f>
        <v>true</v>
      </c>
      <c r="BA188" t="str">
        <f>IF(Migrationsartikel!AF186="ja","Denner Partner","")</f>
        <v/>
      </c>
      <c r="BB188" t="str">
        <f>IF(Migrationsartikel!AG186="ja","true","false")</f>
        <v>false</v>
      </c>
      <c r="BC188" t="s">
        <v>1923</v>
      </c>
      <c r="BD188" s="31" t="s">
        <v>235</v>
      </c>
      <c r="BE188" s="31" t="s">
        <v>233</v>
      </c>
    </row>
    <row r="189" spans="2:57" ht="21.75" customHeight="1" x14ac:dyDescent="0.45">
      <c r="B189" t="s">
        <v>115</v>
      </c>
      <c r="E189" s="31" t="s">
        <v>1615</v>
      </c>
      <c r="F189" t="str">
        <f>"Warengruppe&gt;&gt;"&amp;Migrationsartikel!V187&amp;"&gt;&gt;"&amp;Migrationsartikel!W187&amp;"&gt;&gt;"&amp;Migrationsartikel!X187</f>
        <v>Warengruppe&gt;&gt;Nicht-Handelsware&gt;&gt;Non-Merchandise&gt;&gt;Dienstleistungen</v>
      </c>
      <c r="J189" s="31" t="s">
        <v>125</v>
      </c>
      <c r="M189" s="31" t="s">
        <v>137</v>
      </c>
      <c r="P189" s="31">
        <f>Migrationsartikel!B187</f>
        <v>971</v>
      </c>
      <c r="R189" t="str">
        <f>Migrationsartikel!F187&amp;" "&amp;Migrationsartikel!G187&amp;" "&amp;Migrationsartikel!H187</f>
        <v>Lieferpauschale  1Stk</v>
      </c>
      <c r="S189" t="str">
        <f>Migrationsartikel!J187&amp;" "&amp;Migrationsartikel!K187&amp;" "&amp;Migrationsartikel!L187</f>
        <v>Frais de livraison  1pce</v>
      </c>
      <c r="T189" t="str">
        <f>Migrationsartikel!N187&amp;" "&amp;Migrationsartikel!O187&amp;" "&amp;Migrationsartikel!P187</f>
        <v>Costi di consegna  1pz</v>
      </c>
      <c r="U189" t="str">
        <f>Migrationsartikel!F187</f>
        <v>Lieferpauschale</v>
      </c>
      <c r="V189" t="str">
        <f>Migrationsartikel!J187</f>
        <v>Frais de livraison</v>
      </c>
      <c r="W189" t="str">
        <f>Migrationsartikel!N187</f>
        <v>Costi di consegna</v>
      </c>
      <c r="X189">
        <f>Migrationsartikel!G187</f>
        <v>0</v>
      </c>
      <c r="Y189">
        <f>Migrationsartikel!K187</f>
        <v>0</v>
      </c>
      <c r="Z189">
        <f>Migrationsartikel!O187</f>
        <v>0</v>
      </c>
      <c r="AA189" s="31" t="str">
        <f>Migrationsartikel!H187</f>
        <v>1Stk</v>
      </c>
      <c r="AB189" s="31" t="str">
        <f>Migrationsartikel!L187</f>
        <v>1pce</v>
      </c>
      <c r="AC189" s="31" t="str">
        <f>Migrationsartikel!P187</f>
        <v>1pz</v>
      </c>
      <c r="AD189" t="str">
        <f>Migrationsartikel!I187</f>
        <v>Lieferpauschale</v>
      </c>
      <c r="AE189" t="str">
        <f>Migrationsartikel!M187</f>
        <v>Frais de livraison</v>
      </c>
      <c r="AF189" t="str">
        <f>Migrationsartikel!Q187</f>
        <v>Costi di consegna</v>
      </c>
      <c r="AG189" s="45">
        <f>Migrationsartikel!R187</f>
        <v>1</v>
      </c>
      <c r="AH189" s="46" t="str">
        <f>Migrationsartikel!T187</f>
        <v>Stück</v>
      </c>
      <c r="AI189" s="46" t="str">
        <f t="shared" si="6"/>
        <v>7</v>
      </c>
      <c r="AJ189" s="46" t="s">
        <v>176</v>
      </c>
      <c r="AK189">
        <f>Migrationsartikel!S187</f>
        <v>1</v>
      </c>
      <c r="AL189">
        <f>Migrationsartikel!S187</f>
        <v>1</v>
      </c>
      <c r="AM189">
        <f>Migrationsartikel!S187</f>
        <v>1</v>
      </c>
      <c r="AN189" t="str">
        <f>Migrationsartikel!U187</f>
        <v>(PCE) Stück</v>
      </c>
      <c r="AO189" t="str">
        <f t="shared" si="7"/>
        <v>(PCE) Pièce</v>
      </c>
      <c r="AP189" t="str">
        <f t="shared" si="8"/>
        <v>(PCE) Pièce</v>
      </c>
      <c r="AQ189" s="31" t="s">
        <v>195</v>
      </c>
      <c r="AR189" s="47"/>
      <c r="AS189" s="47"/>
      <c r="AT189" s="31" t="s">
        <v>208</v>
      </c>
      <c r="AU189" s="47"/>
      <c r="AV189" s="47"/>
      <c r="AW189" t="str">
        <f>IF(Migrationsartikel!AB187="ja","true",FALSE)</f>
        <v>true</v>
      </c>
      <c r="AX189" t="str">
        <f>IF(Migrationsartikel!AC187="ja","true",FALSE)</f>
        <v>true</v>
      </c>
      <c r="AY189" t="str">
        <f>IF(Migrationsartikel!AD187="ja","true",FALSE)</f>
        <v>true</v>
      </c>
      <c r="AZ189" t="str">
        <f>IF(Migrationsartikel!AE187="ja","true",FALSE)</f>
        <v>true</v>
      </c>
      <c r="BA189" t="str">
        <f>IF(Migrationsartikel!AF187="ja","Denner Partner","")</f>
        <v/>
      </c>
      <c r="BB189" t="str">
        <f>IF(Migrationsartikel!AG187="ja","true","false")</f>
        <v>false</v>
      </c>
      <c r="BC189" t="s">
        <v>1923</v>
      </c>
      <c r="BD189" s="31" t="s">
        <v>235</v>
      </c>
      <c r="BE189" s="31" t="s">
        <v>233</v>
      </c>
    </row>
    <row r="190" spans="2:57" ht="21.75" customHeight="1" x14ac:dyDescent="0.45">
      <c r="B190" t="s">
        <v>115</v>
      </c>
      <c r="E190" s="31" t="s">
        <v>1616</v>
      </c>
      <c r="F190" t="str">
        <f>"Warengruppe&gt;&gt;"&amp;Migrationsartikel!V188&amp;"&gt;&gt;"&amp;Migrationsartikel!W188&amp;"&gt;&gt;"&amp;Migrationsartikel!X188</f>
        <v>Warengruppe&gt;&gt;Nicht-Handelsware&gt;&gt;Kasse&gt;&gt;Gutschein, Voucher</v>
      </c>
      <c r="J190" s="31" t="s">
        <v>125</v>
      </c>
      <c r="M190" s="31" t="s">
        <v>137</v>
      </c>
      <c r="P190" s="31">
        <f>Migrationsartikel!B188</f>
        <v>972</v>
      </c>
      <c r="R190" t="str">
        <f>Migrationsartikel!F188&amp;" "&amp;Migrationsartikel!G188&amp;" "&amp;Migrationsartikel!H188</f>
        <v>Gutschein  1Stk</v>
      </c>
      <c r="S190" t="str">
        <f>Migrationsartikel!J188&amp;" "&amp;Migrationsartikel!K188&amp;" "&amp;Migrationsartikel!L188</f>
        <v>Bon cadeau  1pce</v>
      </c>
      <c r="T190" t="str">
        <f>Migrationsartikel!N188&amp;" "&amp;Migrationsartikel!O188&amp;" "&amp;Migrationsartikel!P188</f>
        <v>Buono regalo   1pz</v>
      </c>
      <c r="U190" t="str">
        <f>Migrationsartikel!F188</f>
        <v>Gutschein</v>
      </c>
      <c r="V190" t="str">
        <f>Migrationsartikel!J188</f>
        <v>Bon cadeau</v>
      </c>
      <c r="W190" t="str">
        <f>Migrationsartikel!N188</f>
        <v xml:space="preserve">Buono regalo </v>
      </c>
      <c r="X190">
        <f>Migrationsartikel!G188</f>
        <v>0</v>
      </c>
      <c r="Y190">
        <f>Migrationsartikel!K188</f>
        <v>0</v>
      </c>
      <c r="Z190">
        <f>Migrationsartikel!O188</f>
        <v>0</v>
      </c>
      <c r="AA190" s="31" t="str">
        <f>Migrationsartikel!H188</f>
        <v>1Stk</v>
      </c>
      <c r="AB190" s="31" t="str">
        <f>Migrationsartikel!L188</f>
        <v>1pce</v>
      </c>
      <c r="AC190" s="31" t="str">
        <f>Migrationsartikel!P188</f>
        <v>1pz</v>
      </c>
      <c r="AD190" t="str">
        <f>Migrationsartikel!I188</f>
        <v>Gutschein</v>
      </c>
      <c r="AE190" t="str">
        <f>Migrationsartikel!M188</f>
        <v>Bon cadeau</v>
      </c>
      <c r="AF190" t="str">
        <f>Migrationsartikel!Q188</f>
        <v xml:space="preserve">Buono regalo </v>
      </c>
      <c r="AG190" s="45">
        <f>Migrationsartikel!R188</f>
        <v>1</v>
      </c>
      <c r="AH190" s="46" t="str">
        <f>Migrationsartikel!T188</f>
        <v>Stück</v>
      </c>
      <c r="AI190" s="46" t="str">
        <f t="shared" si="6"/>
        <v>7</v>
      </c>
      <c r="AJ190" s="46" t="s">
        <v>176</v>
      </c>
      <c r="AK190">
        <f>Migrationsartikel!S188</f>
        <v>1</v>
      </c>
      <c r="AL190">
        <f>Migrationsartikel!S188</f>
        <v>1</v>
      </c>
      <c r="AM190">
        <f>Migrationsartikel!S188</f>
        <v>1</v>
      </c>
      <c r="AN190" t="str">
        <f>Migrationsartikel!U188</f>
        <v>(PCE) Stück</v>
      </c>
      <c r="AO190" t="str">
        <f t="shared" si="7"/>
        <v>(PCE) Pièce</v>
      </c>
      <c r="AP190" t="str">
        <f t="shared" si="8"/>
        <v>(PCE) Pièce</v>
      </c>
      <c r="AQ190" s="31" t="s">
        <v>195</v>
      </c>
      <c r="AR190" s="47"/>
      <c r="AS190" s="47"/>
      <c r="AT190" s="31" t="s">
        <v>208</v>
      </c>
      <c r="AU190" s="47"/>
      <c r="AV190" s="47"/>
      <c r="AW190" t="str">
        <f>IF(Migrationsartikel!AB188="ja","true",FALSE)</f>
        <v>true</v>
      </c>
      <c r="AX190" t="str">
        <f>IF(Migrationsartikel!AC188="ja","true",FALSE)</f>
        <v>true</v>
      </c>
      <c r="AY190" t="str">
        <f>IF(Migrationsartikel!AD188="ja","true",FALSE)</f>
        <v>true</v>
      </c>
      <c r="AZ190" t="str">
        <f>IF(Migrationsartikel!AE188="ja","true",FALSE)</f>
        <v>true</v>
      </c>
      <c r="BA190" t="str">
        <f>IF(Migrationsartikel!AF188="ja","Denner Partner","")</f>
        <v/>
      </c>
      <c r="BB190" t="str">
        <f>IF(Migrationsartikel!AG188="ja","true","false")</f>
        <v>true</v>
      </c>
      <c r="BC190" t="s">
        <v>1923</v>
      </c>
      <c r="BD190" s="31" t="s">
        <v>235</v>
      </c>
      <c r="BE190" s="31" t="s">
        <v>233</v>
      </c>
    </row>
    <row r="191" spans="2:57" ht="21.75" customHeight="1" x14ac:dyDescent="0.45">
      <c r="B191" t="s">
        <v>115</v>
      </c>
      <c r="E191" s="31" t="s">
        <v>1617</v>
      </c>
      <c r="F191" t="str">
        <f>"Warengruppe&gt;&gt;"&amp;Migrationsartikel!V189&amp;"&gt;&gt;"&amp;Migrationsartikel!W189&amp;"&gt;&gt;"&amp;Migrationsartikel!X189</f>
        <v>Warengruppe&gt;&gt;Wein&gt;&gt;Weine&gt;&gt;Wein andere</v>
      </c>
      <c r="J191" s="31" t="s">
        <v>125</v>
      </c>
      <c r="M191" s="31" t="s">
        <v>137</v>
      </c>
      <c r="P191" s="31">
        <f>Migrationsartikel!B189</f>
        <v>916</v>
      </c>
      <c r="R191" t="str">
        <f>Migrationsartikel!F189&amp;" "&amp;Migrationsartikel!G189&amp;" "&amp;Migrationsartikel!H189</f>
        <v>Vin cuit aus der Region 50cl</v>
      </c>
      <c r="S191" t="str">
        <f>Migrationsartikel!J189&amp;" "&amp;Migrationsartikel!K189&amp;" "&amp;Migrationsartikel!L189</f>
        <v>Vin cuit  de la région 50cl</v>
      </c>
      <c r="T191" t="str">
        <f>Migrationsartikel!N189&amp;" "&amp;Migrationsartikel!O189&amp;" "&amp;Migrationsartikel!P189</f>
        <v>Vin cuit della regione 50cl</v>
      </c>
      <c r="U191" t="str">
        <f>Migrationsartikel!F189</f>
        <v>Vin cuit</v>
      </c>
      <c r="V191" t="str">
        <f>Migrationsartikel!J189</f>
        <v xml:space="preserve">Vin cuit </v>
      </c>
      <c r="W191" t="str">
        <f>Migrationsartikel!N189</f>
        <v>Vin cuit</v>
      </c>
      <c r="X191" t="str">
        <f>Migrationsartikel!G189</f>
        <v>aus der Region</v>
      </c>
      <c r="Y191" t="str">
        <f>Migrationsartikel!K189</f>
        <v>de la région</v>
      </c>
      <c r="Z191" t="str">
        <f>Migrationsartikel!O189</f>
        <v>della regione</v>
      </c>
      <c r="AA191" s="31" t="str">
        <f>Migrationsartikel!H189</f>
        <v>50cl</v>
      </c>
      <c r="AB191" s="31" t="str">
        <f>Migrationsartikel!L189</f>
        <v>50cl</v>
      </c>
      <c r="AC191" s="31" t="str">
        <f>Migrationsartikel!P189</f>
        <v>50cl</v>
      </c>
      <c r="AD191" t="str">
        <f>Migrationsartikel!I189</f>
        <v>Vin cuit 50cl</v>
      </c>
      <c r="AE191" t="str">
        <f>Migrationsartikel!M189</f>
        <v>Vin cuit 50cl</v>
      </c>
      <c r="AF191" t="str">
        <f>Migrationsartikel!Q189</f>
        <v>Vin cuit 50cl</v>
      </c>
      <c r="AG191" s="45">
        <f>Migrationsartikel!R189</f>
        <v>0.5</v>
      </c>
      <c r="AH191" s="46" t="str">
        <f>Migrationsartikel!T189</f>
        <v>Stück</v>
      </c>
      <c r="AI191" s="46" t="str">
        <f t="shared" si="6"/>
        <v>7</v>
      </c>
      <c r="AJ191" s="46" t="s">
        <v>176</v>
      </c>
      <c r="AK191">
        <f>Migrationsartikel!S189</f>
        <v>1</v>
      </c>
      <c r="AL191">
        <f>Migrationsartikel!S189</f>
        <v>1</v>
      </c>
      <c r="AM191">
        <f>Migrationsartikel!S189</f>
        <v>1</v>
      </c>
      <c r="AN191" t="str">
        <f>Migrationsartikel!U189</f>
        <v>(PCE) Stück</v>
      </c>
      <c r="AO191" t="str">
        <f t="shared" si="7"/>
        <v>(PCE) Pièce</v>
      </c>
      <c r="AP191" t="str">
        <f t="shared" si="8"/>
        <v>(PCE) Pièce</v>
      </c>
      <c r="AQ191" s="31" t="s">
        <v>195</v>
      </c>
      <c r="AR191" s="47"/>
      <c r="AS191" s="47"/>
      <c r="AT191" s="31" t="s">
        <v>208</v>
      </c>
      <c r="AU191" s="47"/>
      <c r="AV191" s="47"/>
      <c r="AW191" t="str">
        <f>IF(Migrationsartikel!AB189="ja","true",FALSE)</f>
        <v>true</v>
      </c>
      <c r="AX191" t="str">
        <f>IF(Migrationsartikel!AC189="ja","true",FALSE)</f>
        <v>true</v>
      </c>
      <c r="AY191" t="str">
        <f>IF(Migrationsartikel!AD189="ja","true",FALSE)</f>
        <v>true</v>
      </c>
      <c r="AZ191" t="str">
        <f>IF(Migrationsartikel!AE189="ja","true",FALSE)</f>
        <v>true</v>
      </c>
      <c r="BA191" t="str">
        <f>IF(Migrationsartikel!AF189="ja","Denner Partner","")</f>
        <v/>
      </c>
      <c r="BB191" t="str">
        <f>IF(Migrationsartikel!AG189="ja","true","false")</f>
        <v>false</v>
      </c>
      <c r="BC191" t="s">
        <v>1923</v>
      </c>
      <c r="BD191" s="31" t="s">
        <v>235</v>
      </c>
      <c r="BE191" s="31" t="s">
        <v>233</v>
      </c>
    </row>
    <row r="192" spans="2:57" ht="21.75" customHeight="1" x14ac:dyDescent="0.45">
      <c r="B192" t="s">
        <v>115</v>
      </c>
      <c r="E192" s="31" t="s">
        <v>1618</v>
      </c>
      <c r="F192" t="str">
        <f>"Warengruppe&gt;&gt;"&amp;Migrationsartikel!V190&amp;"&gt;&gt;"&amp;Migrationsartikel!W190&amp;"&gt;&gt;"&amp;Migrationsartikel!X190</f>
        <v>Warengruppe&gt;&gt;Wein&gt;&gt;Weine&gt;&gt;Wein andere</v>
      </c>
      <c r="J192" s="31" t="s">
        <v>125</v>
      </c>
      <c r="M192" s="31" t="s">
        <v>137</v>
      </c>
      <c r="P192" s="31">
        <f>Migrationsartikel!B190</f>
        <v>917</v>
      </c>
      <c r="R192" t="str">
        <f>Migrationsartikel!F190&amp;" "&amp;Migrationsartikel!G190&amp;" "&amp;Migrationsartikel!H190</f>
        <v>Vin cuit  aus der Region 75cl</v>
      </c>
      <c r="S192" t="str">
        <f>Migrationsartikel!J190&amp;" "&amp;Migrationsartikel!K190&amp;" "&amp;Migrationsartikel!L190</f>
        <v>Vin cuit  de la région 75cl</v>
      </c>
      <c r="T192" t="str">
        <f>Migrationsartikel!N190&amp;" "&amp;Migrationsartikel!O190&amp;" "&amp;Migrationsartikel!P190</f>
        <v>Vin cuit della regione 75cl</v>
      </c>
      <c r="U192" t="str">
        <f>Migrationsartikel!F190</f>
        <v xml:space="preserve">Vin cuit </v>
      </c>
      <c r="V192" t="str">
        <f>Migrationsartikel!J190</f>
        <v xml:space="preserve">Vin cuit </v>
      </c>
      <c r="W192" t="str">
        <f>Migrationsartikel!N190</f>
        <v>Vin cuit</v>
      </c>
      <c r="X192" t="str">
        <f>Migrationsartikel!G190</f>
        <v>aus der Region</v>
      </c>
      <c r="Y192" t="str">
        <f>Migrationsartikel!K190</f>
        <v>de la région</v>
      </c>
      <c r="Z192" t="str">
        <f>Migrationsartikel!O190</f>
        <v>della regione</v>
      </c>
      <c r="AA192" s="31" t="str">
        <f>Migrationsartikel!H190</f>
        <v>75cl</v>
      </c>
      <c r="AB192" s="31" t="str">
        <f>Migrationsartikel!L190</f>
        <v>75cl</v>
      </c>
      <c r="AC192" s="31" t="str">
        <f>Migrationsartikel!P190</f>
        <v>75cl</v>
      </c>
      <c r="AD192" t="str">
        <f>Migrationsartikel!I190</f>
        <v>Vin cuit 75cl</v>
      </c>
      <c r="AE192" t="str">
        <f>Migrationsartikel!M190</f>
        <v>Vin cuit 75cl</v>
      </c>
      <c r="AF192" t="str">
        <f>Migrationsartikel!Q190</f>
        <v>Vin cuit 75cl</v>
      </c>
      <c r="AG192" s="45">
        <f>Migrationsartikel!R190</f>
        <v>0.75</v>
      </c>
      <c r="AH192" s="46" t="str">
        <f>Migrationsartikel!T190</f>
        <v>Stück</v>
      </c>
      <c r="AI192" s="46" t="str">
        <f t="shared" si="6"/>
        <v>7</v>
      </c>
      <c r="AJ192" s="46" t="s">
        <v>176</v>
      </c>
      <c r="AK192">
        <f>Migrationsartikel!S190</f>
        <v>1</v>
      </c>
      <c r="AL192">
        <f>Migrationsartikel!S190</f>
        <v>1</v>
      </c>
      <c r="AM192">
        <f>Migrationsartikel!S190</f>
        <v>1</v>
      </c>
      <c r="AN192" t="str">
        <f>Migrationsartikel!U190</f>
        <v>(PCE) Stück</v>
      </c>
      <c r="AO192" t="str">
        <f t="shared" si="7"/>
        <v>(PCE) Pièce</v>
      </c>
      <c r="AP192" t="str">
        <f t="shared" si="8"/>
        <v>(PCE) Pièce</v>
      </c>
      <c r="AQ192" s="31" t="s">
        <v>195</v>
      </c>
      <c r="AR192" s="47"/>
      <c r="AS192" s="47"/>
      <c r="AT192" s="31" t="s">
        <v>208</v>
      </c>
      <c r="AU192" s="47"/>
      <c r="AV192" s="47"/>
      <c r="AW192" t="str">
        <f>IF(Migrationsartikel!AB190="ja","true",FALSE)</f>
        <v>true</v>
      </c>
      <c r="AX192" t="str">
        <f>IF(Migrationsartikel!AC190="ja","true",FALSE)</f>
        <v>true</v>
      </c>
      <c r="AY192" t="str">
        <f>IF(Migrationsartikel!AD190="ja","true",FALSE)</f>
        <v>true</v>
      </c>
      <c r="AZ192" t="str">
        <f>IF(Migrationsartikel!AE190="ja","true",FALSE)</f>
        <v>true</v>
      </c>
      <c r="BA192" t="str">
        <f>IF(Migrationsartikel!AF190="ja","Denner Partner","")</f>
        <v/>
      </c>
      <c r="BB192" t="str">
        <f>IF(Migrationsartikel!AG190="ja","true","false")</f>
        <v>false</v>
      </c>
      <c r="BC192" t="s">
        <v>1923</v>
      </c>
      <c r="BD192" s="31" t="s">
        <v>235</v>
      </c>
      <c r="BE192" s="31" t="s">
        <v>233</v>
      </c>
    </row>
    <row r="193" spans="2:57" ht="21.75" customHeight="1" x14ac:dyDescent="0.45">
      <c r="B193" t="s">
        <v>115</v>
      </c>
      <c r="E193" s="31" t="s">
        <v>1619</v>
      </c>
      <c r="F193" t="str">
        <f>"Warengruppe&gt;&gt;"&amp;Migrationsartikel!V191&amp;"&gt;&gt;"&amp;Migrationsartikel!W191&amp;"&gt;&gt;"&amp;Migrationsartikel!X191</f>
        <v>Warengruppe&gt;&gt;Wein&gt;&gt;Weine&gt;&gt;Wein andere</v>
      </c>
      <c r="J193" s="31" t="s">
        <v>125</v>
      </c>
      <c r="M193" s="31" t="s">
        <v>137</v>
      </c>
      <c r="P193" s="31">
        <f>Migrationsartikel!B191</f>
        <v>918</v>
      </c>
      <c r="R193" t="str">
        <f>Migrationsartikel!F191&amp;" "&amp;Migrationsartikel!G191&amp;" "&amp;Migrationsartikel!H191</f>
        <v>Vin cuit  aus der Region 1l</v>
      </c>
      <c r="S193" t="str">
        <f>Migrationsartikel!J191&amp;" "&amp;Migrationsartikel!K191&amp;" "&amp;Migrationsartikel!L191</f>
        <v>Vin cuit  de la région 1l</v>
      </c>
      <c r="T193" t="str">
        <f>Migrationsartikel!N191&amp;" "&amp;Migrationsartikel!O191&amp;" "&amp;Migrationsartikel!P191</f>
        <v>Vin cuit della regione 1l</v>
      </c>
      <c r="U193" t="str">
        <f>Migrationsartikel!F191</f>
        <v xml:space="preserve">Vin cuit </v>
      </c>
      <c r="V193" t="str">
        <f>Migrationsartikel!J191</f>
        <v xml:space="preserve">Vin cuit </v>
      </c>
      <c r="W193" t="str">
        <f>Migrationsartikel!N191</f>
        <v>Vin cuit</v>
      </c>
      <c r="X193" t="str">
        <f>Migrationsartikel!G191</f>
        <v>aus der Region</v>
      </c>
      <c r="Y193" t="str">
        <f>Migrationsartikel!K191</f>
        <v>de la région</v>
      </c>
      <c r="Z193" t="str">
        <f>Migrationsartikel!O191</f>
        <v>della regione</v>
      </c>
      <c r="AA193" s="31" t="str">
        <f>Migrationsartikel!H191</f>
        <v>1l</v>
      </c>
      <c r="AB193" s="31" t="str">
        <f>Migrationsartikel!L191</f>
        <v>1l</v>
      </c>
      <c r="AC193" s="31" t="str">
        <f>Migrationsartikel!P191</f>
        <v>1l</v>
      </c>
      <c r="AD193" t="str">
        <f>Migrationsartikel!I191</f>
        <v>Vin cuit 1l</v>
      </c>
      <c r="AE193" t="str">
        <f>Migrationsartikel!M191</f>
        <v>Vin cuit 1l</v>
      </c>
      <c r="AF193" t="str">
        <f>Migrationsartikel!Q191</f>
        <v>Vin cuit 1l</v>
      </c>
      <c r="AG193" s="45">
        <f>Migrationsartikel!R191</f>
        <v>1</v>
      </c>
      <c r="AH193" s="46" t="str">
        <f>Migrationsartikel!T191</f>
        <v>Stück</v>
      </c>
      <c r="AI193" s="46" t="str">
        <f t="shared" si="6"/>
        <v>7</v>
      </c>
      <c r="AJ193" s="46" t="s">
        <v>176</v>
      </c>
      <c r="AK193">
        <f>Migrationsartikel!S191</f>
        <v>1</v>
      </c>
      <c r="AL193">
        <f>Migrationsartikel!S191</f>
        <v>1</v>
      </c>
      <c r="AM193">
        <f>Migrationsartikel!S191</f>
        <v>1</v>
      </c>
      <c r="AN193" t="str">
        <f>Migrationsartikel!U191</f>
        <v>(PCE) Stück</v>
      </c>
      <c r="AO193" t="str">
        <f t="shared" si="7"/>
        <v>(PCE) Pièce</v>
      </c>
      <c r="AP193" t="str">
        <f t="shared" si="8"/>
        <v>(PCE) Pièce</v>
      </c>
      <c r="AQ193" s="31" t="s">
        <v>195</v>
      </c>
      <c r="AR193" s="47"/>
      <c r="AS193" s="47"/>
      <c r="AT193" s="31" t="s">
        <v>208</v>
      </c>
      <c r="AU193" s="47"/>
      <c r="AV193" s="47"/>
      <c r="AW193" t="str">
        <f>IF(Migrationsartikel!AB191="ja","true",FALSE)</f>
        <v>true</v>
      </c>
      <c r="AX193" t="str">
        <f>IF(Migrationsartikel!AC191="ja","true",FALSE)</f>
        <v>true</v>
      </c>
      <c r="AY193" t="str">
        <f>IF(Migrationsartikel!AD191="ja","true",FALSE)</f>
        <v>true</v>
      </c>
      <c r="AZ193" t="str">
        <f>IF(Migrationsartikel!AE191="ja","true",FALSE)</f>
        <v>true</v>
      </c>
      <c r="BA193" t="str">
        <f>IF(Migrationsartikel!AF191="ja","Denner Partner","")</f>
        <v/>
      </c>
      <c r="BB193" t="str">
        <f>IF(Migrationsartikel!AG191="ja","true","false")</f>
        <v>false</v>
      </c>
      <c r="BC193" t="s">
        <v>1923</v>
      </c>
      <c r="BD193" s="31" t="s">
        <v>235</v>
      </c>
      <c r="BE193" s="31" t="s">
        <v>233</v>
      </c>
    </row>
    <row r="194" spans="2:57" ht="21.75" customHeight="1" x14ac:dyDescent="0.45">
      <c r="B194" t="s">
        <v>115</v>
      </c>
      <c r="E194" s="31" t="s">
        <v>1620</v>
      </c>
      <c r="F194" t="str">
        <f>"Warengruppe&gt;&gt;"&amp;Migrationsartikel!V192&amp;"&gt;&gt;"&amp;Migrationsartikel!W192&amp;"&gt;&gt;"&amp;Migrationsartikel!X192</f>
        <v>Warengruppe&gt;&gt;Wein&gt;&gt;Weine&gt;&gt;Wein andere</v>
      </c>
      <c r="J194" s="31" t="s">
        <v>125</v>
      </c>
      <c r="M194" s="31" t="s">
        <v>137</v>
      </c>
      <c r="P194" s="31">
        <f>Migrationsartikel!B192</f>
        <v>919</v>
      </c>
      <c r="R194" t="str">
        <f>Migrationsartikel!F192&amp;" "&amp;Migrationsartikel!G192&amp;" "&amp;Migrationsartikel!H192</f>
        <v>Wein aus der Region 1l</v>
      </c>
      <c r="S194" t="str">
        <f>Migrationsartikel!J192&amp;" "&amp;Migrationsartikel!K192&amp;" "&amp;Migrationsartikel!L192</f>
        <v>Vin  de la région 1l</v>
      </c>
      <c r="T194" t="str">
        <f>Migrationsartikel!N192&amp;" "&amp;Migrationsartikel!O192&amp;" "&amp;Migrationsartikel!P192</f>
        <v>Vino della regione 1l</v>
      </c>
      <c r="U194" t="str">
        <f>Migrationsartikel!F192</f>
        <v>Wein</v>
      </c>
      <c r="V194" t="str">
        <f>Migrationsartikel!J192</f>
        <v xml:space="preserve">Vin </v>
      </c>
      <c r="W194" t="str">
        <f>Migrationsartikel!N192</f>
        <v>Vino</v>
      </c>
      <c r="X194" t="str">
        <f>Migrationsartikel!G192</f>
        <v>aus der Region</v>
      </c>
      <c r="Y194" t="str">
        <f>Migrationsartikel!K192</f>
        <v>de la région</v>
      </c>
      <c r="Z194" t="str">
        <f>Migrationsartikel!O192</f>
        <v>della regione</v>
      </c>
      <c r="AA194" s="31" t="str">
        <f>Migrationsartikel!H192</f>
        <v>1l</v>
      </c>
      <c r="AB194" s="31" t="str">
        <f>Migrationsartikel!L192</f>
        <v>1l</v>
      </c>
      <c r="AC194" s="31" t="str">
        <f>Migrationsartikel!P192</f>
        <v>1l</v>
      </c>
      <c r="AD194" t="str">
        <f>Migrationsartikel!I192</f>
        <v>Wein 1l</v>
      </c>
      <c r="AE194" t="str">
        <f>Migrationsartikel!M192</f>
        <v>Vin 1l</v>
      </c>
      <c r="AF194" t="str">
        <f>Migrationsartikel!Q192</f>
        <v>Vino 1l</v>
      </c>
      <c r="AG194" s="45">
        <f>Migrationsartikel!R192</f>
        <v>1</v>
      </c>
      <c r="AH194" s="46" t="str">
        <f>Migrationsartikel!T192</f>
        <v>Stück</v>
      </c>
      <c r="AI194" s="46" t="str">
        <f t="shared" si="6"/>
        <v>7</v>
      </c>
      <c r="AJ194" s="46" t="s">
        <v>176</v>
      </c>
      <c r="AK194">
        <f>Migrationsartikel!S192</f>
        <v>1</v>
      </c>
      <c r="AL194">
        <f>Migrationsartikel!S192</f>
        <v>1</v>
      </c>
      <c r="AM194">
        <f>Migrationsartikel!S192</f>
        <v>1</v>
      </c>
      <c r="AN194" t="str">
        <f>Migrationsartikel!U192</f>
        <v>(PCE) Stück</v>
      </c>
      <c r="AO194" t="str">
        <f t="shared" si="7"/>
        <v>(PCE) Pièce</v>
      </c>
      <c r="AP194" t="str">
        <f t="shared" si="8"/>
        <v>(PCE) Pièce</v>
      </c>
      <c r="AQ194" s="31" t="s">
        <v>195</v>
      </c>
      <c r="AR194" s="47"/>
      <c r="AS194" s="47"/>
      <c r="AT194" s="31" t="s">
        <v>208</v>
      </c>
      <c r="AU194" s="47"/>
      <c r="AV194" s="47"/>
      <c r="AW194" t="str">
        <f>IF(Migrationsartikel!AB192="ja","true",FALSE)</f>
        <v>true</v>
      </c>
      <c r="AX194" t="str">
        <f>IF(Migrationsartikel!AC192="ja","true",FALSE)</f>
        <v>true</v>
      </c>
      <c r="AY194" t="str">
        <f>IF(Migrationsartikel!AD192="ja","true",FALSE)</f>
        <v>true</v>
      </c>
      <c r="AZ194" t="str">
        <f>IF(Migrationsartikel!AE192="ja","true",FALSE)</f>
        <v>true</v>
      </c>
      <c r="BA194" t="str">
        <f>IF(Migrationsartikel!AF192="ja","Denner Partner","")</f>
        <v/>
      </c>
      <c r="BB194" t="str">
        <f>IF(Migrationsartikel!AG192="ja","true","false")</f>
        <v>false</v>
      </c>
      <c r="BC194" t="s">
        <v>1923</v>
      </c>
      <c r="BD194" s="31" t="s">
        <v>235</v>
      </c>
      <c r="BE194" s="31" t="s">
        <v>233</v>
      </c>
    </row>
    <row r="195" spans="2:57" ht="21.75" customHeight="1" x14ac:dyDescent="0.45">
      <c r="B195" t="s">
        <v>115</v>
      </c>
      <c r="E195" s="31" t="s">
        <v>1621</v>
      </c>
      <c r="F195" t="str">
        <f>"Warengruppe&gt;&gt;"&amp;Migrationsartikel!V193&amp;"&gt;&gt;"&amp;Migrationsartikel!W193&amp;"&gt;&gt;"&amp;Migrationsartikel!X193</f>
        <v>Warengruppe&gt;&gt;Wein&gt;&gt;Weine&gt;&gt;Wein andere</v>
      </c>
      <c r="J195" s="31" t="s">
        <v>125</v>
      </c>
      <c r="M195" s="31" t="s">
        <v>137</v>
      </c>
      <c r="P195" s="31">
        <f>Migrationsartikel!B193</f>
        <v>920</v>
      </c>
      <c r="R195" t="str">
        <f>Migrationsartikel!F193&amp;" "&amp;Migrationsartikel!G193&amp;" "&amp;Migrationsartikel!H193</f>
        <v>Wein  aus der Region 25cl</v>
      </c>
      <c r="S195" t="str">
        <f>Migrationsartikel!J193&amp;" "&amp;Migrationsartikel!K193&amp;" "&amp;Migrationsartikel!L193</f>
        <v>Vin  de la région 25cl</v>
      </c>
      <c r="T195" t="str">
        <f>Migrationsartikel!N193&amp;" "&amp;Migrationsartikel!O193&amp;" "&amp;Migrationsartikel!P193</f>
        <v>Vino della regione 25cl</v>
      </c>
      <c r="U195" t="str">
        <f>Migrationsartikel!F193</f>
        <v xml:space="preserve">Wein </v>
      </c>
      <c r="V195" t="str">
        <f>Migrationsartikel!J193</f>
        <v xml:space="preserve">Vin </v>
      </c>
      <c r="W195" t="str">
        <f>Migrationsartikel!N193</f>
        <v>Vino</v>
      </c>
      <c r="X195" t="str">
        <f>Migrationsartikel!G193</f>
        <v>aus der Region</v>
      </c>
      <c r="Y195" t="str">
        <f>Migrationsartikel!K193</f>
        <v>de la région</v>
      </c>
      <c r="Z195" t="str">
        <f>Migrationsartikel!O193</f>
        <v>della regione</v>
      </c>
      <c r="AA195" s="31" t="str">
        <f>Migrationsartikel!H193</f>
        <v>25cl</v>
      </c>
      <c r="AB195" s="31" t="str">
        <f>Migrationsartikel!L193</f>
        <v>25cl</v>
      </c>
      <c r="AC195" s="31" t="str">
        <f>Migrationsartikel!P193</f>
        <v>25cl</v>
      </c>
      <c r="AD195" t="str">
        <f>Migrationsartikel!I193</f>
        <v>Wein 25cl</v>
      </c>
      <c r="AE195" t="str">
        <f>Migrationsartikel!M193</f>
        <v>Vin 25cl</v>
      </c>
      <c r="AF195" t="str">
        <f>Migrationsartikel!Q193</f>
        <v>Vino 25cl</v>
      </c>
      <c r="AG195" s="45">
        <f>Migrationsartikel!R193</f>
        <v>0.25</v>
      </c>
      <c r="AH195" s="46" t="str">
        <f>Migrationsartikel!T193</f>
        <v>Stück</v>
      </c>
      <c r="AI195" s="46" t="str">
        <f t="shared" si="6"/>
        <v>7</v>
      </c>
      <c r="AJ195" s="46" t="s">
        <v>176</v>
      </c>
      <c r="AK195">
        <f>Migrationsartikel!S193</f>
        <v>1</v>
      </c>
      <c r="AL195">
        <f>Migrationsartikel!S193</f>
        <v>1</v>
      </c>
      <c r="AM195">
        <f>Migrationsartikel!S193</f>
        <v>1</v>
      </c>
      <c r="AN195" t="str">
        <f>Migrationsartikel!U193</f>
        <v>(PCE) Stück</v>
      </c>
      <c r="AO195" t="str">
        <f t="shared" si="7"/>
        <v>(PCE) Pièce</v>
      </c>
      <c r="AP195" t="str">
        <f t="shared" si="8"/>
        <v>(PCE) Pièce</v>
      </c>
      <c r="AQ195" s="31" t="s">
        <v>195</v>
      </c>
      <c r="AR195" s="47"/>
      <c r="AS195" s="47"/>
      <c r="AT195" s="31" t="s">
        <v>208</v>
      </c>
      <c r="AU195" s="47"/>
      <c r="AV195" s="47"/>
      <c r="AW195" t="str">
        <f>IF(Migrationsartikel!AB193="ja","true",FALSE)</f>
        <v>true</v>
      </c>
      <c r="AX195" t="str">
        <f>IF(Migrationsartikel!AC193="ja","true",FALSE)</f>
        <v>true</v>
      </c>
      <c r="AY195" t="str">
        <f>IF(Migrationsartikel!AD193="ja","true",FALSE)</f>
        <v>true</v>
      </c>
      <c r="AZ195" t="str">
        <f>IF(Migrationsartikel!AE193="ja","true",FALSE)</f>
        <v>true</v>
      </c>
      <c r="BA195" t="str">
        <f>IF(Migrationsartikel!AF193="ja","Denner Partner","")</f>
        <v/>
      </c>
      <c r="BB195" t="str">
        <f>IF(Migrationsartikel!AG193="ja","true","false")</f>
        <v>false</v>
      </c>
      <c r="BC195" t="s">
        <v>1923</v>
      </c>
      <c r="BD195" s="31" t="s">
        <v>235</v>
      </c>
      <c r="BE195" s="31" t="s">
        <v>233</v>
      </c>
    </row>
    <row r="196" spans="2:57" ht="21.75" customHeight="1" x14ac:dyDescent="0.45">
      <c r="B196" t="s">
        <v>115</v>
      </c>
      <c r="E196" s="31" t="s">
        <v>1622</v>
      </c>
      <c r="F196" t="str">
        <f>"Warengruppe&gt;&gt;"&amp;Migrationsartikel!V194&amp;"&gt;&gt;"&amp;Migrationsartikel!W194&amp;"&gt;&gt;"&amp;Migrationsartikel!X194</f>
        <v>Warengruppe&gt;&gt;Wein&gt;&gt;Weine&gt;&gt;Wein andere</v>
      </c>
      <c r="J196" s="31" t="s">
        <v>125</v>
      </c>
      <c r="M196" s="31" t="s">
        <v>137</v>
      </c>
      <c r="P196" s="31">
        <f>Migrationsartikel!B194</f>
        <v>921</v>
      </c>
      <c r="R196" t="str">
        <f>Migrationsartikel!F194&amp;" "&amp;Migrationsartikel!G194&amp;" "&amp;Migrationsartikel!H194</f>
        <v>Wein  aus der Region 50cl</v>
      </c>
      <c r="S196" t="str">
        <f>Migrationsartikel!J194&amp;" "&amp;Migrationsartikel!K194&amp;" "&amp;Migrationsartikel!L194</f>
        <v>Vin  de la région 50cl</v>
      </c>
      <c r="T196" t="str">
        <f>Migrationsartikel!N194&amp;" "&amp;Migrationsartikel!O194&amp;" "&amp;Migrationsartikel!P194</f>
        <v>Vino della regione 50cl</v>
      </c>
      <c r="U196" t="str">
        <f>Migrationsartikel!F194</f>
        <v xml:space="preserve">Wein </v>
      </c>
      <c r="V196" t="str">
        <f>Migrationsartikel!J194</f>
        <v xml:space="preserve">Vin </v>
      </c>
      <c r="W196" t="str">
        <f>Migrationsartikel!N194</f>
        <v>Vino</v>
      </c>
      <c r="X196" t="str">
        <f>Migrationsartikel!G194</f>
        <v>aus der Region</v>
      </c>
      <c r="Y196" t="str">
        <f>Migrationsartikel!K194</f>
        <v>de la région</v>
      </c>
      <c r="Z196" t="str">
        <f>Migrationsartikel!O194</f>
        <v>della regione</v>
      </c>
      <c r="AA196" s="31" t="str">
        <f>Migrationsartikel!H194</f>
        <v>50cl</v>
      </c>
      <c r="AB196" s="31" t="str">
        <f>Migrationsartikel!L194</f>
        <v>50cl</v>
      </c>
      <c r="AC196" s="31" t="str">
        <f>Migrationsartikel!P194</f>
        <v>50cl</v>
      </c>
      <c r="AD196" t="str">
        <f>Migrationsartikel!I194</f>
        <v>Wein 50cl</v>
      </c>
      <c r="AE196" t="str">
        <f>Migrationsartikel!M194</f>
        <v>Vin 50cl</v>
      </c>
      <c r="AF196" t="str">
        <f>Migrationsartikel!Q194</f>
        <v>Vino 50cl</v>
      </c>
      <c r="AG196" s="45">
        <f>Migrationsartikel!R194</f>
        <v>0.5</v>
      </c>
      <c r="AH196" s="46" t="str">
        <f>Migrationsartikel!T194</f>
        <v>Stück</v>
      </c>
      <c r="AI196" s="46" t="str">
        <f t="shared" si="6"/>
        <v>7</v>
      </c>
      <c r="AJ196" s="46" t="s">
        <v>176</v>
      </c>
      <c r="AK196">
        <f>Migrationsartikel!S194</f>
        <v>1</v>
      </c>
      <c r="AL196">
        <f>Migrationsartikel!S194</f>
        <v>1</v>
      </c>
      <c r="AM196">
        <f>Migrationsartikel!S194</f>
        <v>1</v>
      </c>
      <c r="AN196" t="str">
        <f>Migrationsartikel!U194</f>
        <v>(PCE) Stück</v>
      </c>
      <c r="AO196" t="str">
        <f t="shared" si="7"/>
        <v>(PCE) Pièce</v>
      </c>
      <c r="AP196" t="str">
        <f t="shared" si="8"/>
        <v>(PCE) Pièce</v>
      </c>
      <c r="AQ196" s="31" t="s">
        <v>195</v>
      </c>
      <c r="AR196" s="47"/>
      <c r="AS196" s="47"/>
      <c r="AT196" s="31" t="s">
        <v>208</v>
      </c>
      <c r="AU196" s="47"/>
      <c r="AV196" s="47"/>
      <c r="AW196" t="str">
        <f>IF(Migrationsartikel!AB194="ja","true",FALSE)</f>
        <v>true</v>
      </c>
      <c r="AX196" t="str">
        <f>IF(Migrationsartikel!AC194="ja","true",FALSE)</f>
        <v>true</v>
      </c>
      <c r="AY196" t="str">
        <f>IF(Migrationsartikel!AD194="ja","true",FALSE)</f>
        <v>true</v>
      </c>
      <c r="AZ196" t="str">
        <f>IF(Migrationsartikel!AE194="ja","true",FALSE)</f>
        <v>true</v>
      </c>
      <c r="BA196" t="str">
        <f>IF(Migrationsartikel!AF194="ja","Denner Partner","")</f>
        <v/>
      </c>
      <c r="BB196" t="str">
        <f>IF(Migrationsartikel!AG194="ja","true","false")</f>
        <v>false</v>
      </c>
      <c r="BC196" t="s">
        <v>1923</v>
      </c>
      <c r="BD196" s="31" t="s">
        <v>235</v>
      </c>
      <c r="BE196" s="31" t="s">
        <v>233</v>
      </c>
    </row>
    <row r="197" spans="2:57" ht="21.75" customHeight="1" x14ac:dyDescent="0.45">
      <c r="B197" t="s">
        <v>115</v>
      </c>
      <c r="E197" s="31" t="s">
        <v>1623</v>
      </c>
      <c r="F197" t="str">
        <f>"Warengruppe&gt;&gt;"&amp;Migrationsartikel!V195&amp;"&gt;&gt;"&amp;Migrationsartikel!W195&amp;"&gt;&gt;"&amp;Migrationsartikel!X195</f>
        <v>Warengruppe&gt;&gt;Wein&gt;&gt;Weine&gt;&gt;Wein andere</v>
      </c>
      <c r="J197" s="31" t="s">
        <v>125</v>
      </c>
      <c r="M197" s="31" t="s">
        <v>137</v>
      </c>
      <c r="P197" s="31">
        <f>Migrationsartikel!B195</f>
        <v>922</v>
      </c>
      <c r="R197" t="str">
        <f>Migrationsartikel!F195&amp;" "&amp;Migrationsartikel!G195&amp;" "&amp;Migrationsartikel!H195</f>
        <v>Wein  aus der Region 75cl</v>
      </c>
      <c r="S197" t="str">
        <f>Migrationsartikel!J195&amp;" "&amp;Migrationsartikel!K195&amp;" "&amp;Migrationsartikel!L195</f>
        <v>Vin  de la région 75cl</v>
      </c>
      <c r="T197" t="str">
        <f>Migrationsartikel!N195&amp;" "&amp;Migrationsartikel!O195&amp;" "&amp;Migrationsartikel!P195</f>
        <v>Vino della regione 75cl</v>
      </c>
      <c r="U197" t="str">
        <f>Migrationsartikel!F195</f>
        <v xml:space="preserve">Wein </v>
      </c>
      <c r="V197" t="str">
        <f>Migrationsartikel!J195</f>
        <v xml:space="preserve">Vin </v>
      </c>
      <c r="W197" t="str">
        <f>Migrationsartikel!N195</f>
        <v>Vino</v>
      </c>
      <c r="X197" t="str">
        <f>Migrationsartikel!G195</f>
        <v>aus der Region</v>
      </c>
      <c r="Y197" t="str">
        <f>Migrationsartikel!K195</f>
        <v>de la région</v>
      </c>
      <c r="Z197" t="str">
        <f>Migrationsartikel!O195</f>
        <v>della regione</v>
      </c>
      <c r="AA197" s="31" t="str">
        <f>Migrationsartikel!H195</f>
        <v>75cl</v>
      </c>
      <c r="AB197" s="31" t="str">
        <f>Migrationsartikel!L195</f>
        <v>75cl</v>
      </c>
      <c r="AC197" s="31" t="str">
        <f>Migrationsartikel!P195</f>
        <v>75cl</v>
      </c>
      <c r="AD197" t="str">
        <f>Migrationsartikel!I195</f>
        <v>Wein 75cl</v>
      </c>
      <c r="AE197" t="str">
        <f>Migrationsartikel!M195</f>
        <v>Vin 75cl</v>
      </c>
      <c r="AF197" t="str">
        <f>Migrationsartikel!Q195</f>
        <v>Vino 75cl</v>
      </c>
      <c r="AG197" s="45">
        <f>Migrationsartikel!R195</f>
        <v>0.75</v>
      </c>
      <c r="AH197" s="46" t="str">
        <f>Migrationsartikel!T195</f>
        <v>Stück</v>
      </c>
      <c r="AI197" s="46" t="str">
        <f t="shared" ref="AI197:AI260" si="9">IF(AH197="Gramm","Gramm",(IF(AH197="Centiliter","2",IF(AH197="Kilogramm","3",IF(AH197="Liter","5",IF(AH197="Milliliter","6",(IF(AH197="Stück","7","n/a"))))))))</f>
        <v>7</v>
      </c>
      <c r="AJ197" s="46" t="s">
        <v>176</v>
      </c>
      <c r="AK197">
        <f>Migrationsartikel!S195</f>
        <v>1</v>
      </c>
      <c r="AL197">
        <f>Migrationsartikel!S195</f>
        <v>1</v>
      </c>
      <c r="AM197">
        <f>Migrationsartikel!S195</f>
        <v>1</v>
      </c>
      <c r="AN197" t="str">
        <f>Migrationsartikel!U195</f>
        <v>(PCE) Stück</v>
      </c>
      <c r="AO197" t="str">
        <f t="shared" ref="AO197:AO260" si="10">IF(AN197="(PCE) Stück","(PCE) Pièce",(IF(AN197="(KGM) KG","(KGM) Kg","n/a")))</f>
        <v>(PCE) Pièce</v>
      </c>
      <c r="AP197" t="str">
        <f t="shared" ref="AP197:AP260" si="11">IF(AN197="(PCE) Stück","(PCE) Pièce",(IF(AN197="(KGM) KG","(KGM) KG","n/a")))</f>
        <v>(PCE) Pièce</v>
      </c>
      <c r="AQ197" s="31" t="s">
        <v>195</v>
      </c>
      <c r="AR197" s="47"/>
      <c r="AS197" s="47"/>
      <c r="AT197" s="31" t="s">
        <v>208</v>
      </c>
      <c r="AU197" s="47"/>
      <c r="AV197" s="47"/>
      <c r="AW197" t="str">
        <f>IF(Migrationsartikel!AB195="ja","true",FALSE)</f>
        <v>true</v>
      </c>
      <c r="AX197" t="str">
        <f>IF(Migrationsartikel!AC195="ja","true",FALSE)</f>
        <v>true</v>
      </c>
      <c r="AY197" t="str">
        <f>IF(Migrationsartikel!AD195="ja","true",FALSE)</f>
        <v>true</v>
      </c>
      <c r="AZ197" t="str">
        <f>IF(Migrationsartikel!AE195="ja","true",FALSE)</f>
        <v>true</v>
      </c>
      <c r="BA197" t="str">
        <f>IF(Migrationsartikel!AF195="ja","Denner Partner","")</f>
        <v/>
      </c>
      <c r="BB197" t="str">
        <f>IF(Migrationsartikel!AG195="ja","true","false")</f>
        <v>false</v>
      </c>
      <c r="BC197" t="s">
        <v>1923</v>
      </c>
      <c r="BD197" s="31" t="s">
        <v>235</v>
      </c>
      <c r="BE197" s="31" t="s">
        <v>233</v>
      </c>
    </row>
    <row r="198" spans="2:57" ht="21.75" customHeight="1" x14ac:dyDescent="0.45">
      <c r="B198" t="s">
        <v>115</v>
      </c>
      <c r="E198" s="31" t="s">
        <v>1624</v>
      </c>
      <c r="F198" t="str">
        <f>"Warengruppe&gt;&gt;"&amp;Migrationsartikel!V196&amp;"&gt;&gt;"&amp;Migrationsartikel!W196&amp;"&gt;&gt;"&amp;Migrationsartikel!X196</f>
        <v>Warengruppe&gt;&gt;Früchte und Gemüse&gt;&gt;Früchte und Gemüse&gt;&gt;Früchte</v>
      </c>
      <c r="J198" s="31" t="s">
        <v>125</v>
      </c>
      <c r="M198" s="31" t="s">
        <v>137</v>
      </c>
      <c r="P198" s="31">
        <f>Migrationsartikel!B196</f>
        <v>135</v>
      </c>
      <c r="R198" t="str">
        <f>Migrationsartikel!F196&amp;" "&amp;Migrationsartikel!G196&amp;" "&amp;Migrationsartikel!H196</f>
        <v xml:space="preserve">Birnen Büscheli Offen Kl. 1 </v>
      </c>
      <c r="S198" t="str">
        <f>Migrationsartikel!J196&amp;" "&amp;Migrationsartikel!K196&amp;" "&amp;Migrationsartikel!L196</f>
        <v xml:space="preserve">Poires Büscheli En vrac, cl. 1 </v>
      </c>
      <c r="T198" t="str">
        <f>Migrationsartikel!N196&amp;" "&amp;Migrationsartikel!O196&amp;" "&amp;Migrationsartikel!P196</f>
        <v xml:space="preserve">Pere Büscheli Cl. 1 vendita sfusa </v>
      </c>
      <c r="U198" t="str">
        <f>Migrationsartikel!F196</f>
        <v>Birnen Büscheli</v>
      </c>
      <c r="V198" t="str">
        <f>Migrationsartikel!J196</f>
        <v>Poires Büscheli</v>
      </c>
      <c r="W198" t="str">
        <f>Migrationsartikel!N196</f>
        <v>Pere Büscheli</v>
      </c>
      <c r="X198" t="str">
        <f>Migrationsartikel!G196</f>
        <v>Offen Kl. 1</v>
      </c>
      <c r="Y198" t="str">
        <f>Migrationsartikel!K196</f>
        <v>En vrac, cl. 1</v>
      </c>
      <c r="Z198" t="str">
        <f>Migrationsartikel!O196</f>
        <v>Cl. 1 vendita sfusa</v>
      </c>
      <c r="AA198" s="31">
        <f>Migrationsartikel!H196</f>
        <v>0</v>
      </c>
      <c r="AB198" s="31">
        <f>Migrationsartikel!L196</f>
        <v>0</v>
      </c>
      <c r="AC198" s="31">
        <f>Migrationsartikel!P196</f>
        <v>0</v>
      </c>
      <c r="AD198" t="str">
        <f>Migrationsartikel!I196</f>
        <v>Birnen Büscheli Offen Kl. 1</v>
      </c>
      <c r="AE198" t="str">
        <f>Migrationsartikel!M196</f>
        <v>Poires Büscheli</v>
      </c>
      <c r="AF198" t="str">
        <f>Migrationsartikel!Q196</f>
        <v>Pere Büscheli Cl. 1 v.s.</v>
      </c>
      <c r="AG198" s="45">
        <f>Migrationsartikel!R196</f>
        <v>1</v>
      </c>
      <c r="AH198" s="46" t="str">
        <f>Migrationsartikel!T196</f>
        <v>Kilogramm</v>
      </c>
      <c r="AI198" s="46" t="str">
        <f t="shared" si="9"/>
        <v>3</v>
      </c>
      <c r="AJ198" s="46" t="s">
        <v>176</v>
      </c>
      <c r="AK198">
        <f>Migrationsartikel!S196</f>
        <v>1</v>
      </c>
      <c r="AL198">
        <f>Migrationsartikel!S196</f>
        <v>1</v>
      </c>
      <c r="AM198">
        <f>Migrationsartikel!S196</f>
        <v>1</v>
      </c>
      <c r="AN198" t="str">
        <f>Migrationsartikel!U196</f>
        <v>(KGM) KG</v>
      </c>
      <c r="AO198" t="str">
        <f t="shared" si="10"/>
        <v>(KGM) Kg</v>
      </c>
      <c r="AP198" t="str">
        <f t="shared" si="11"/>
        <v>(KGM) KG</v>
      </c>
      <c r="AQ198" s="31" t="s">
        <v>195</v>
      </c>
      <c r="AR198" s="47"/>
      <c r="AS198" s="47"/>
      <c r="AT198" s="31" t="s">
        <v>208</v>
      </c>
      <c r="AU198" s="47"/>
      <c r="AV198" s="47"/>
      <c r="AW198" t="str">
        <f>IF(Migrationsartikel!AB196="ja","true",FALSE)</f>
        <v>true</v>
      </c>
      <c r="AX198" t="str">
        <f>IF(Migrationsartikel!AC196="ja","true",FALSE)</f>
        <v>true</v>
      </c>
      <c r="AY198" t="str">
        <f>IF(Migrationsartikel!AD196="ja","true",FALSE)</f>
        <v>true</v>
      </c>
      <c r="AZ198" t="str">
        <f>IF(Migrationsartikel!AE196="ja","true",FALSE)</f>
        <v>true</v>
      </c>
      <c r="BA198" t="str">
        <f>IF(Migrationsartikel!AF196="ja","Denner Partner","")</f>
        <v/>
      </c>
      <c r="BB198" t="str">
        <f>IF(Migrationsartikel!AG196="ja","true","false")</f>
        <v>false</v>
      </c>
      <c r="BC198" t="s">
        <v>1923</v>
      </c>
      <c r="BD198" s="31" t="s">
        <v>235</v>
      </c>
      <c r="BE198" s="31" t="s">
        <v>233</v>
      </c>
    </row>
    <row r="199" spans="2:57" ht="21.75" customHeight="1" x14ac:dyDescent="0.45">
      <c r="B199" t="s">
        <v>115</v>
      </c>
      <c r="E199" s="31" t="s">
        <v>1625</v>
      </c>
      <c r="F199" t="str">
        <f>"Warengruppe&gt;&gt;"&amp;Migrationsartikel!V197&amp;"&gt;&gt;"&amp;Migrationsartikel!W197&amp;"&gt;&gt;"&amp;Migrationsartikel!X197</f>
        <v>Warengruppe&gt;&gt;Früchte und Gemüse&gt;&gt;Früchte und Gemüse&gt;&gt;Früchte</v>
      </c>
      <c r="J199" s="31" t="s">
        <v>125</v>
      </c>
      <c r="M199" s="31" t="s">
        <v>137</v>
      </c>
      <c r="P199" s="31">
        <f>Migrationsartikel!B197</f>
        <v>180</v>
      </c>
      <c r="R199" t="str">
        <f>Migrationsartikel!F197&amp;" "&amp;Migrationsartikel!G197&amp;" "&amp;Migrationsartikel!H197</f>
        <v>Ananas Baby 1Stk</v>
      </c>
      <c r="S199" t="str">
        <f>Migrationsartikel!J197&amp;" "&amp;Migrationsartikel!K197&amp;" "&amp;Migrationsartikel!L197</f>
        <v>Ananas Baby 1pce</v>
      </c>
      <c r="T199" t="str">
        <f>Migrationsartikel!N197&amp;" "&amp;Migrationsartikel!O197&amp;" "&amp;Migrationsartikel!P197</f>
        <v>Ananas Baby 1pz</v>
      </c>
      <c r="U199" t="str">
        <f>Migrationsartikel!F197</f>
        <v>Ananas</v>
      </c>
      <c r="V199" t="str">
        <f>Migrationsartikel!J197</f>
        <v>Ananas</v>
      </c>
      <c r="W199" t="str">
        <f>Migrationsartikel!N197</f>
        <v>Ananas</v>
      </c>
      <c r="X199" t="str">
        <f>Migrationsartikel!G197</f>
        <v>Baby</v>
      </c>
      <c r="Y199" t="str">
        <f>Migrationsartikel!K197</f>
        <v>Baby</v>
      </c>
      <c r="Z199" t="str">
        <f>Migrationsartikel!O197</f>
        <v>Baby</v>
      </c>
      <c r="AA199" s="31" t="str">
        <f>Migrationsartikel!H197</f>
        <v>1Stk</v>
      </c>
      <c r="AB199" s="31" t="str">
        <f>Migrationsartikel!L197</f>
        <v>1pce</v>
      </c>
      <c r="AC199" s="31" t="str">
        <f>Migrationsartikel!P197</f>
        <v>1pz</v>
      </c>
      <c r="AD199" t="str">
        <f>Migrationsartikel!I197</f>
        <v>Ananas Baby Stk</v>
      </c>
      <c r="AE199" t="str">
        <f>Migrationsartikel!M197</f>
        <v>Ananas Baby</v>
      </c>
      <c r="AF199" t="str">
        <f>Migrationsartikel!Q197</f>
        <v>Ananas Baby 1 pz</v>
      </c>
      <c r="AG199" s="45">
        <f>Migrationsartikel!R197</f>
        <v>1</v>
      </c>
      <c r="AH199" s="46" t="str">
        <f>Migrationsartikel!T197</f>
        <v>Stück</v>
      </c>
      <c r="AI199" s="46" t="str">
        <f t="shared" si="9"/>
        <v>7</v>
      </c>
      <c r="AJ199" s="46" t="s">
        <v>176</v>
      </c>
      <c r="AK199">
        <f>Migrationsartikel!S197</f>
        <v>1</v>
      </c>
      <c r="AL199">
        <f>Migrationsartikel!S197</f>
        <v>1</v>
      </c>
      <c r="AM199">
        <f>Migrationsartikel!S197</f>
        <v>1</v>
      </c>
      <c r="AN199" t="str">
        <f>Migrationsartikel!U197</f>
        <v>(PCE) Stück</v>
      </c>
      <c r="AO199" t="str">
        <f t="shared" si="10"/>
        <v>(PCE) Pièce</v>
      </c>
      <c r="AP199" t="str">
        <f t="shared" si="11"/>
        <v>(PCE) Pièce</v>
      </c>
      <c r="AQ199" s="31" t="s">
        <v>195</v>
      </c>
      <c r="AR199" s="47"/>
      <c r="AS199" s="47"/>
      <c r="AT199" s="31" t="s">
        <v>208</v>
      </c>
      <c r="AU199" s="47"/>
      <c r="AV199" s="47"/>
      <c r="AW199" t="str">
        <f>IF(Migrationsartikel!AB197="ja","true",FALSE)</f>
        <v>true</v>
      </c>
      <c r="AX199" t="str">
        <f>IF(Migrationsartikel!AC197="ja","true",FALSE)</f>
        <v>true</v>
      </c>
      <c r="AY199" t="str">
        <f>IF(Migrationsartikel!AD197="ja","true",FALSE)</f>
        <v>true</v>
      </c>
      <c r="AZ199" t="str">
        <f>IF(Migrationsartikel!AE197="ja","true",FALSE)</f>
        <v>true</v>
      </c>
      <c r="BA199" t="str">
        <f>IF(Migrationsartikel!AF197="ja","Denner Partner","")</f>
        <v/>
      </c>
      <c r="BB199" t="str">
        <f>IF(Migrationsartikel!AG197="ja","true","false")</f>
        <v>false</v>
      </c>
      <c r="BC199" t="s">
        <v>1923</v>
      </c>
      <c r="BD199" s="31" t="s">
        <v>235</v>
      </c>
      <c r="BE199" s="31" t="s">
        <v>233</v>
      </c>
    </row>
    <row r="200" spans="2:57" ht="21.75" customHeight="1" x14ac:dyDescent="0.45">
      <c r="B200" t="s">
        <v>115</v>
      </c>
      <c r="E200" s="31" t="s">
        <v>1626</v>
      </c>
      <c r="F200" t="str">
        <f>"Warengruppe&gt;&gt;"&amp;Migrationsartikel!V198&amp;"&gt;&gt;"&amp;Migrationsartikel!W198&amp;"&gt;&gt;"&amp;Migrationsartikel!X198</f>
        <v>Warengruppe&gt;&gt;Früchte und Gemüse&gt;&gt;Früchte und Gemüse&gt;&gt;Früchte</v>
      </c>
      <c r="J200" s="31" t="s">
        <v>125</v>
      </c>
      <c r="M200" s="31" t="s">
        <v>137</v>
      </c>
      <c r="P200" s="31">
        <f>Migrationsartikel!B198</f>
        <v>0</v>
      </c>
      <c r="R200" t="str">
        <f>Migrationsartikel!F198&amp;" "&amp;Migrationsartikel!G198&amp;" "&amp;Migrationsartikel!H198</f>
        <v>Ananas Becher 200g</v>
      </c>
      <c r="S200" t="str">
        <f>Migrationsartikel!J198&amp;" "&amp;Migrationsartikel!K198&amp;" "&amp;Migrationsartikel!L198</f>
        <v>Ananas Gobelet 200g</v>
      </c>
      <c r="T200" t="str">
        <f>Migrationsartikel!N198&amp;" "&amp;Migrationsartikel!O198&amp;" "&amp;Migrationsartikel!P198</f>
        <v>Ananas bicchiere 200g</v>
      </c>
      <c r="U200" t="str">
        <f>Migrationsartikel!F198</f>
        <v>Ananas</v>
      </c>
      <c r="V200" t="str">
        <f>Migrationsartikel!J198</f>
        <v>Ananas</v>
      </c>
      <c r="W200" t="str">
        <f>Migrationsartikel!N198</f>
        <v>Ananas</v>
      </c>
      <c r="X200" t="str">
        <f>Migrationsartikel!G198</f>
        <v>Becher</v>
      </c>
      <c r="Y200" t="str">
        <f>Migrationsartikel!K198</f>
        <v>Gobelet</v>
      </c>
      <c r="Z200" t="str">
        <f>Migrationsartikel!O198</f>
        <v>bicchiere</v>
      </c>
      <c r="AA200" s="31" t="str">
        <f>Migrationsartikel!H198</f>
        <v>200g</v>
      </c>
      <c r="AB200" s="31" t="str">
        <f>Migrationsartikel!L198</f>
        <v>200g</v>
      </c>
      <c r="AC200" s="31" t="str">
        <f>Migrationsartikel!P198</f>
        <v>200g</v>
      </c>
      <c r="AD200" t="str">
        <f>Migrationsartikel!I198</f>
        <v>Ananas Becher 200g</v>
      </c>
      <c r="AE200" t="str">
        <f>Migrationsartikel!M198</f>
        <v>Ananas gobelet 200g</v>
      </c>
      <c r="AF200" t="str">
        <f>Migrationsartikel!Q198</f>
        <v>Ananas bicchiere 200g</v>
      </c>
      <c r="AG200" s="45">
        <f>Migrationsartikel!R198</f>
        <v>0.2</v>
      </c>
      <c r="AH200" s="46" t="str">
        <f>Migrationsartikel!T198</f>
        <v>Gramm</v>
      </c>
      <c r="AI200" s="46" t="str">
        <f t="shared" si="9"/>
        <v>Gramm</v>
      </c>
      <c r="AJ200" s="46" t="s">
        <v>176</v>
      </c>
      <c r="AK200">
        <f>Migrationsartikel!S198</f>
        <v>100</v>
      </c>
      <c r="AL200">
        <f>Migrationsartikel!S198</f>
        <v>100</v>
      </c>
      <c r="AM200">
        <f>Migrationsartikel!S198</f>
        <v>100</v>
      </c>
      <c r="AN200" t="str">
        <f>Migrationsartikel!U198</f>
        <v>(PCE) Stück</v>
      </c>
      <c r="AO200" t="str">
        <f t="shared" si="10"/>
        <v>(PCE) Pièce</v>
      </c>
      <c r="AP200" t="str">
        <f t="shared" si="11"/>
        <v>(PCE) Pièce</v>
      </c>
      <c r="AQ200" s="31" t="s">
        <v>195</v>
      </c>
      <c r="AR200" s="47"/>
      <c r="AS200" s="47"/>
      <c r="AT200" s="31" t="s">
        <v>208</v>
      </c>
      <c r="AU200" s="47"/>
      <c r="AV200" s="47"/>
      <c r="AW200" t="str">
        <f>IF(Migrationsartikel!AB198="ja","true",FALSE)</f>
        <v>true</v>
      </c>
      <c r="AX200" t="str">
        <f>IF(Migrationsartikel!AC198="ja","true",FALSE)</f>
        <v>true</v>
      </c>
      <c r="AY200" t="str">
        <f>IF(Migrationsartikel!AD198="ja","true",FALSE)</f>
        <v>true</v>
      </c>
      <c r="AZ200" t="str">
        <f>IF(Migrationsartikel!AE198="ja","true",FALSE)</f>
        <v>true</v>
      </c>
      <c r="BA200" t="str">
        <f>IF(Migrationsartikel!AF198="ja","Denner Partner","")</f>
        <v/>
      </c>
      <c r="BB200" t="str">
        <f>IF(Migrationsartikel!AG198="ja","true","false")</f>
        <v>false</v>
      </c>
      <c r="BC200" t="s">
        <v>1923</v>
      </c>
      <c r="BD200" s="31" t="s">
        <v>235</v>
      </c>
      <c r="BE200" s="31" t="s">
        <v>233</v>
      </c>
    </row>
    <row r="201" spans="2:57" ht="21.75" customHeight="1" x14ac:dyDescent="0.45">
      <c r="B201" t="s">
        <v>115</v>
      </c>
      <c r="E201" s="31" t="s">
        <v>1627</v>
      </c>
      <c r="F201" t="str">
        <f>"Warengruppe&gt;&gt;"&amp;Migrationsartikel!V199&amp;"&gt;&gt;"&amp;Migrationsartikel!W199&amp;"&gt;&gt;"&amp;Migrationsartikel!X199</f>
        <v>Warengruppe&gt;&gt;Früchte und Gemüse&gt;&gt;Früchte und Gemüse&gt;&gt;Früchte</v>
      </c>
      <c r="J201" s="31" t="s">
        <v>125</v>
      </c>
      <c r="M201" s="31" t="s">
        <v>137</v>
      </c>
      <c r="P201" s="31">
        <f>Migrationsartikel!B199</f>
        <v>0</v>
      </c>
      <c r="R201" t="str">
        <f>Migrationsartikel!F199&amp;" "&amp;Migrationsartikel!G199&amp;" "&amp;Migrationsartikel!H199</f>
        <v xml:space="preserve">Äpfel Granny Smith gepackt </v>
      </c>
      <c r="S201" t="str">
        <f>Migrationsartikel!J199&amp;" "&amp;Migrationsartikel!K199&amp;" "&amp;Migrationsartikel!L199</f>
        <v xml:space="preserve">Pommes Granny Smith Emballé </v>
      </c>
      <c r="T201" t="str">
        <f>Migrationsartikel!N199&amp;" "&amp;Migrationsartikel!O199&amp;" "&amp;Migrationsartikel!P199</f>
        <v xml:space="preserve">Mele Granny Smith confezionato </v>
      </c>
      <c r="U201" t="str">
        <f>Migrationsartikel!F199</f>
        <v>Äpfel Granny Smith</v>
      </c>
      <c r="V201" t="str">
        <f>Migrationsartikel!J199</f>
        <v>Pommes Granny Smith</v>
      </c>
      <c r="W201" t="str">
        <f>Migrationsartikel!N199</f>
        <v>Mele Granny Smith</v>
      </c>
      <c r="X201" t="str">
        <f>Migrationsartikel!G199</f>
        <v>gepackt</v>
      </c>
      <c r="Y201" t="str">
        <f>Migrationsartikel!K199</f>
        <v>Emballé</v>
      </c>
      <c r="Z201" t="str">
        <f>Migrationsartikel!O199</f>
        <v>confezionato</v>
      </c>
      <c r="AA201" s="31">
        <f>Migrationsartikel!H199</f>
        <v>0</v>
      </c>
      <c r="AB201" s="31">
        <f>Migrationsartikel!L199</f>
        <v>0</v>
      </c>
      <c r="AC201" s="31">
        <f>Migrationsartikel!P199</f>
        <v>0</v>
      </c>
      <c r="AD201" t="str">
        <f>Migrationsartikel!I199</f>
        <v>Äpfel Granny Smith gepackt</v>
      </c>
      <c r="AE201" t="str">
        <f>Migrationsartikel!M199</f>
        <v>Pommes Granny Smith, emballé</v>
      </c>
      <c r="AF201" t="str">
        <f>Migrationsartikel!Q199</f>
        <v>Mele Granny Smith confez.</v>
      </c>
      <c r="AG201" s="45">
        <f>Migrationsartikel!R199</f>
        <v>1</v>
      </c>
      <c r="AH201" s="46" t="str">
        <f>Migrationsartikel!T199</f>
        <v>Kilogramm</v>
      </c>
      <c r="AI201" s="46" t="str">
        <f t="shared" si="9"/>
        <v>3</v>
      </c>
      <c r="AJ201" s="46" t="s">
        <v>176</v>
      </c>
      <c r="AK201">
        <f>Migrationsartikel!S199</f>
        <v>1</v>
      </c>
      <c r="AL201">
        <f>Migrationsartikel!S199</f>
        <v>1</v>
      </c>
      <c r="AM201">
        <f>Migrationsartikel!S199</f>
        <v>1</v>
      </c>
      <c r="AN201" t="str">
        <f>Migrationsartikel!U199</f>
        <v>(PCE) Stück</v>
      </c>
      <c r="AO201" t="str">
        <f t="shared" si="10"/>
        <v>(PCE) Pièce</v>
      </c>
      <c r="AP201" t="str">
        <f t="shared" si="11"/>
        <v>(PCE) Pièce</v>
      </c>
      <c r="AQ201" s="31" t="s">
        <v>195</v>
      </c>
      <c r="AR201" s="47"/>
      <c r="AS201" s="47"/>
      <c r="AT201" s="31" t="s">
        <v>208</v>
      </c>
      <c r="AU201" s="47"/>
      <c r="AV201" s="47"/>
      <c r="AW201" t="str">
        <f>IF(Migrationsartikel!AB199="ja","true",FALSE)</f>
        <v>true</v>
      </c>
      <c r="AX201" t="str">
        <f>IF(Migrationsartikel!AC199="ja","true",FALSE)</f>
        <v>true</v>
      </c>
      <c r="AY201" t="str">
        <f>IF(Migrationsartikel!AD199="ja","true",FALSE)</f>
        <v>true</v>
      </c>
      <c r="AZ201" t="str">
        <f>IF(Migrationsartikel!AE199="ja","true",FALSE)</f>
        <v>true</v>
      </c>
      <c r="BA201" t="str">
        <f>IF(Migrationsartikel!AF199="ja","Denner Partner","")</f>
        <v/>
      </c>
      <c r="BB201" t="str">
        <f>IF(Migrationsartikel!AG199="ja","true","false")</f>
        <v>false</v>
      </c>
      <c r="BC201" t="s">
        <v>1923</v>
      </c>
      <c r="BD201" s="31" t="s">
        <v>235</v>
      </c>
      <c r="BE201" s="31" t="s">
        <v>233</v>
      </c>
    </row>
    <row r="202" spans="2:57" ht="21.75" customHeight="1" x14ac:dyDescent="0.45">
      <c r="B202" t="s">
        <v>115</v>
      </c>
      <c r="E202" s="31" t="s">
        <v>1628</v>
      </c>
      <c r="F202" t="str">
        <f>"Warengruppe&gt;&gt;"&amp;Migrationsartikel!V200&amp;"&gt;&gt;"&amp;Migrationsartikel!W200&amp;"&gt;&gt;"&amp;Migrationsartikel!X200</f>
        <v>Warengruppe&gt;&gt;Früchte und Gemüse&gt;&gt;Früchte und Gemüse&gt;&gt;Früchte</v>
      </c>
      <c r="J202" s="31" t="s">
        <v>125</v>
      </c>
      <c r="M202" s="31" t="s">
        <v>137</v>
      </c>
      <c r="P202" s="31">
        <f>Migrationsartikel!B200</f>
        <v>0</v>
      </c>
      <c r="R202" t="str">
        <f>Migrationsartikel!F200&amp;" "&amp;Migrationsartikel!G200&amp;" "&amp;Migrationsartikel!H200</f>
        <v>Aprikosen  2kg</v>
      </c>
      <c r="S202" t="str">
        <f>Migrationsartikel!J200&amp;" "&amp;Migrationsartikel!K200&amp;" "&amp;Migrationsartikel!L200</f>
        <v>Abricots  2kg</v>
      </c>
      <c r="T202" t="str">
        <f>Migrationsartikel!N200&amp;" "&amp;Migrationsartikel!O200&amp;" "&amp;Migrationsartikel!P200</f>
        <v>Albicocche  2kg</v>
      </c>
      <c r="U202" t="str">
        <f>Migrationsartikel!F200</f>
        <v>Aprikosen</v>
      </c>
      <c r="V202" t="str">
        <f>Migrationsartikel!J200</f>
        <v>Abricots</v>
      </c>
      <c r="W202" t="str">
        <f>Migrationsartikel!N200</f>
        <v>Albicocche</v>
      </c>
      <c r="X202">
        <f>Migrationsartikel!G200</f>
        <v>0</v>
      </c>
      <c r="Y202">
        <f>Migrationsartikel!K200</f>
        <v>0</v>
      </c>
      <c r="Z202">
        <f>Migrationsartikel!O200</f>
        <v>0</v>
      </c>
      <c r="AA202" s="31" t="str">
        <f>Migrationsartikel!H200</f>
        <v>2kg</v>
      </c>
      <c r="AB202" s="31" t="str">
        <f>Migrationsartikel!L200</f>
        <v>2kg</v>
      </c>
      <c r="AC202" s="31" t="str">
        <f>Migrationsartikel!P200</f>
        <v>2kg</v>
      </c>
      <c r="AD202" t="str">
        <f>Migrationsartikel!I200</f>
        <v>Aprikosen 2kg</v>
      </c>
      <c r="AE202" t="str">
        <f>Migrationsartikel!M200</f>
        <v>Abricots 2kg</v>
      </c>
      <c r="AF202" t="str">
        <f>Migrationsartikel!Q200</f>
        <v>Albicocche 2kg</v>
      </c>
      <c r="AG202" s="45">
        <f>Migrationsartikel!R200</f>
        <v>2</v>
      </c>
      <c r="AH202" s="46" t="str">
        <f>Migrationsartikel!T200</f>
        <v>Kilogramm</v>
      </c>
      <c r="AI202" s="46" t="str">
        <f t="shared" si="9"/>
        <v>3</v>
      </c>
      <c r="AJ202" s="46" t="s">
        <v>176</v>
      </c>
      <c r="AK202">
        <f>Migrationsartikel!S200</f>
        <v>1</v>
      </c>
      <c r="AL202">
        <f>Migrationsartikel!S200</f>
        <v>1</v>
      </c>
      <c r="AM202">
        <f>Migrationsartikel!S200</f>
        <v>1</v>
      </c>
      <c r="AN202" t="str">
        <f>Migrationsartikel!U200</f>
        <v>(PCE) Stück</v>
      </c>
      <c r="AO202" t="str">
        <f t="shared" si="10"/>
        <v>(PCE) Pièce</v>
      </c>
      <c r="AP202" t="str">
        <f t="shared" si="11"/>
        <v>(PCE) Pièce</v>
      </c>
      <c r="AQ202" s="31" t="s">
        <v>195</v>
      </c>
      <c r="AR202" s="47"/>
      <c r="AS202" s="47"/>
      <c r="AT202" s="31" t="s">
        <v>208</v>
      </c>
      <c r="AU202" s="47"/>
      <c r="AV202" s="47"/>
      <c r="AW202" t="str">
        <f>IF(Migrationsartikel!AB200="ja","true",FALSE)</f>
        <v>true</v>
      </c>
      <c r="AX202" t="str">
        <f>IF(Migrationsartikel!AC200="ja","true",FALSE)</f>
        <v>true</v>
      </c>
      <c r="AY202" t="str">
        <f>IF(Migrationsartikel!AD200="ja","true",FALSE)</f>
        <v>true</v>
      </c>
      <c r="AZ202" t="str">
        <f>IF(Migrationsartikel!AE200="ja","true",FALSE)</f>
        <v>true</v>
      </c>
      <c r="BA202" t="str">
        <f>IF(Migrationsartikel!AF200="ja","Denner Partner","")</f>
        <v/>
      </c>
      <c r="BB202" t="str">
        <f>IF(Migrationsartikel!AG200="ja","true","false")</f>
        <v>false</v>
      </c>
      <c r="BC202" t="s">
        <v>1923</v>
      </c>
      <c r="BD202" s="31" t="s">
        <v>235</v>
      </c>
      <c r="BE202" s="31" t="s">
        <v>233</v>
      </c>
    </row>
    <row r="203" spans="2:57" ht="21.75" customHeight="1" x14ac:dyDescent="0.45">
      <c r="B203" t="s">
        <v>115</v>
      </c>
      <c r="E203" s="31" t="s">
        <v>1629</v>
      </c>
      <c r="F203" t="str">
        <f>"Warengruppe&gt;&gt;"&amp;Migrationsartikel!V201&amp;"&gt;&gt;"&amp;Migrationsartikel!W201&amp;"&gt;&gt;"&amp;Migrationsartikel!X201</f>
        <v>Warengruppe&gt;&gt;Früchte und Gemüse&gt;&gt;Früchte und Gemüse&gt;&gt;Früchte</v>
      </c>
      <c r="J203" s="31" t="s">
        <v>125</v>
      </c>
      <c r="M203" s="31" t="s">
        <v>137</v>
      </c>
      <c r="P203" s="31">
        <f>Migrationsartikel!B201</f>
        <v>122</v>
      </c>
      <c r="R203" t="str">
        <f>Migrationsartikel!F201&amp;" "&amp;Migrationsartikel!G201&amp;" "&amp;Migrationsartikel!H201</f>
        <v xml:space="preserve">Aprikosen  Offen AAA </v>
      </c>
      <c r="S203" t="str">
        <f>Migrationsartikel!J201&amp;" "&amp;Migrationsartikel!K201&amp;" "&amp;Migrationsartikel!L201</f>
        <v xml:space="preserve">Abricots  En vrac AAA </v>
      </c>
      <c r="T203" t="str">
        <f>Migrationsartikel!N201&amp;" "&amp;Migrationsartikel!O201&amp;" "&amp;Migrationsartikel!P201</f>
        <v xml:space="preserve">Albicocche  vendita sfusa AAA </v>
      </c>
      <c r="U203" t="str">
        <f>Migrationsartikel!F201</f>
        <v xml:space="preserve">Aprikosen </v>
      </c>
      <c r="V203" t="str">
        <f>Migrationsartikel!J201</f>
        <v xml:space="preserve">Abricots </v>
      </c>
      <c r="W203" t="str">
        <f>Migrationsartikel!N201</f>
        <v xml:space="preserve">Albicocche </v>
      </c>
      <c r="X203" t="str">
        <f>Migrationsartikel!G201</f>
        <v>Offen AAA</v>
      </c>
      <c r="Y203" t="str">
        <f>Migrationsartikel!K201</f>
        <v>En vrac AAA</v>
      </c>
      <c r="Z203" t="str">
        <f>Migrationsartikel!O201</f>
        <v>vendita sfusa AAA</v>
      </c>
      <c r="AA203" s="31">
        <f>Migrationsartikel!H201</f>
        <v>0</v>
      </c>
      <c r="AB203" s="31">
        <f>Migrationsartikel!L201</f>
        <v>0</v>
      </c>
      <c r="AC203" s="31">
        <f>Migrationsartikel!P201</f>
        <v>0</v>
      </c>
      <c r="AD203" t="str">
        <f>Migrationsartikel!I201</f>
        <v>Aprikosen Offen AAA</v>
      </c>
      <c r="AE203" t="str">
        <f>Migrationsartikel!M201</f>
        <v>Abricosts en vrac AAA</v>
      </c>
      <c r="AF203" t="str">
        <f>Migrationsartikel!Q201</f>
        <v xml:space="preserve">Albicocche vend. sfus. AAA </v>
      </c>
      <c r="AG203" s="45">
        <f>Migrationsartikel!R201</f>
        <v>1</v>
      </c>
      <c r="AH203" s="46" t="str">
        <f>Migrationsartikel!T201</f>
        <v>Kilogramm</v>
      </c>
      <c r="AI203" s="46" t="str">
        <f t="shared" si="9"/>
        <v>3</v>
      </c>
      <c r="AJ203" s="46" t="s">
        <v>176</v>
      </c>
      <c r="AK203">
        <f>Migrationsartikel!S201</f>
        <v>1</v>
      </c>
      <c r="AL203">
        <f>Migrationsartikel!S201</f>
        <v>1</v>
      </c>
      <c r="AM203">
        <f>Migrationsartikel!S201</f>
        <v>1</v>
      </c>
      <c r="AN203" t="str">
        <f>Migrationsartikel!U201</f>
        <v>(KGM) KG</v>
      </c>
      <c r="AO203" t="str">
        <f t="shared" si="10"/>
        <v>(KGM) Kg</v>
      </c>
      <c r="AP203" t="str">
        <f t="shared" si="11"/>
        <v>(KGM) KG</v>
      </c>
      <c r="AQ203" s="31" t="s">
        <v>195</v>
      </c>
      <c r="AR203" s="47"/>
      <c r="AS203" s="47"/>
      <c r="AT203" s="31" t="s">
        <v>208</v>
      </c>
      <c r="AU203" s="47"/>
      <c r="AV203" s="47"/>
      <c r="AW203" t="str">
        <f>IF(Migrationsartikel!AB201="ja","true",FALSE)</f>
        <v>true</v>
      </c>
      <c r="AX203" t="str">
        <f>IF(Migrationsartikel!AC201="ja","true",FALSE)</f>
        <v>true</v>
      </c>
      <c r="AY203" t="str">
        <f>IF(Migrationsartikel!AD201="ja","true",FALSE)</f>
        <v>true</v>
      </c>
      <c r="AZ203" t="str">
        <f>IF(Migrationsartikel!AE201="ja","true",FALSE)</f>
        <v>true</v>
      </c>
      <c r="BA203" t="str">
        <f>IF(Migrationsartikel!AF201="ja","Denner Partner","")</f>
        <v/>
      </c>
      <c r="BB203" t="str">
        <f>IF(Migrationsartikel!AG201="ja","true","false")</f>
        <v>false</v>
      </c>
      <c r="BC203" t="s">
        <v>1923</v>
      </c>
      <c r="BD203" s="31" t="s">
        <v>235</v>
      </c>
      <c r="BE203" s="31" t="s">
        <v>233</v>
      </c>
    </row>
    <row r="204" spans="2:57" ht="21.75" customHeight="1" x14ac:dyDescent="0.45">
      <c r="B204" t="s">
        <v>115</v>
      </c>
      <c r="E204" s="31" t="s">
        <v>1630</v>
      </c>
      <c r="F204" t="str">
        <f>"Warengruppe&gt;&gt;"&amp;Migrationsartikel!V202&amp;"&gt;&gt;"&amp;Migrationsartikel!W202&amp;"&gt;&gt;"&amp;Migrationsartikel!X202</f>
        <v>Warengruppe&gt;&gt;Früchte und Gemüse&gt;&gt;Früchte und Gemüse&gt;&gt;Früchte</v>
      </c>
      <c r="J204" s="31" t="s">
        <v>125</v>
      </c>
      <c r="M204" s="31" t="s">
        <v>137</v>
      </c>
      <c r="P204" s="31">
        <f>Migrationsartikel!B202</f>
        <v>0</v>
      </c>
      <c r="R204" t="str">
        <f>Migrationsartikel!F202&amp;" "&amp;Migrationsartikel!G202&amp;" "&amp;Migrationsartikel!H202</f>
        <v>Aprikosen  ca. 800g</v>
      </c>
      <c r="S204" t="str">
        <f>Migrationsartikel!J202&amp;" "&amp;Migrationsartikel!K202&amp;" "&amp;Migrationsartikel!L202</f>
        <v>Abricots  env. 800g</v>
      </c>
      <c r="T204" t="str">
        <f>Migrationsartikel!N202&amp;" "&amp;Migrationsartikel!O202&amp;" "&amp;Migrationsartikel!P202</f>
        <v>Albicocche  ca. 800g</v>
      </c>
      <c r="U204" t="str">
        <f>Migrationsartikel!F202</f>
        <v>Aprikosen</v>
      </c>
      <c r="V204" t="str">
        <f>Migrationsartikel!J202</f>
        <v>Abricots</v>
      </c>
      <c r="W204" t="str">
        <f>Migrationsartikel!N202</f>
        <v>Albicocche</v>
      </c>
      <c r="X204">
        <f>Migrationsartikel!G202</f>
        <v>0</v>
      </c>
      <c r="Y204">
        <f>Migrationsartikel!K202</f>
        <v>0</v>
      </c>
      <c r="Z204">
        <f>Migrationsartikel!O202</f>
        <v>0</v>
      </c>
      <c r="AA204" s="31" t="str">
        <f>Migrationsartikel!H202</f>
        <v>ca. 800g</v>
      </c>
      <c r="AB204" s="31" t="str">
        <f>Migrationsartikel!L202</f>
        <v>env. 800g</v>
      </c>
      <c r="AC204" s="31" t="str">
        <f>Migrationsartikel!P202</f>
        <v>ca. 800g</v>
      </c>
      <c r="AD204" t="str">
        <f>Migrationsartikel!I202</f>
        <v>Aprikosen ca. 800g</v>
      </c>
      <c r="AE204" t="str">
        <f>Migrationsartikel!M202</f>
        <v>Abricots env. 800g</v>
      </c>
      <c r="AF204" t="str">
        <f>Migrationsartikel!Q202</f>
        <v>Albicocche ca. 800g</v>
      </c>
      <c r="AG204" s="45">
        <f>Migrationsartikel!R202</f>
        <v>0.8</v>
      </c>
      <c r="AH204" s="46" t="str">
        <f>Migrationsartikel!T202</f>
        <v>Kilogramm</v>
      </c>
      <c r="AI204" s="46" t="str">
        <f t="shared" si="9"/>
        <v>3</v>
      </c>
      <c r="AJ204" s="46" t="s">
        <v>176</v>
      </c>
      <c r="AK204">
        <f>Migrationsartikel!S202</f>
        <v>1</v>
      </c>
      <c r="AL204">
        <f>Migrationsartikel!S202</f>
        <v>1</v>
      </c>
      <c r="AM204">
        <f>Migrationsartikel!S202</f>
        <v>1</v>
      </c>
      <c r="AN204" t="str">
        <f>Migrationsartikel!U202</f>
        <v>(PCE) Stück</v>
      </c>
      <c r="AO204" t="str">
        <f t="shared" si="10"/>
        <v>(PCE) Pièce</v>
      </c>
      <c r="AP204" t="str">
        <f t="shared" si="11"/>
        <v>(PCE) Pièce</v>
      </c>
      <c r="AQ204" s="31" t="s">
        <v>195</v>
      </c>
      <c r="AR204" s="47"/>
      <c r="AS204" s="47"/>
      <c r="AT204" s="31" t="s">
        <v>208</v>
      </c>
      <c r="AU204" s="47"/>
      <c r="AV204" s="47"/>
      <c r="AW204" t="str">
        <f>IF(Migrationsartikel!AB202="ja","true",FALSE)</f>
        <v>true</v>
      </c>
      <c r="AX204" t="str">
        <f>IF(Migrationsartikel!AC202="ja","true",FALSE)</f>
        <v>true</v>
      </c>
      <c r="AY204" t="str">
        <f>IF(Migrationsartikel!AD202="ja","true",FALSE)</f>
        <v>true</v>
      </c>
      <c r="AZ204" t="str">
        <f>IF(Migrationsartikel!AE202="ja","true",FALSE)</f>
        <v>true</v>
      </c>
      <c r="BA204" t="str">
        <f>IF(Migrationsartikel!AF202="ja","Denner Partner","")</f>
        <v/>
      </c>
      <c r="BB204" t="str">
        <f>IF(Migrationsartikel!AG202="ja","true","false")</f>
        <v>false</v>
      </c>
      <c r="BC204" t="s">
        <v>1923</v>
      </c>
      <c r="BD204" s="31" t="s">
        <v>235</v>
      </c>
      <c r="BE204" s="31" t="s">
        <v>233</v>
      </c>
    </row>
    <row r="205" spans="2:57" ht="21.75" customHeight="1" x14ac:dyDescent="0.45">
      <c r="B205" t="s">
        <v>115</v>
      </c>
      <c r="E205" s="31" t="s">
        <v>1631</v>
      </c>
      <c r="F205" t="str">
        <f>"Warengruppe&gt;&gt;"&amp;Migrationsartikel!V203&amp;"&gt;&gt;"&amp;Migrationsartikel!W203&amp;"&gt;&gt;"&amp;Migrationsartikel!X203</f>
        <v>Warengruppe&gt;&gt;Früchte und Gemüse&gt;&gt;Früchte und Gemüse&gt;&gt;Früchte</v>
      </c>
      <c r="J205" s="31" t="s">
        <v>125</v>
      </c>
      <c r="M205" s="31" t="s">
        <v>137</v>
      </c>
      <c r="P205" s="31">
        <f>Migrationsartikel!B203</f>
        <v>124</v>
      </c>
      <c r="R205" t="str">
        <f>Migrationsartikel!F203&amp;" "&amp;Migrationsartikel!G203&amp;" "&amp;Migrationsartikel!H203</f>
        <v xml:space="preserve">Aprikosen Offen  </v>
      </c>
      <c r="S205" t="str">
        <f>Migrationsartikel!J203&amp;" "&amp;Migrationsartikel!K203&amp;" "&amp;Migrationsartikel!L203</f>
        <v xml:space="preserve">Abrivots En Vrac </v>
      </c>
      <c r="T205" t="str">
        <f>Migrationsartikel!N203&amp;" "&amp;Migrationsartikel!O203&amp;" "&amp;Migrationsartikel!P203</f>
        <v xml:space="preserve">Albicocche vendita sfusa </v>
      </c>
      <c r="U205" t="str">
        <f>Migrationsartikel!F203</f>
        <v>Aprikosen Offen</v>
      </c>
      <c r="V205" t="str">
        <f>Migrationsartikel!J203</f>
        <v>Abrivots</v>
      </c>
      <c r="W205" t="str">
        <f>Migrationsartikel!N203</f>
        <v>Albicocche</v>
      </c>
      <c r="X205">
        <f>Migrationsartikel!G203</f>
        <v>0</v>
      </c>
      <c r="Y205" t="str">
        <f>Migrationsartikel!K203</f>
        <v>En Vrac</v>
      </c>
      <c r="Z205" t="str">
        <f>Migrationsartikel!O203</f>
        <v>vendita sfusa</v>
      </c>
      <c r="AA205" s="31">
        <f>Migrationsartikel!H203</f>
        <v>0</v>
      </c>
      <c r="AB205" s="31">
        <f>Migrationsartikel!L203</f>
        <v>0</v>
      </c>
      <c r="AC205" s="31">
        <f>Migrationsartikel!P203</f>
        <v>0</v>
      </c>
      <c r="AD205" t="str">
        <f>Migrationsartikel!I203</f>
        <v>Aprikosen Offen</v>
      </c>
      <c r="AE205" t="str">
        <f>Migrationsartikel!M203</f>
        <v>Abricots en vrac</v>
      </c>
      <c r="AF205" t="str">
        <f>Migrationsartikel!Q203</f>
        <v>Albicocche vend. sfusa</v>
      </c>
      <c r="AG205" s="45">
        <f>Migrationsartikel!R203</f>
        <v>1</v>
      </c>
      <c r="AH205" s="46" t="str">
        <f>Migrationsartikel!T203</f>
        <v>Kilogramm</v>
      </c>
      <c r="AI205" s="46" t="str">
        <f t="shared" si="9"/>
        <v>3</v>
      </c>
      <c r="AJ205" s="46" t="s">
        <v>176</v>
      </c>
      <c r="AK205">
        <f>Migrationsartikel!S203</f>
        <v>1</v>
      </c>
      <c r="AL205">
        <f>Migrationsartikel!S203</f>
        <v>1</v>
      </c>
      <c r="AM205">
        <f>Migrationsartikel!S203</f>
        <v>1</v>
      </c>
      <c r="AN205" t="str">
        <f>Migrationsartikel!U203</f>
        <v>(KGM) KG</v>
      </c>
      <c r="AO205" t="str">
        <f t="shared" si="10"/>
        <v>(KGM) Kg</v>
      </c>
      <c r="AP205" t="str">
        <f t="shared" si="11"/>
        <v>(KGM) KG</v>
      </c>
      <c r="AQ205" s="31" t="s">
        <v>195</v>
      </c>
      <c r="AR205" s="47"/>
      <c r="AS205" s="47"/>
      <c r="AT205" s="31" t="s">
        <v>208</v>
      </c>
      <c r="AU205" s="47"/>
      <c r="AV205" s="47"/>
      <c r="AW205" t="str">
        <f>IF(Migrationsartikel!AB203="ja","true",FALSE)</f>
        <v>true</v>
      </c>
      <c r="AX205" t="str">
        <f>IF(Migrationsartikel!AC203="ja","true",FALSE)</f>
        <v>true</v>
      </c>
      <c r="AY205" t="str">
        <f>IF(Migrationsartikel!AD203="ja","true",FALSE)</f>
        <v>true</v>
      </c>
      <c r="AZ205" t="str">
        <f>IF(Migrationsartikel!AE203="ja","true",FALSE)</f>
        <v>true</v>
      </c>
      <c r="BA205" t="str">
        <f>IF(Migrationsartikel!AF203="ja","Denner Partner","")</f>
        <v/>
      </c>
      <c r="BB205" t="str">
        <f>IF(Migrationsartikel!AG203="ja","true","false")</f>
        <v>false</v>
      </c>
      <c r="BC205" t="s">
        <v>1923</v>
      </c>
      <c r="BD205" s="31" t="s">
        <v>235</v>
      </c>
      <c r="BE205" s="31" t="s">
        <v>233</v>
      </c>
    </row>
    <row r="206" spans="2:57" ht="21.75" customHeight="1" x14ac:dyDescent="0.45">
      <c r="B206" t="s">
        <v>115</v>
      </c>
      <c r="E206" s="31" t="s">
        <v>1632</v>
      </c>
      <c r="F206" t="str">
        <f>"Warengruppe&gt;&gt;"&amp;Migrationsartikel!V204&amp;"&gt;&gt;"&amp;Migrationsartikel!W204&amp;"&gt;&gt;"&amp;Migrationsartikel!X204</f>
        <v>Warengruppe&gt;&gt;Früchte und Gemüse&gt;&gt;Früchte und Gemüse&gt;&gt;Früchte</v>
      </c>
      <c r="J206" s="31" t="s">
        <v>125</v>
      </c>
      <c r="M206" s="31" t="s">
        <v>137</v>
      </c>
      <c r="P206" s="31">
        <f>Migrationsartikel!B204</f>
        <v>0</v>
      </c>
      <c r="R206" t="str">
        <f>Migrationsartikel!F204&amp;" "&amp;Migrationsartikel!G204&amp;" "&amp;Migrationsartikel!H204</f>
        <v>Aprikosen Schale 650g</v>
      </c>
      <c r="S206" t="str">
        <f>Migrationsartikel!J204&amp;" "&amp;Migrationsartikel!K204&amp;" "&amp;Migrationsartikel!L204</f>
        <v>Abricots Barquette 650g</v>
      </c>
      <c r="T206" t="str">
        <f>Migrationsartikel!N204&amp;" "&amp;Migrationsartikel!O204&amp;" "&amp;Migrationsartikel!P204</f>
        <v>Albicocche vaschetta 650g</v>
      </c>
      <c r="U206" t="str">
        <f>Migrationsartikel!F204</f>
        <v>Aprikosen</v>
      </c>
      <c r="V206" t="str">
        <f>Migrationsartikel!J204</f>
        <v>Abricots</v>
      </c>
      <c r="W206" t="str">
        <f>Migrationsartikel!N204</f>
        <v>Albicocche</v>
      </c>
      <c r="X206" t="str">
        <f>Migrationsartikel!G204</f>
        <v>Schale</v>
      </c>
      <c r="Y206" t="str">
        <f>Migrationsartikel!K204</f>
        <v>Barquette</v>
      </c>
      <c r="Z206" t="str">
        <f>Migrationsartikel!O204</f>
        <v>vaschetta</v>
      </c>
      <c r="AA206" s="31" t="str">
        <f>Migrationsartikel!H204</f>
        <v>650g</v>
      </c>
      <c r="AB206" s="31" t="str">
        <f>Migrationsartikel!L204</f>
        <v>650g</v>
      </c>
      <c r="AC206" s="31" t="str">
        <f>Migrationsartikel!P204</f>
        <v>650g</v>
      </c>
      <c r="AD206" t="str">
        <f>Migrationsartikel!I204</f>
        <v>Aprikosen Schale 650g</v>
      </c>
      <c r="AE206" t="str">
        <f>Migrationsartikel!M204</f>
        <v>Abricots barquette 650g</v>
      </c>
      <c r="AF206" t="str">
        <f>Migrationsartikel!Q204</f>
        <v>Albicocche vasch. 650g</v>
      </c>
      <c r="AG206" s="45">
        <f>Migrationsartikel!R204</f>
        <v>0.65</v>
      </c>
      <c r="AH206" s="46" t="str">
        <f>Migrationsartikel!T204</f>
        <v>Kilogramm</v>
      </c>
      <c r="AI206" s="46" t="str">
        <f t="shared" si="9"/>
        <v>3</v>
      </c>
      <c r="AJ206" s="46" t="s">
        <v>176</v>
      </c>
      <c r="AK206">
        <f>Migrationsartikel!S204</f>
        <v>1</v>
      </c>
      <c r="AL206">
        <f>Migrationsartikel!S204</f>
        <v>1</v>
      </c>
      <c r="AM206">
        <f>Migrationsartikel!S204</f>
        <v>1</v>
      </c>
      <c r="AN206" t="str">
        <f>Migrationsartikel!U204</f>
        <v>(PCE) Stück</v>
      </c>
      <c r="AO206" t="str">
        <f t="shared" si="10"/>
        <v>(PCE) Pièce</v>
      </c>
      <c r="AP206" t="str">
        <f t="shared" si="11"/>
        <v>(PCE) Pièce</v>
      </c>
      <c r="AQ206" s="31" t="s">
        <v>195</v>
      </c>
      <c r="AR206" s="47"/>
      <c r="AS206" s="47"/>
      <c r="AT206" s="31" t="s">
        <v>208</v>
      </c>
      <c r="AU206" s="47"/>
      <c r="AV206" s="47"/>
      <c r="AW206" t="str">
        <f>IF(Migrationsartikel!AB204="ja","true",FALSE)</f>
        <v>true</v>
      </c>
      <c r="AX206" t="str">
        <f>IF(Migrationsartikel!AC204="ja","true",FALSE)</f>
        <v>true</v>
      </c>
      <c r="AY206" t="str">
        <f>IF(Migrationsartikel!AD204="ja","true",FALSE)</f>
        <v>true</v>
      </c>
      <c r="AZ206" t="str">
        <f>IF(Migrationsartikel!AE204="ja","true",FALSE)</f>
        <v>true</v>
      </c>
      <c r="BA206" t="str">
        <f>IF(Migrationsartikel!AF204="ja","Denner Partner","")</f>
        <v/>
      </c>
      <c r="BB206" t="str">
        <f>IF(Migrationsartikel!AG204="ja","true","false")</f>
        <v>false</v>
      </c>
      <c r="BC206" t="s">
        <v>1923</v>
      </c>
      <c r="BD206" s="31" t="s">
        <v>235</v>
      </c>
      <c r="BE206" s="31" t="s">
        <v>233</v>
      </c>
    </row>
    <row r="207" spans="2:57" ht="21.75" customHeight="1" x14ac:dyDescent="0.45">
      <c r="B207" t="s">
        <v>115</v>
      </c>
      <c r="E207" s="31" t="s">
        <v>1633</v>
      </c>
      <c r="F207" t="str">
        <f>"Warengruppe&gt;&gt;"&amp;Migrationsartikel!V205&amp;"&gt;&gt;"&amp;Migrationsartikel!W205&amp;"&gt;&gt;"&amp;Migrationsartikel!X205</f>
        <v>Warengruppe&gt;&gt;Früchte und Gemüse&gt;&gt;Früchte und Gemüse&gt;&gt;Früchte</v>
      </c>
      <c r="J207" s="31" t="s">
        <v>125</v>
      </c>
      <c r="M207" s="31" t="s">
        <v>137</v>
      </c>
      <c r="P207" s="31">
        <f>Migrationsartikel!B205</f>
        <v>0</v>
      </c>
      <c r="R207" t="str">
        <f>Migrationsartikel!F205&amp;" "&amp;Migrationsartikel!G205&amp;" "&amp;Migrationsartikel!H205</f>
        <v>Aprikosen getrocknet  200g</v>
      </c>
      <c r="S207" t="str">
        <f>Migrationsartikel!J205&amp;" "&amp;Migrationsartikel!K205&amp;" "&amp;Migrationsartikel!L205</f>
        <v>Abricots secs  200g</v>
      </c>
      <c r="T207" t="str">
        <f>Migrationsartikel!N205&amp;" "&amp;Migrationsartikel!O205&amp;" "&amp;Migrationsartikel!P205</f>
        <v>Albicocche secche  200g</v>
      </c>
      <c r="U207" t="str">
        <f>Migrationsartikel!F205</f>
        <v>Aprikosen getrocknet</v>
      </c>
      <c r="V207" t="str">
        <f>Migrationsartikel!J205</f>
        <v>Abricots secs</v>
      </c>
      <c r="W207" t="str">
        <f>Migrationsartikel!N205</f>
        <v>Albicocche secche</v>
      </c>
      <c r="X207">
        <f>Migrationsartikel!G205</f>
        <v>0</v>
      </c>
      <c r="Y207">
        <f>Migrationsartikel!K205</f>
        <v>0</v>
      </c>
      <c r="Z207">
        <f>Migrationsartikel!O205</f>
        <v>0</v>
      </c>
      <c r="AA207" s="31" t="str">
        <f>Migrationsartikel!H205</f>
        <v>200g</v>
      </c>
      <c r="AB207" s="31" t="str">
        <f>Migrationsartikel!L205</f>
        <v>200g</v>
      </c>
      <c r="AC207" s="31" t="str">
        <f>Migrationsartikel!P205</f>
        <v>200g</v>
      </c>
      <c r="AD207" t="str">
        <f>Migrationsartikel!I205</f>
        <v>Aprikosen getrocknet 200g</v>
      </c>
      <c r="AE207" t="str">
        <f>Migrationsartikel!M205</f>
        <v>Abricots secs 200g</v>
      </c>
      <c r="AF207" t="str">
        <f>Migrationsartikel!Q205</f>
        <v>Albicocche secche 200g</v>
      </c>
      <c r="AG207" s="45">
        <f>Migrationsartikel!R205</f>
        <v>0.2</v>
      </c>
      <c r="AH207" s="46" t="str">
        <f>Migrationsartikel!T205</f>
        <v>Gramm</v>
      </c>
      <c r="AI207" s="46" t="str">
        <f t="shared" si="9"/>
        <v>Gramm</v>
      </c>
      <c r="AJ207" s="46" t="s">
        <v>176</v>
      </c>
      <c r="AK207">
        <f>Migrationsartikel!S205</f>
        <v>100</v>
      </c>
      <c r="AL207">
        <f>Migrationsartikel!S205</f>
        <v>100</v>
      </c>
      <c r="AM207">
        <f>Migrationsartikel!S205</f>
        <v>100</v>
      </c>
      <c r="AN207" t="str">
        <f>Migrationsartikel!U205</f>
        <v>(PCE) Stück</v>
      </c>
      <c r="AO207" t="str">
        <f t="shared" si="10"/>
        <v>(PCE) Pièce</v>
      </c>
      <c r="AP207" t="str">
        <f t="shared" si="11"/>
        <v>(PCE) Pièce</v>
      </c>
      <c r="AQ207" s="31" t="s">
        <v>195</v>
      </c>
      <c r="AR207" s="47"/>
      <c r="AS207" s="47"/>
      <c r="AT207" s="31" t="s">
        <v>208</v>
      </c>
      <c r="AU207" s="47"/>
      <c r="AV207" s="47"/>
      <c r="AW207" t="str">
        <f>IF(Migrationsartikel!AB205="ja","true",FALSE)</f>
        <v>true</v>
      </c>
      <c r="AX207" t="str">
        <f>IF(Migrationsartikel!AC205="ja","true",FALSE)</f>
        <v>true</v>
      </c>
      <c r="AY207" t="str">
        <f>IF(Migrationsartikel!AD205="ja","true",FALSE)</f>
        <v>true</v>
      </c>
      <c r="AZ207" t="str">
        <f>IF(Migrationsartikel!AE205="ja","true",FALSE)</f>
        <v>true</v>
      </c>
      <c r="BA207" t="str">
        <f>IF(Migrationsartikel!AF205="ja","Denner Partner","")</f>
        <v/>
      </c>
      <c r="BB207" t="str">
        <f>IF(Migrationsartikel!AG205="ja","true","false")</f>
        <v>false</v>
      </c>
      <c r="BC207" t="s">
        <v>1923</v>
      </c>
      <c r="BD207" s="31" t="s">
        <v>235</v>
      </c>
      <c r="BE207" s="31" t="s">
        <v>233</v>
      </c>
    </row>
    <row r="208" spans="2:57" ht="21.75" customHeight="1" x14ac:dyDescent="0.45">
      <c r="B208" t="s">
        <v>115</v>
      </c>
      <c r="E208" s="31" t="s">
        <v>1634</v>
      </c>
      <c r="F208" t="str">
        <f>"Warengruppe&gt;&gt;"&amp;Migrationsartikel!V206&amp;"&gt;&gt;"&amp;Migrationsartikel!W206&amp;"&gt;&gt;"&amp;Migrationsartikel!X206</f>
        <v>Warengruppe&gt;&gt;Früchte und Gemüse&gt;&gt;Früchte und Gemüse&gt;&gt;Früchte</v>
      </c>
      <c r="J208" s="31" t="s">
        <v>125</v>
      </c>
      <c r="M208" s="31" t="s">
        <v>137</v>
      </c>
      <c r="P208" s="31">
        <f>Migrationsartikel!B206</f>
        <v>126</v>
      </c>
      <c r="R208" t="str">
        <f>Migrationsartikel!F206&amp;" "&amp;Migrationsartikel!G206&amp;" "&amp;Migrationsartikel!H206</f>
        <v xml:space="preserve">Bananen Fyffes Offen </v>
      </c>
      <c r="S208" t="str">
        <f>Migrationsartikel!J206&amp;" "&amp;Migrationsartikel!K206&amp;" "&amp;Migrationsartikel!L206</f>
        <v xml:space="preserve">Bananes Fyffes En vrac </v>
      </c>
      <c r="T208" t="str">
        <f>Migrationsartikel!N206&amp;" "&amp;Migrationsartikel!O206&amp;" "&amp;Migrationsartikel!P206</f>
        <v xml:space="preserve">Banane Fyffes vendita sfusa </v>
      </c>
      <c r="U208" t="str">
        <f>Migrationsartikel!F206</f>
        <v>Bananen Fyffes</v>
      </c>
      <c r="V208" t="str">
        <f>Migrationsartikel!J206</f>
        <v>Bananes Fyffes</v>
      </c>
      <c r="W208" t="str">
        <f>Migrationsartikel!N206</f>
        <v>Banane Fyffes</v>
      </c>
      <c r="X208" t="str">
        <f>Migrationsartikel!G206</f>
        <v>Offen</v>
      </c>
      <c r="Y208" t="str">
        <f>Migrationsartikel!K206</f>
        <v>En vrac</v>
      </c>
      <c r="Z208" t="str">
        <f>Migrationsartikel!O206</f>
        <v>vendita sfusa</v>
      </c>
      <c r="AA208" s="31">
        <f>Migrationsartikel!H206</f>
        <v>0</v>
      </c>
      <c r="AB208" s="31">
        <f>Migrationsartikel!L206</f>
        <v>0</v>
      </c>
      <c r="AC208" s="31">
        <f>Migrationsartikel!P206</f>
        <v>0</v>
      </c>
      <c r="AD208" t="str">
        <f>Migrationsartikel!I206</f>
        <v>Bananen Fyffes Offen</v>
      </c>
      <c r="AE208" t="str">
        <f>Migrationsartikel!M206</f>
        <v>Bananes Fyffes en vrac</v>
      </c>
      <c r="AF208" t="str">
        <f>Migrationsartikel!Q206</f>
        <v>Banane Fyffes vend. sfusa</v>
      </c>
      <c r="AG208" s="45">
        <f>Migrationsartikel!R206</f>
        <v>1</v>
      </c>
      <c r="AH208" s="46" t="str">
        <f>Migrationsartikel!T206</f>
        <v>Kilogramm</v>
      </c>
      <c r="AI208" s="46" t="str">
        <f t="shared" si="9"/>
        <v>3</v>
      </c>
      <c r="AJ208" s="46" t="s">
        <v>176</v>
      </c>
      <c r="AK208">
        <f>Migrationsartikel!S206</f>
        <v>1</v>
      </c>
      <c r="AL208">
        <f>Migrationsartikel!S206</f>
        <v>1</v>
      </c>
      <c r="AM208">
        <f>Migrationsartikel!S206</f>
        <v>1</v>
      </c>
      <c r="AN208" t="str">
        <f>Migrationsartikel!U206</f>
        <v>(KGM) KG</v>
      </c>
      <c r="AO208" t="str">
        <f t="shared" si="10"/>
        <v>(KGM) Kg</v>
      </c>
      <c r="AP208" t="str">
        <f t="shared" si="11"/>
        <v>(KGM) KG</v>
      </c>
      <c r="AQ208" s="31" t="s">
        <v>195</v>
      </c>
      <c r="AR208" s="47"/>
      <c r="AS208" s="47"/>
      <c r="AT208" s="31" t="s">
        <v>208</v>
      </c>
      <c r="AU208" s="47"/>
      <c r="AV208" s="47"/>
      <c r="AW208" t="str">
        <f>IF(Migrationsartikel!AB206="ja","true",FALSE)</f>
        <v>true</v>
      </c>
      <c r="AX208" t="str">
        <f>IF(Migrationsartikel!AC206="ja","true",FALSE)</f>
        <v>true</v>
      </c>
      <c r="AY208" t="str">
        <f>IF(Migrationsartikel!AD206="ja","true",FALSE)</f>
        <v>true</v>
      </c>
      <c r="AZ208" t="str">
        <f>IF(Migrationsartikel!AE206="ja","true",FALSE)</f>
        <v>true</v>
      </c>
      <c r="BA208" t="str">
        <f>IF(Migrationsartikel!AF206="ja","Denner Partner","")</f>
        <v/>
      </c>
      <c r="BB208" t="str">
        <f>IF(Migrationsartikel!AG206="ja","true","false")</f>
        <v>false</v>
      </c>
      <c r="BC208" t="s">
        <v>1923</v>
      </c>
      <c r="BD208" s="31" t="s">
        <v>235</v>
      </c>
      <c r="BE208" s="31" t="s">
        <v>233</v>
      </c>
    </row>
    <row r="209" spans="2:57" ht="21.75" customHeight="1" x14ac:dyDescent="0.45">
      <c r="B209" t="s">
        <v>115</v>
      </c>
      <c r="E209" s="31" t="s">
        <v>1635</v>
      </c>
      <c r="F209" t="str">
        <f>"Warengruppe&gt;&gt;"&amp;Migrationsartikel!V207&amp;"&gt;&gt;"&amp;Migrationsartikel!W207&amp;"&gt;&gt;"&amp;Migrationsartikel!X207</f>
        <v>Warengruppe&gt;&gt;Früchte und Gemüse&gt;&gt;Früchte und Gemüse&gt;&gt;Früchte</v>
      </c>
      <c r="J209" s="31" t="s">
        <v>125</v>
      </c>
      <c r="M209" s="31" t="s">
        <v>137</v>
      </c>
      <c r="P209" s="31">
        <f>Migrationsartikel!B207</f>
        <v>0</v>
      </c>
      <c r="R209" t="str">
        <f>Migrationsartikel!F207&amp;" "&amp;Migrationsartikel!G207&amp;" "&amp;Migrationsartikel!H207</f>
        <v xml:space="preserve">Bananen gepackt </v>
      </c>
      <c r="S209" t="str">
        <f>Migrationsartikel!J207&amp;" "&amp;Migrationsartikel!K207&amp;" "&amp;Migrationsartikel!L207</f>
        <v xml:space="preserve">Bananes Emballé </v>
      </c>
      <c r="T209" t="str">
        <f>Migrationsartikel!N207&amp;" "&amp;Migrationsartikel!O207&amp;" "&amp;Migrationsartikel!P207</f>
        <v xml:space="preserve">Banane confezionato </v>
      </c>
      <c r="U209" t="str">
        <f>Migrationsartikel!F207</f>
        <v>Bananen</v>
      </c>
      <c r="V209" t="str">
        <f>Migrationsartikel!J207</f>
        <v>Bananes</v>
      </c>
      <c r="W209" t="str">
        <f>Migrationsartikel!N207</f>
        <v>Banane</v>
      </c>
      <c r="X209" t="str">
        <f>Migrationsartikel!G207</f>
        <v>gepackt</v>
      </c>
      <c r="Y209" t="str">
        <f>Migrationsartikel!K207</f>
        <v>Emballé</v>
      </c>
      <c r="Z209" t="str">
        <f>Migrationsartikel!O207</f>
        <v>confezionato</v>
      </c>
      <c r="AA209" s="31">
        <f>Migrationsartikel!H207</f>
        <v>0</v>
      </c>
      <c r="AB209" s="31">
        <f>Migrationsartikel!L207</f>
        <v>0</v>
      </c>
      <c r="AC209" s="31">
        <f>Migrationsartikel!P207</f>
        <v>0</v>
      </c>
      <c r="AD209" t="str">
        <f>Migrationsartikel!I207</f>
        <v>Bananen gepackt</v>
      </c>
      <c r="AE209" t="str">
        <f>Migrationsartikel!M207</f>
        <v>Bananes emballé</v>
      </c>
      <c r="AF209" t="str">
        <f>Migrationsartikel!Q207</f>
        <v>Banane confezionato</v>
      </c>
      <c r="AG209" s="45">
        <f>Migrationsartikel!R207</f>
        <v>1</v>
      </c>
      <c r="AH209" s="46" t="str">
        <f>Migrationsartikel!T207</f>
        <v>Kilogramm</v>
      </c>
      <c r="AI209" s="46" t="str">
        <f t="shared" si="9"/>
        <v>3</v>
      </c>
      <c r="AJ209" s="46" t="s">
        <v>176</v>
      </c>
      <c r="AK209">
        <f>Migrationsartikel!S207</f>
        <v>1</v>
      </c>
      <c r="AL209">
        <f>Migrationsartikel!S207</f>
        <v>1</v>
      </c>
      <c r="AM209">
        <f>Migrationsartikel!S207</f>
        <v>1</v>
      </c>
      <c r="AN209" t="str">
        <f>Migrationsartikel!U207</f>
        <v>(PCE) Stück</v>
      </c>
      <c r="AO209" t="str">
        <f t="shared" si="10"/>
        <v>(PCE) Pièce</v>
      </c>
      <c r="AP209" t="str">
        <f t="shared" si="11"/>
        <v>(PCE) Pièce</v>
      </c>
      <c r="AQ209" s="31" t="s">
        <v>195</v>
      </c>
      <c r="AR209" s="47"/>
      <c r="AS209" s="47"/>
      <c r="AT209" s="31" t="s">
        <v>208</v>
      </c>
      <c r="AU209" s="47"/>
      <c r="AV209" s="47"/>
      <c r="AW209" t="str">
        <f>IF(Migrationsartikel!AB207="ja","true",FALSE)</f>
        <v>true</v>
      </c>
      <c r="AX209" t="str">
        <f>IF(Migrationsartikel!AC207="ja","true",FALSE)</f>
        <v>true</v>
      </c>
      <c r="AY209" t="str">
        <f>IF(Migrationsartikel!AD207="ja","true",FALSE)</f>
        <v>true</v>
      </c>
      <c r="AZ209" t="str">
        <f>IF(Migrationsartikel!AE207="ja","true",FALSE)</f>
        <v>true</v>
      </c>
      <c r="BA209" t="str">
        <f>IF(Migrationsartikel!AF207="ja","Denner Partner","")</f>
        <v/>
      </c>
      <c r="BB209" t="str">
        <f>IF(Migrationsartikel!AG207="ja","true","false")</f>
        <v>false</v>
      </c>
      <c r="BC209" t="s">
        <v>1923</v>
      </c>
      <c r="BD209" s="31" t="s">
        <v>235</v>
      </c>
      <c r="BE209" s="31" t="s">
        <v>233</v>
      </c>
    </row>
    <row r="210" spans="2:57" ht="21.75" customHeight="1" x14ac:dyDescent="0.45">
      <c r="B210" t="s">
        <v>115</v>
      </c>
      <c r="E210" s="31" t="s">
        <v>1636</v>
      </c>
      <c r="F210" t="str">
        <f>"Warengruppe&gt;&gt;"&amp;Migrationsartikel!V208&amp;"&gt;&gt;"&amp;Migrationsartikel!W208&amp;"&gt;&gt;"&amp;Migrationsartikel!X208</f>
        <v>Warengruppe&gt;&gt;Früchte und Gemüse&gt;&gt;Früchte und Gemüse&gt;&gt;Früchte</v>
      </c>
      <c r="J210" s="31" t="s">
        <v>125</v>
      </c>
      <c r="M210" s="31" t="s">
        <v>137</v>
      </c>
      <c r="P210" s="31">
        <f>Migrationsartikel!B208</f>
        <v>0</v>
      </c>
      <c r="R210" t="str">
        <f>Migrationsartikel!F208&amp;" "&amp;Migrationsartikel!G208&amp;" "&amp;Migrationsartikel!H208</f>
        <v>Beerenmischung Schale 250g</v>
      </c>
      <c r="S210" t="str">
        <f>Migrationsartikel!J208&amp;" "&amp;Migrationsartikel!K208&amp;" "&amp;Migrationsartikel!L208</f>
        <v>Mélange de baies Barquette 250g</v>
      </c>
      <c r="T210" t="str">
        <f>Migrationsartikel!N208&amp;" "&amp;Migrationsartikel!O208&amp;" "&amp;Migrationsartikel!P208</f>
        <v>Bacche miste vaschetta 250g</v>
      </c>
      <c r="U210" t="str">
        <f>Migrationsartikel!F208</f>
        <v>Beerenmischung</v>
      </c>
      <c r="V210" t="str">
        <f>Migrationsartikel!J208</f>
        <v>Mélange de baies</v>
      </c>
      <c r="W210" t="str">
        <f>Migrationsartikel!N208</f>
        <v>Bacche miste</v>
      </c>
      <c r="X210" t="str">
        <f>Migrationsartikel!G208</f>
        <v>Schale</v>
      </c>
      <c r="Y210" t="str">
        <f>Migrationsartikel!K208</f>
        <v>Barquette</v>
      </c>
      <c r="Z210" t="str">
        <f>Migrationsartikel!O208</f>
        <v>vaschetta</v>
      </c>
      <c r="AA210" s="31" t="str">
        <f>Migrationsartikel!H208</f>
        <v>250g</v>
      </c>
      <c r="AB210" s="31" t="str">
        <f>Migrationsartikel!L208</f>
        <v>250g</v>
      </c>
      <c r="AC210" s="31" t="str">
        <f>Migrationsartikel!P208</f>
        <v>250g</v>
      </c>
      <c r="AD210" t="str">
        <f>Migrationsartikel!I208</f>
        <v>Beerenmischung Schale 250g</v>
      </c>
      <c r="AE210" t="str">
        <f>Migrationsartikel!M208</f>
        <v>Melange de baies 250g</v>
      </c>
      <c r="AF210" t="str">
        <f>Migrationsartikel!Q208</f>
        <v>Bacche miste 250g</v>
      </c>
      <c r="AG210" s="45">
        <f>Migrationsartikel!R208</f>
        <v>0.25</v>
      </c>
      <c r="AH210" s="46" t="str">
        <f>Migrationsartikel!T208</f>
        <v>Gramm</v>
      </c>
      <c r="AI210" s="46" t="str">
        <f t="shared" si="9"/>
        <v>Gramm</v>
      </c>
      <c r="AJ210" s="46" t="s">
        <v>176</v>
      </c>
      <c r="AK210">
        <f>Migrationsartikel!S208</f>
        <v>100</v>
      </c>
      <c r="AL210">
        <f>Migrationsartikel!S208</f>
        <v>100</v>
      </c>
      <c r="AM210">
        <f>Migrationsartikel!S208</f>
        <v>100</v>
      </c>
      <c r="AN210" t="str">
        <f>Migrationsartikel!U208</f>
        <v>(PCE) Stück</v>
      </c>
      <c r="AO210" t="str">
        <f t="shared" si="10"/>
        <v>(PCE) Pièce</v>
      </c>
      <c r="AP210" t="str">
        <f t="shared" si="11"/>
        <v>(PCE) Pièce</v>
      </c>
      <c r="AQ210" s="31" t="s">
        <v>195</v>
      </c>
      <c r="AR210" s="47"/>
      <c r="AS210" s="47"/>
      <c r="AT210" s="31" t="s">
        <v>208</v>
      </c>
      <c r="AU210" s="47"/>
      <c r="AV210" s="47"/>
      <c r="AW210" t="str">
        <f>IF(Migrationsartikel!AB208="ja","true",FALSE)</f>
        <v>true</v>
      </c>
      <c r="AX210" t="str">
        <f>IF(Migrationsartikel!AC208="ja","true",FALSE)</f>
        <v>true</v>
      </c>
      <c r="AY210" t="str">
        <f>IF(Migrationsartikel!AD208="ja","true",FALSE)</f>
        <v>true</v>
      </c>
      <c r="AZ210" t="str">
        <f>IF(Migrationsartikel!AE208="ja","true",FALSE)</f>
        <v>true</v>
      </c>
      <c r="BA210" t="str">
        <f>IF(Migrationsartikel!AF208="ja","Denner Partner","")</f>
        <v/>
      </c>
      <c r="BB210" t="str">
        <f>IF(Migrationsartikel!AG208="ja","true","false")</f>
        <v>false</v>
      </c>
      <c r="BC210" t="s">
        <v>1923</v>
      </c>
      <c r="BD210" s="31" t="s">
        <v>235</v>
      </c>
      <c r="BE210" s="31" t="s">
        <v>233</v>
      </c>
    </row>
    <row r="211" spans="2:57" ht="21.75" customHeight="1" x14ac:dyDescent="0.45">
      <c r="B211" t="s">
        <v>115</v>
      </c>
      <c r="E211" s="31" t="s">
        <v>1637</v>
      </c>
      <c r="F211" t="str">
        <f>"Warengruppe&gt;&gt;"&amp;Migrationsartikel!V209&amp;"&gt;&gt;"&amp;Migrationsartikel!W209&amp;"&gt;&gt;"&amp;Migrationsartikel!X209</f>
        <v>Warengruppe&gt;&gt;Früchte und Gemüse&gt;&gt;Früchte und Gemüse&gt;&gt;Früchte</v>
      </c>
      <c r="J211" s="31" t="s">
        <v>125</v>
      </c>
      <c r="M211" s="31" t="s">
        <v>137</v>
      </c>
      <c r="P211" s="31">
        <f>Migrationsartikel!B209</f>
        <v>128</v>
      </c>
      <c r="R211" t="str">
        <f>Migrationsartikel!F209&amp;" "&amp;Migrationsartikel!G209&amp;" "&amp;Migrationsartikel!H209</f>
        <v xml:space="preserve">Bio Bananen Offen  </v>
      </c>
      <c r="S211" t="str">
        <f>Migrationsartikel!J209&amp;" "&amp;Migrationsartikel!K209&amp;" "&amp;Migrationsartikel!L209</f>
        <v xml:space="preserve">Bio Bananes En vrac </v>
      </c>
      <c r="T211" t="str">
        <f>Migrationsartikel!N209&amp;" "&amp;Migrationsartikel!O209&amp;" "&amp;Migrationsartikel!P209</f>
        <v xml:space="preserve">Bio Banane vendita sfusa </v>
      </c>
      <c r="U211" t="str">
        <f>Migrationsartikel!F209</f>
        <v>Bio Bananen Offen</v>
      </c>
      <c r="V211" t="str">
        <f>Migrationsartikel!J209</f>
        <v>Bio Bananes</v>
      </c>
      <c r="W211" t="str">
        <f>Migrationsartikel!N209</f>
        <v>Bio Banane</v>
      </c>
      <c r="X211">
        <f>Migrationsartikel!G209</f>
        <v>0</v>
      </c>
      <c r="Y211" t="str">
        <f>Migrationsartikel!K209</f>
        <v>En vrac</v>
      </c>
      <c r="Z211" t="str">
        <f>Migrationsartikel!O209</f>
        <v>vendita sfusa</v>
      </c>
      <c r="AA211" s="31">
        <f>Migrationsartikel!H209</f>
        <v>0</v>
      </c>
      <c r="AB211" s="31">
        <f>Migrationsartikel!L209</f>
        <v>0</v>
      </c>
      <c r="AC211" s="31">
        <f>Migrationsartikel!P209</f>
        <v>0</v>
      </c>
      <c r="AD211" t="str">
        <f>Migrationsartikel!I209</f>
        <v>Bio Bananen Offen</v>
      </c>
      <c r="AE211" t="str">
        <f>Migrationsartikel!M209</f>
        <v>Bio Bananes en vrac</v>
      </c>
      <c r="AF211" t="str">
        <f>Migrationsartikel!Q209</f>
        <v>Bio Banane vendita sfusa</v>
      </c>
      <c r="AG211" s="45">
        <f>Migrationsartikel!R209</f>
        <v>1</v>
      </c>
      <c r="AH211" s="46" t="str">
        <f>Migrationsartikel!T209</f>
        <v>Kilogramm</v>
      </c>
      <c r="AI211" s="46" t="str">
        <f t="shared" si="9"/>
        <v>3</v>
      </c>
      <c r="AJ211" s="46" t="s">
        <v>176</v>
      </c>
      <c r="AK211">
        <f>Migrationsartikel!S209</f>
        <v>1</v>
      </c>
      <c r="AL211">
        <f>Migrationsartikel!S209</f>
        <v>1</v>
      </c>
      <c r="AM211">
        <f>Migrationsartikel!S209</f>
        <v>1</v>
      </c>
      <c r="AN211" t="str">
        <f>Migrationsartikel!U209</f>
        <v>(KGM) KG</v>
      </c>
      <c r="AO211" t="str">
        <f t="shared" si="10"/>
        <v>(KGM) Kg</v>
      </c>
      <c r="AP211" t="str">
        <f t="shared" si="11"/>
        <v>(KGM) KG</v>
      </c>
      <c r="AQ211" s="31" t="s">
        <v>195</v>
      </c>
      <c r="AR211" s="47"/>
      <c r="AS211" s="47"/>
      <c r="AT211" s="31" t="s">
        <v>208</v>
      </c>
      <c r="AU211" s="47"/>
      <c r="AV211" s="47"/>
      <c r="AW211" t="str">
        <f>IF(Migrationsartikel!AB209="ja","true",FALSE)</f>
        <v>true</v>
      </c>
      <c r="AX211" t="str">
        <f>IF(Migrationsartikel!AC209="ja","true",FALSE)</f>
        <v>true</v>
      </c>
      <c r="AY211" t="str">
        <f>IF(Migrationsartikel!AD209="ja","true",FALSE)</f>
        <v>true</v>
      </c>
      <c r="AZ211" t="str">
        <f>IF(Migrationsartikel!AE209="ja","true",FALSE)</f>
        <v>true</v>
      </c>
      <c r="BA211" t="str">
        <f>IF(Migrationsartikel!AF209="ja","Denner Partner","")</f>
        <v/>
      </c>
      <c r="BB211" t="str">
        <f>IF(Migrationsartikel!AG209="ja","true","false")</f>
        <v>false</v>
      </c>
      <c r="BC211" t="s">
        <v>1923</v>
      </c>
      <c r="BD211" s="31" t="s">
        <v>235</v>
      </c>
      <c r="BE211" s="31" t="s">
        <v>233</v>
      </c>
    </row>
    <row r="212" spans="2:57" ht="21.75" customHeight="1" x14ac:dyDescent="0.45">
      <c r="B212" t="s">
        <v>115</v>
      </c>
      <c r="E212" s="31" t="s">
        <v>1638</v>
      </c>
      <c r="F212" t="str">
        <f>"Warengruppe&gt;&gt;"&amp;Migrationsartikel!V210&amp;"&gt;&gt;"&amp;Migrationsartikel!W210&amp;"&gt;&gt;"&amp;Migrationsartikel!X210</f>
        <v>Warengruppe&gt;&gt;Früchte und Gemüse&gt;&gt;Früchte und Gemüse&gt;&gt;Früchte</v>
      </c>
      <c r="J212" s="31" t="s">
        <v>125</v>
      </c>
      <c r="M212" s="31" t="s">
        <v>137</v>
      </c>
      <c r="P212" s="31">
        <f>Migrationsartikel!B210</f>
        <v>171</v>
      </c>
      <c r="R212" t="str">
        <f>Migrationsartikel!F210&amp;" "&amp;Migrationsartikel!G210&amp;" "&amp;Migrationsartikel!H210</f>
        <v xml:space="preserve">Bio Wassermelone Mini  </v>
      </c>
      <c r="S212" t="str">
        <f>Migrationsartikel!J210&amp;" "&amp;Migrationsartikel!K210&amp;" "&amp;Migrationsartikel!L210</f>
        <v xml:space="preserve">Bio Pastèques Mini </v>
      </c>
      <c r="T212" t="str">
        <f>Migrationsartikel!N210&amp;" "&amp;Migrationsartikel!O210&amp;" "&amp;Migrationsartikel!P210</f>
        <v xml:space="preserve">Bio Angurie mini  </v>
      </c>
      <c r="U212" t="str">
        <f>Migrationsartikel!F210</f>
        <v>Bio Wassermelone Mini</v>
      </c>
      <c r="V212" t="str">
        <f>Migrationsartikel!J210</f>
        <v>Bio Pastèques</v>
      </c>
      <c r="W212" t="str">
        <f>Migrationsartikel!N210</f>
        <v>Bio Angurie mini</v>
      </c>
      <c r="X212">
        <f>Migrationsartikel!G210</f>
        <v>0</v>
      </c>
      <c r="Y212" t="str">
        <f>Migrationsartikel!K210</f>
        <v>Mini</v>
      </c>
      <c r="Z212">
        <f>Migrationsartikel!O210</f>
        <v>0</v>
      </c>
      <c r="AA212" s="31">
        <f>Migrationsartikel!H210</f>
        <v>0</v>
      </c>
      <c r="AB212" s="31">
        <f>Migrationsartikel!L210</f>
        <v>0</v>
      </c>
      <c r="AC212" s="31">
        <f>Migrationsartikel!P210</f>
        <v>0</v>
      </c>
      <c r="AD212" t="str">
        <f>Migrationsartikel!I210</f>
        <v>Bio Wassermelone Mini</v>
      </c>
      <c r="AE212" t="str">
        <f>Migrationsartikel!M210</f>
        <v>Bio Pastèques Mini</v>
      </c>
      <c r="AF212" t="str">
        <f>Migrationsartikel!Q210</f>
        <v>Bio Angurie mini</v>
      </c>
      <c r="AG212" s="45">
        <f>Migrationsartikel!R210</f>
        <v>1</v>
      </c>
      <c r="AH212" s="46" t="str">
        <f>Migrationsartikel!T210</f>
        <v>Kilogramm</v>
      </c>
      <c r="AI212" s="46" t="str">
        <f t="shared" si="9"/>
        <v>3</v>
      </c>
      <c r="AJ212" s="46" t="s">
        <v>176</v>
      </c>
      <c r="AK212">
        <f>Migrationsartikel!S210</f>
        <v>1</v>
      </c>
      <c r="AL212">
        <f>Migrationsartikel!S210</f>
        <v>1</v>
      </c>
      <c r="AM212">
        <f>Migrationsartikel!S210</f>
        <v>1</v>
      </c>
      <c r="AN212" t="str">
        <f>Migrationsartikel!U210</f>
        <v>(KGM) KG</v>
      </c>
      <c r="AO212" t="str">
        <f t="shared" si="10"/>
        <v>(KGM) Kg</v>
      </c>
      <c r="AP212" t="str">
        <f t="shared" si="11"/>
        <v>(KGM) KG</v>
      </c>
      <c r="AQ212" s="31" t="s">
        <v>195</v>
      </c>
      <c r="AR212" s="47"/>
      <c r="AS212" s="47"/>
      <c r="AT212" s="31" t="s">
        <v>208</v>
      </c>
      <c r="AU212" s="47"/>
      <c r="AV212" s="47"/>
      <c r="AW212" t="str">
        <f>IF(Migrationsartikel!AB210="ja","true",FALSE)</f>
        <v>true</v>
      </c>
      <c r="AX212" t="str">
        <f>IF(Migrationsartikel!AC210="ja","true",FALSE)</f>
        <v>true</v>
      </c>
      <c r="AY212" t="str">
        <f>IF(Migrationsartikel!AD210="ja","true",FALSE)</f>
        <v>true</v>
      </c>
      <c r="AZ212" t="str">
        <f>IF(Migrationsartikel!AE210="ja","true",FALSE)</f>
        <v>true</v>
      </c>
      <c r="BA212" t="str">
        <f>IF(Migrationsartikel!AF210="ja","Denner Partner","")</f>
        <v/>
      </c>
      <c r="BB212" t="str">
        <f>IF(Migrationsartikel!AG210="ja","true","false")</f>
        <v>false</v>
      </c>
      <c r="BC212" t="s">
        <v>1923</v>
      </c>
      <c r="BD212" s="31" t="s">
        <v>235</v>
      </c>
      <c r="BE212" s="31" t="s">
        <v>233</v>
      </c>
    </row>
    <row r="213" spans="2:57" ht="21.75" customHeight="1" x14ac:dyDescent="0.45">
      <c r="B213" t="s">
        <v>115</v>
      </c>
      <c r="E213" s="31" t="s">
        <v>1639</v>
      </c>
      <c r="F213" t="str">
        <f>"Warengruppe&gt;&gt;"&amp;Migrationsartikel!V211&amp;"&gt;&gt;"&amp;Migrationsartikel!W211&amp;"&gt;&gt;"&amp;Migrationsartikel!X211</f>
        <v>Warengruppe&gt;&gt;Früchte und Gemüse&gt;&gt;Früchte und Gemüse&gt;&gt;Früchte</v>
      </c>
      <c r="J213" s="31" t="s">
        <v>125</v>
      </c>
      <c r="M213" s="31" t="s">
        <v>137</v>
      </c>
      <c r="P213" s="31">
        <f>Migrationsartikel!B211</f>
        <v>159</v>
      </c>
      <c r="R213" t="str">
        <f>Migrationsartikel!F211&amp;" "&amp;Migrationsartikel!G211&amp;" "&amp;Migrationsartikel!H211</f>
        <v xml:space="preserve">Bio Orangen Offen  </v>
      </c>
      <c r="S213" t="str">
        <f>Migrationsartikel!J211&amp;" "&amp;Migrationsartikel!K211&amp;" "&amp;Migrationsartikel!L211</f>
        <v xml:space="preserve">Bio Oranges En vrac </v>
      </c>
      <c r="T213" t="str">
        <f>Migrationsartikel!N211&amp;" "&amp;Migrationsartikel!O211&amp;" "&amp;Migrationsartikel!P211</f>
        <v xml:space="preserve">Bio Arance vendita sfusa </v>
      </c>
      <c r="U213" t="str">
        <f>Migrationsartikel!F211</f>
        <v>Bio Orangen Offen</v>
      </c>
      <c r="V213" t="str">
        <f>Migrationsartikel!J211</f>
        <v>Bio Oranges</v>
      </c>
      <c r="W213" t="str">
        <f>Migrationsartikel!N211</f>
        <v>Bio Arance</v>
      </c>
      <c r="X213">
        <f>Migrationsartikel!G211</f>
        <v>0</v>
      </c>
      <c r="Y213" t="str">
        <f>Migrationsartikel!K211</f>
        <v>En vrac</v>
      </c>
      <c r="Z213" t="str">
        <f>Migrationsartikel!O211</f>
        <v>vendita sfusa</v>
      </c>
      <c r="AA213" s="31">
        <f>Migrationsartikel!H211</f>
        <v>0</v>
      </c>
      <c r="AB213" s="31">
        <f>Migrationsartikel!L211</f>
        <v>0</v>
      </c>
      <c r="AC213" s="31">
        <f>Migrationsartikel!P211</f>
        <v>0</v>
      </c>
      <c r="AD213" t="str">
        <f>Migrationsartikel!I211</f>
        <v>Bio Orangen Offen</v>
      </c>
      <c r="AE213" t="str">
        <f>Migrationsartikel!M211</f>
        <v>Bio Oranges en vrac</v>
      </c>
      <c r="AF213" t="str">
        <f>Migrationsartikel!Q211</f>
        <v>Bio Arance vendita sfusa</v>
      </c>
      <c r="AG213" s="45">
        <f>Migrationsartikel!R211</f>
        <v>1</v>
      </c>
      <c r="AH213" s="46" t="str">
        <f>Migrationsartikel!T211</f>
        <v>Kilogramm</v>
      </c>
      <c r="AI213" s="46" t="str">
        <f t="shared" si="9"/>
        <v>3</v>
      </c>
      <c r="AJ213" s="46" t="s">
        <v>176</v>
      </c>
      <c r="AK213">
        <f>Migrationsartikel!S211</f>
        <v>1</v>
      </c>
      <c r="AL213">
        <f>Migrationsartikel!S211</f>
        <v>1</v>
      </c>
      <c r="AM213">
        <f>Migrationsartikel!S211</f>
        <v>1</v>
      </c>
      <c r="AN213" t="str">
        <f>Migrationsartikel!U211</f>
        <v>(KGM) KG</v>
      </c>
      <c r="AO213" t="str">
        <f t="shared" si="10"/>
        <v>(KGM) Kg</v>
      </c>
      <c r="AP213" t="str">
        <f t="shared" si="11"/>
        <v>(KGM) KG</v>
      </c>
      <c r="AQ213" s="31" t="s">
        <v>195</v>
      </c>
      <c r="AR213" s="47"/>
      <c r="AS213" s="47"/>
      <c r="AT213" s="31" t="s">
        <v>208</v>
      </c>
      <c r="AU213" s="47"/>
      <c r="AV213" s="47"/>
      <c r="AW213" t="str">
        <f>IF(Migrationsartikel!AB211="ja","true",FALSE)</f>
        <v>true</v>
      </c>
      <c r="AX213" t="str">
        <f>IF(Migrationsartikel!AC211="ja","true",FALSE)</f>
        <v>true</v>
      </c>
      <c r="AY213" t="str">
        <f>IF(Migrationsartikel!AD211="ja","true",FALSE)</f>
        <v>true</v>
      </c>
      <c r="AZ213" t="str">
        <f>IF(Migrationsartikel!AE211="ja","true",FALSE)</f>
        <v>true</v>
      </c>
      <c r="BA213" t="str">
        <f>IF(Migrationsartikel!AF211="ja","Denner Partner","")</f>
        <v/>
      </c>
      <c r="BB213" t="str">
        <f>IF(Migrationsartikel!AG211="ja","true","false")</f>
        <v>false</v>
      </c>
      <c r="BC213" t="s">
        <v>1923</v>
      </c>
      <c r="BD213" s="31" t="s">
        <v>235</v>
      </c>
      <c r="BE213" s="31" t="s">
        <v>233</v>
      </c>
    </row>
    <row r="214" spans="2:57" ht="21.75" customHeight="1" x14ac:dyDescent="0.45">
      <c r="B214" t="s">
        <v>115</v>
      </c>
      <c r="E214" s="31" t="s">
        <v>1640</v>
      </c>
      <c r="F214" t="str">
        <f>"Warengruppe&gt;&gt;"&amp;Migrationsartikel!V212&amp;"&gt;&gt;"&amp;Migrationsartikel!W212&amp;"&gt;&gt;"&amp;Migrationsartikel!X212</f>
        <v>Warengruppe&gt;&gt;Früchte und Gemüse&gt;&gt;Früchte und Gemüse&gt;&gt;Früchte</v>
      </c>
      <c r="J214" s="31" t="s">
        <v>125</v>
      </c>
      <c r="M214" s="31" t="s">
        <v>137</v>
      </c>
      <c r="P214" s="31">
        <f>Migrationsartikel!B212</f>
        <v>137</v>
      </c>
      <c r="R214" t="str">
        <f>Migrationsartikel!F212&amp;" "&amp;Migrationsartikel!G212&amp;" "&amp;Migrationsartikel!H212</f>
        <v xml:space="preserve">Birnen Ercolini Offen Kl. 1 </v>
      </c>
      <c r="S214" t="str">
        <f>Migrationsartikel!J212&amp;" "&amp;Migrationsartikel!K212&amp;" "&amp;Migrationsartikel!L212</f>
        <v xml:space="preserve">Poires Ercolini En vrac, cl. 1 </v>
      </c>
      <c r="T214" t="str">
        <f>Migrationsartikel!N212&amp;" "&amp;Migrationsartikel!O212&amp;" "&amp;Migrationsartikel!P212</f>
        <v xml:space="preserve">Pere Ercolini Cl. 1 vendita sfusa </v>
      </c>
      <c r="U214" t="str">
        <f>Migrationsartikel!F212</f>
        <v>Birnen Ercolini</v>
      </c>
      <c r="V214" t="str">
        <f>Migrationsartikel!J212</f>
        <v>Poires Ercolini</v>
      </c>
      <c r="W214" t="str">
        <f>Migrationsartikel!N212</f>
        <v>Pere Ercolini</v>
      </c>
      <c r="X214" t="str">
        <f>Migrationsartikel!G212</f>
        <v>Offen Kl. 1</v>
      </c>
      <c r="Y214" t="str">
        <f>Migrationsartikel!K212</f>
        <v>En vrac, cl. 1</v>
      </c>
      <c r="Z214" t="str">
        <f>Migrationsartikel!O212</f>
        <v>Cl. 1 vendita sfusa</v>
      </c>
      <c r="AA214" s="31">
        <f>Migrationsartikel!H212</f>
        <v>0</v>
      </c>
      <c r="AB214" s="31">
        <f>Migrationsartikel!L212</f>
        <v>0</v>
      </c>
      <c r="AC214" s="31">
        <f>Migrationsartikel!P212</f>
        <v>0</v>
      </c>
      <c r="AD214" t="str">
        <f>Migrationsartikel!I212</f>
        <v>Birnen Ercolini Offen Kl. 1</v>
      </c>
      <c r="AE214" t="str">
        <f>Migrationsartikel!M212</f>
        <v>Poire Ercolini en vrac cl. 1</v>
      </c>
      <c r="AF214" t="str">
        <f>Migrationsartikel!Q212</f>
        <v>Pere Ercolini cl.1 vend. Sf.</v>
      </c>
      <c r="AG214" s="45">
        <f>Migrationsartikel!R212</f>
        <v>1</v>
      </c>
      <c r="AH214" s="46" t="str">
        <f>Migrationsartikel!T212</f>
        <v>Kilogramm</v>
      </c>
      <c r="AI214" s="46" t="str">
        <f t="shared" si="9"/>
        <v>3</v>
      </c>
      <c r="AJ214" s="46" t="s">
        <v>176</v>
      </c>
      <c r="AK214">
        <f>Migrationsartikel!S212</f>
        <v>1</v>
      </c>
      <c r="AL214">
        <f>Migrationsartikel!S212</f>
        <v>1</v>
      </c>
      <c r="AM214">
        <f>Migrationsartikel!S212</f>
        <v>1</v>
      </c>
      <c r="AN214" t="str">
        <f>Migrationsartikel!U212</f>
        <v>(KGM) KG</v>
      </c>
      <c r="AO214" t="str">
        <f t="shared" si="10"/>
        <v>(KGM) Kg</v>
      </c>
      <c r="AP214" t="str">
        <f t="shared" si="11"/>
        <v>(KGM) KG</v>
      </c>
      <c r="AQ214" s="31" t="s">
        <v>195</v>
      </c>
      <c r="AR214" s="47"/>
      <c r="AS214" s="47"/>
      <c r="AT214" s="31" t="s">
        <v>208</v>
      </c>
      <c r="AU214" s="47"/>
      <c r="AV214" s="47"/>
      <c r="AW214" t="str">
        <f>IF(Migrationsartikel!AB212="ja","true",FALSE)</f>
        <v>true</v>
      </c>
      <c r="AX214" t="str">
        <f>IF(Migrationsartikel!AC212="ja","true",FALSE)</f>
        <v>true</v>
      </c>
      <c r="AY214" t="str">
        <f>IF(Migrationsartikel!AD212="ja","true",FALSE)</f>
        <v>true</v>
      </c>
      <c r="AZ214" t="str">
        <f>IF(Migrationsartikel!AE212="ja","true",FALSE)</f>
        <v>true</v>
      </c>
      <c r="BA214" t="str">
        <f>IF(Migrationsartikel!AF212="ja","Denner Partner","")</f>
        <v/>
      </c>
      <c r="BB214" t="str">
        <f>IF(Migrationsartikel!AG212="ja","true","false")</f>
        <v>false</v>
      </c>
      <c r="BC214" t="s">
        <v>1923</v>
      </c>
      <c r="BD214" s="31" t="s">
        <v>235</v>
      </c>
      <c r="BE214" s="31" t="s">
        <v>233</v>
      </c>
    </row>
    <row r="215" spans="2:57" ht="21.75" customHeight="1" x14ac:dyDescent="0.45">
      <c r="B215" t="s">
        <v>115</v>
      </c>
      <c r="E215" s="31" t="s">
        <v>1641</v>
      </c>
      <c r="F215" t="str">
        <f>"Warengruppe&gt;&gt;"&amp;Migrationsartikel!V213&amp;"&gt;&gt;"&amp;Migrationsartikel!W213&amp;"&gt;&gt;"&amp;Migrationsartikel!X213</f>
        <v>Warengruppe&gt;&gt;Früchte und Gemüse&gt;&gt;Früchte und Gemüse&gt;&gt;Früchte</v>
      </c>
      <c r="J215" s="31" t="s">
        <v>125</v>
      </c>
      <c r="M215" s="31" t="s">
        <v>137</v>
      </c>
      <c r="P215" s="31">
        <f>Migrationsartikel!B213</f>
        <v>142</v>
      </c>
      <c r="R215" t="str">
        <f>Migrationsartikel!F213&amp;" "&amp;Migrationsartikel!G213&amp;" "&amp;Migrationsartikel!H213</f>
        <v xml:space="preserve">Birnen Kaiser Offen Kl. 1 </v>
      </c>
      <c r="S215" t="str">
        <f>Migrationsartikel!J213&amp;" "&amp;Migrationsartikel!K213&amp;" "&amp;Migrationsartikel!L213</f>
        <v xml:space="preserve">Poires Beurré Bosc En vrac, cl. 1 </v>
      </c>
      <c r="T215" t="str">
        <f>Migrationsartikel!N213&amp;" "&amp;Migrationsartikel!O213&amp;" "&amp;Migrationsartikel!P213</f>
        <v xml:space="preserve">Pere Kaiser Cl. 1 vendita sfusa </v>
      </c>
      <c r="U215" t="str">
        <f>Migrationsartikel!F213</f>
        <v>Birnen Kaiser</v>
      </c>
      <c r="V215" t="str">
        <f>Migrationsartikel!J213</f>
        <v>Poires Beurré Bosc</v>
      </c>
      <c r="W215" t="str">
        <f>Migrationsartikel!N213</f>
        <v>Pere Kaiser</v>
      </c>
      <c r="X215" t="str">
        <f>Migrationsartikel!G213</f>
        <v>Offen Kl. 1</v>
      </c>
      <c r="Y215" t="str">
        <f>Migrationsartikel!K213</f>
        <v>En vrac, cl. 1</v>
      </c>
      <c r="Z215" t="str">
        <f>Migrationsartikel!O213</f>
        <v>Cl. 1 vendita sfusa</v>
      </c>
      <c r="AA215" s="31">
        <f>Migrationsartikel!H213</f>
        <v>0</v>
      </c>
      <c r="AB215" s="31">
        <f>Migrationsartikel!L213</f>
        <v>0</v>
      </c>
      <c r="AC215" s="31">
        <f>Migrationsartikel!P213</f>
        <v>0</v>
      </c>
      <c r="AD215" t="str">
        <f>Migrationsartikel!I213</f>
        <v>Birnen Kaiser Offen Kl.1</v>
      </c>
      <c r="AE215" t="str">
        <f>Migrationsartikel!M213</f>
        <v>Poire Beurré Bosc en v. cl1</v>
      </c>
      <c r="AF215" t="str">
        <f>Migrationsartikel!Q213</f>
        <v>Pere Kaiser cl. 1 vendta sf.</v>
      </c>
      <c r="AG215" s="45">
        <f>Migrationsartikel!R213</f>
        <v>1</v>
      </c>
      <c r="AH215" s="46" t="str">
        <f>Migrationsartikel!T213</f>
        <v>Kilogramm</v>
      </c>
      <c r="AI215" s="46" t="str">
        <f t="shared" si="9"/>
        <v>3</v>
      </c>
      <c r="AJ215" s="46" t="s">
        <v>176</v>
      </c>
      <c r="AK215">
        <f>Migrationsartikel!S213</f>
        <v>1</v>
      </c>
      <c r="AL215">
        <f>Migrationsartikel!S213</f>
        <v>1</v>
      </c>
      <c r="AM215">
        <f>Migrationsartikel!S213</f>
        <v>1</v>
      </c>
      <c r="AN215" t="str">
        <f>Migrationsartikel!U213</f>
        <v>(KGM) KG</v>
      </c>
      <c r="AO215" t="str">
        <f t="shared" si="10"/>
        <v>(KGM) Kg</v>
      </c>
      <c r="AP215" t="str">
        <f t="shared" si="11"/>
        <v>(KGM) KG</v>
      </c>
      <c r="AQ215" s="31" t="s">
        <v>195</v>
      </c>
      <c r="AR215" s="47"/>
      <c r="AS215" s="47"/>
      <c r="AT215" s="31" t="s">
        <v>208</v>
      </c>
      <c r="AU215" s="47"/>
      <c r="AV215" s="47"/>
      <c r="AW215" t="str">
        <f>IF(Migrationsartikel!AB213="ja","true",FALSE)</f>
        <v>true</v>
      </c>
      <c r="AX215" t="str">
        <f>IF(Migrationsartikel!AC213="ja","true",FALSE)</f>
        <v>true</v>
      </c>
      <c r="AY215" t="str">
        <f>IF(Migrationsartikel!AD213="ja","true",FALSE)</f>
        <v>true</v>
      </c>
      <c r="AZ215" t="str">
        <f>IF(Migrationsartikel!AE213="ja","true",FALSE)</f>
        <v>true</v>
      </c>
      <c r="BA215" t="str">
        <f>IF(Migrationsartikel!AF213="ja","Denner Partner","")</f>
        <v/>
      </c>
      <c r="BB215" t="str">
        <f>IF(Migrationsartikel!AG213="ja","true","false")</f>
        <v>false</v>
      </c>
      <c r="BC215" t="s">
        <v>1923</v>
      </c>
      <c r="BD215" s="31" t="s">
        <v>235</v>
      </c>
      <c r="BE215" s="31" t="s">
        <v>233</v>
      </c>
    </row>
    <row r="216" spans="2:57" ht="21.75" customHeight="1" x14ac:dyDescent="0.45">
      <c r="B216" t="s">
        <v>115</v>
      </c>
      <c r="E216" s="31" t="s">
        <v>1642</v>
      </c>
      <c r="F216" t="str">
        <f>"Warengruppe&gt;&gt;"&amp;Migrationsartikel!V214&amp;"&gt;&gt;"&amp;Migrationsartikel!W214&amp;"&gt;&gt;"&amp;Migrationsartikel!X214</f>
        <v>Warengruppe&gt;&gt;Früchte und Gemüse&gt;&gt;Früchte und Gemüse&gt;&gt;Früchte</v>
      </c>
      <c r="J216" s="31" t="s">
        <v>125</v>
      </c>
      <c r="M216" s="31" t="s">
        <v>137</v>
      </c>
      <c r="P216" s="31">
        <f>Migrationsartikel!B214</f>
        <v>0</v>
      </c>
      <c r="R216" t="str">
        <f>Migrationsartikel!F214&amp;" "&amp;Migrationsartikel!G214&amp;" "&amp;Migrationsartikel!H214</f>
        <v xml:space="preserve">Birnen Abate Kl. 1 gepackt </v>
      </c>
      <c r="S216" t="str">
        <f>Migrationsartikel!J214&amp;" "&amp;Migrationsartikel!K214&amp;" "&amp;Migrationsartikel!L214</f>
        <v xml:space="preserve">Poires Abate Cl. 1 emballé </v>
      </c>
      <c r="T216" t="str">
        <f>Migrationsartikel!N214&amp;" "&amp;Migrationsartikel!O214&amp;" "&amp;Migrationsartikel!P214</f>
        <v xml:space="preserve">Pere Abate Cl. 1 confezionato </v>
      </c>
      <c r="U216" t="str">
        <f>Migrationsartikel!F214</f>
        <v>Birnen Abate</v>
      </c>
      <c r="V216" t="str">
        <f>Migrationsartikel!J214</f>
        <v>Poires Abate</v>
      </c>
      <c r="W216" t="str">
        <f>Migrationsartikel!N214</f>
        <v>Pere Abate</v>
      </c>
      <c r="X216" t="str">
        <f>Migrationsartikel!G214</f>
        <v>Kl. 1 gepackt</v>
      </c>
      <c r="Y216" t="str">
        <f>Migrationsartikel!K214</f>
        <v>Cl. 1 emballé</v>
      </c>
      <c r="Z216" t="str">
        <f>Migrationsartikel!O214</f>
        <v>Cl. 1 confezionato</v>
      </c>
      <c r="AA216" s="31">
        <f>Migrationsartikel!H214</f>
        <v>0</v>
      </c>
      <c r="AB216" s="31">
        <f>Migrationsartikel!L214</f>
        <v>0</v>
      </c>
      <c r="AC216" s="31">
        <f>Migrationsartikel!P214</f>
        <v>0</v>
      </c>
      <c r="AD216" t="str">
        <f>Migrationsartikel!I214</f>
        <v>Birnen Abate Kl. 1 gepackt</v>
      </c>
      <c r="AE216" t="str">
        <f>Migrationsartikel!M214</f>
        <v>Poires Abate cl. 1 emballé</v>
      </c>
      <c r="AF216" t="str">
        <f>Migrationsartikel!Q214</f>
        <v>Pere Abate cl.1 confezionato</v>
      </c>
      <c r="AG216" s="45">
        <f>Migrationsartikel!R214</f>
        <v>1</v>
      </c>
      <c r="AH216" s="46" t="str">
        <f>Migrationsartikel!T214</f>
        <v>Kilogramm</v>
      </c>
      <c r="AI216" s="46" t="str">
        <f t="shared" si="9"/>
        <v>3</v>
      </c>
      <c r="AJ216" s="46" t="s">
        <v>176</v>
      </c>
      <c r="AK216">
        <f>Migrationsartikel!S214</f>
        <v>1</v>
      </c>
      <c r="AL216">
        <f>Migrationsartikel!S214</f>
        <v>1</v>
      </c>
      <c r="AM216">
        <f>Migrationsartikel!S214</f>
        <v>1</v>
      </c>
      <c r="AN216" t="str">
        <f>Migrationsartikel!U214</f>
        <v>(PCE) Stück</v>
      </c>
      <c r="AO216" t="str">
        <f t="shared" si="10"/>
        <v>(PCE) Pièce</v>
      </c>
      <c r="AP216" t="str">
        <f t="shared" si="11"/>
        <v>(PCE) Pièce</v>
      </c>
      <c r="AQ216" s="31" t="s">
        <v>195</v>
      </c>
      <c r="AR216" s="47"/>
      <c r="AS216" s="47"/>
      <c r="AT216" s="31" t="s">
        <v>208</v>
      </c>
      <c r="AU216" s="47"/>
      <c r="AV216" s="47"/>
      <c r="AW216" t="str">
        <f>IF(Migrationsartikel!AB214="ja","true",FALSE)</f>
        <v>true</v>
      </c>
      <c r="AX216" t="str">
        <f>IF(Migrationsartikel!AC214="ja","true",FALSE)</f>
        <v>true</v>
      </c>
      <c r="AY216" t="str">
        <f>IF(Migrationsartikel!AD214="ja","true",FALSE)</f>
        <v>true</v>
      </c>
      <c r="AZ216" t="str">
        <f>IF(Migrationsartikel!AE214="ja","true",FALSE)</f>
        <v>true</v>
      </c>
      <c r="BA216" t="str">
        <f>IF(Migrationsartikel!AF214="ja","Denner Partner","")</f>
        <v/>
      </c>
      <c r="BB216" t="str">
        <f>IF(Migrationsartikel!AG214="ja","true","false")</f>
        <v>false</v>
      </c>
      <c r="BC216" t="s">
        <v>1923</v>
      </c>
      <c r="BD216" s="31" t="s">
        <v>235</v>
      </c>
      <c r="BE216" s="31" t="s">
        <v>233</v>
      </c>
    </row>
    <row r="217" spans="2:57" ht="21.75" customHeight="1" x14ac:dyDescent="0.45">
      <c r="B217" t="s">
        <v>115</v>
      </c>
      <c r="E217" s="31" t="s">
        <v>1643</v>
      </c>
      <c r="F217" t="str">
        <f>"Warengruppe&gt;&gt;"&amp;Migrationsartikel!V215&amp;"&gt;&gt;"&amp;Migrationsartikel!W215&amp;"&gt;&gt;"&amp;Migrationsartikel!X215</f>
        <v>Warengruppe&gt;&gt;Früchte und Gemüse&gt;&gt;Früchte und Gemüse&gt;&gt;Früchte</v>
      </c>
      <c r="J217" s="31" t="s">
        <v>125</v>
      </c>
      <c r="M217" s="31" t="s">
        <v>137</v>
      </c>
      <c r="P217" s="31">
        <f>Migrationsartikel!B215</f>
        <v>0</v>
      </c>
      <c r="R217" t="str">
        <f>Migrationsartikel!F215&amp;" "&amp;Migrationsartikel!G215&amp;" "&amp;Migrationsartikel!H215</f>
        <v xml:space="preserve">Bio Birnen Abate Kl. 1 gepackt </v>
      </c>
      <c r="S217" t="str">
        <f>Migrationsartikel!J215&amp;" "&amp;Migrationsartikel!K215&amp;" "&amp;Migrationsartikel!L215</f>
        <v xml:space="preserve">Bio Poires Abate Cl. 1 emballé </v>
      </c>
      <c r="T217" t="str">
        <f>Migrationsartikel!N215&amp;" "&amp;Migrationsartikel!O215&amp;" "&amp;Migrationsartikel!P215</f>
        <v xml:space="preserve">Bio Pere Abate Cl. 1 confezionato </v>
      </c>
      <c r="U217" t="str">
        <f>Migrationsartikel!F215</f>
        <v>Bio Birnen Abate</v>
      </c>
      <c r="V217" t="str">
        <f>Migrationsartikel!J215</f>
        <v>Bio Poires Abate</v>
      </c>
      <c r="W217" t="str">
        <f>Migrationsartikel!N215</f>
        <v>Bio Pere Abate</v>
      </c>
      <c r="X217" t="str">
        <f>Migrationsartikel!G215</f>
        <v>Kl. 1 gepackt</v>
      </c>
      <c r="Y217" t="str">
        <f>Migrationsartikel!K215</f>
        <v>Cl. 1 emballé</v>
      </c>
      <c r="Z217" t="str">
        <f>Migrationsartikel!O215</f>
        <v>Cl. 1 confezionato</v>
      </c>
      <c r="AA217" s="31">
        <f>Migrationsartikel!H215</f>
        <v>0</v>
      </c>
      <c r="AB217" s="31">
        <f>Migrationsartikel!L215</f>
        <v>0</v>
      </c>
      <c r="AC217" s="31">
        <f>Migrationsartikel!P215</f>
        <v>0</v>
      </c>
      <c r="AD217" t="str">
        <f>Migrationsartikel!I215</f>
        <v>Bio Birnen Abate Kl. 1 gep.</v>
      </c>
      <c r="AE217" t="str">
        <f>Migrationsartikel!M215</f>
        <v>Bio Poires Abate cl1 emballé</v>
      </c>
      <c r="AF217" t="str">
        <f>Migrationsartikel!Q215</f>
        <v>Bio Pere Abate cl. 1 confez.</v>
      </c>
      <c r="AG217" s="45">
        <f>Migrationsartikel!R215</f>
        <v>1</v>
      </c>
      <c r="AH217" s="46" t="str">
        <f>Migrationsartikel!T215</f>
        <v>Kilogramm</v>
      </c>
      <c r="AI217" s="46" t="str">
        <f t="shared" si="9"/>
        <v>3</v>
      </c>
      <c r="AJ217" s="46" t="s">
        <v>176</v>
      </c>
      <c r="AK217">
        <f>Migrationsartikel!S215</f>
        <v>1</v>
      </c>
      <c r="AL217">
        <f>Migrationsartikel!S215</f>
        <v>1</v>
      </c>
      <c r="AM217">
        <f>Migrationsartikel!S215</f>
        <v>1</v>
      </c>
      <c r="AN217" t="str">
        <f>Migrationsartikel!U215</f>
        <v>(PCE) Stück</v>
      </c>
      <c r="AO217" t="str">
        <f t="shared" si="10"/>
        <v>(PCE) Pièce</v>
      </c>
      <c r="AP217" t="str">
        <f t="shared" si="11"/>
        <v>(PCE) Pièce</v>
      </c>
      <c r="AQ217" s="31" t="s">
        <v>195</v>
      </c>
      <c r="AR217" s="47"/>
      <c r="AS217" s="47"/>
      <c r="AT217" s="31" t="s">
        <v>208</v>
      </c>
      <c r="AU217" s="47"/>
      <c r="AV217" s="47"/>
      <c r="AW217" t="str">
        <f>IF(Migrationsartikel!AB215="ja","true",FALSE)</f>
        <v>true</v>
      </c>
      <c r="AX217" t="str">
        <f>IF(Migrationsartikel!AC215="ja","true",FALSE)</f>
        <v>true</v>
      </c>
      <c r="AY217" t="str">
        <f>IF(Migrationsartikel!AD215="ja","true",FALSE)</f>
        <v>true</v>
      </c>
      <c r="AZ217" t="str">
        <f>IF(Migrationsartikel!AE215="ja","true",FALSE)</f>
        <v>true</v>
      </c>
      <c r="BA217" t="str">
        <f>IF(Migrationsartikel!AF215="ja","Denner Partner","")</f>
        <v/>
      </c>
      <c r="BB217" t="str">
        <f>IF(Migrationsartikel!AG215="ja","true","false")</f>
        <v>false</v>
      </c>
      <c r="BC217" t="s">
        <v>1923</v>
      </c>
      <c r="BD217" s="31" t="s">
        <v>235</v>
      </c>
      <c r="BE217" s="31" t="s">
        <v>233</v>
      </c>
    </row>
    <row r="218" spans="2:57" ht="21.75" customHeight="1" x14ac:dyDescent="0.45">
      <c r="B218" t="s">
        <v>115</v>
      </c>
      <c r="E218" s="31" t="s">
        <v>1644</v>
      </c>
      <c r="F218" t="str">
        <f>"Warengruppe&gt;&gt;"&amp;Migrationsartikel!V216&amp;"&gt;&gt;"&amp;Migrationsartikel!W216&amp;"&gt;&gt;"&amp;Migrationsartikel!X216</f>
        <v>Warengruppe&gt;&gt;Früchte und Gemüse&gt;&gt;Früchte und Gemüse&gt;&gt;Früchte</v>
      </c>
      <c r="J218" s="31" t="s">
        <v>125</v>
      </c>
      <c r="M218" s="31" t="s">
        <v>137</v>
      </c>
      <c r="P218" s="31">
        <f>Migrationsartikel!B216</f>
        <v>134</v>
      </c>
      <c r="R218" t="str">
        <f>Migrationsartikel!F216&amp;" "&amp;Migrationsartikel!G216&amp;" "&amp;Migrationsartikel!H216</f>
        <v xml:space="preserve">Birnen Boscop Offen Kl. 1 </v>
      </c>
      <c r="S218" t="str">
        <f>Migrationsartikel!J216&amp;" "&amp;Migrationsartikel!K216&amp;" "&amp;Migrationsartikel!L216</f>
        <v xml:space="preserve">Poires Boscop En vrac, cl. 1 </v>
      </c>
      <c r="T218" t="str">
        <f>Migrationsartikel!N216&amp;" "&amp;Migrationsartikel!O216&amp;" "&amp;Migrationsartikel!P216</f>
        <v xml:space="preserve">Pere Boscop Cl. 1 vendita sfusa </v>
      </c>
      <c r="U218" t="str">
        <f>Migrationsartikel!F216</f>
        <v>Birnen Boscop</v>
      </c>
      <c r="V218" t="str">
        <f>Migrationsartikel!J216</f>
        <v>Poires Boscop</v>
      </c>
      <c r="W218" t="str">
        <f>Migrationsartikel!N216</f>
        <v>Pere Boscop</v>
      </c>
      <c r="X218" t="str">
        <f>Migrationsartikel!G216</f>
        <v>Offen Kl. 1</v>
      </c>
      <c r="Y218" t="str">
        <f>Migrationsartikel!K216</f>
        <v>En vrac, cl. 1</v>
      </c>
      <c r="Z218" t="str">
        <f>Migrationsartikel!O216</f>
        <v>Cl. 1 vendita sfusa</v>
      </c>
      <c r="AA218" s="31">
        <f>Migrationsartikel!H216</f>
        <v>0</v>
      </c>
      <c r="AB218" s="31">
        <f>Migrationsartikel!L216</f>
        <v>0</v>
      </c>
      <c r="AC218" s="31">
        <f>Migrationsartikel!P216</f>
        <v>0</v>
      </c>
      <c r="AD218" t="str">
        <f>Migrationsartikel!I216</f>
        <v>Birnen Boscop Offen Kl. 1</v>
      </c>
      <c r="AE218" t="str">
        <f>Migrationsartikel!M216</f>
        <v>Poires Boscop en vrac cl. 1</v>
      </c>
      <c r="AF218" t="str">
        <f>Migrationsartikel!Q216</f>
        <v>Pere Boscop cl.1 vend. sfusa</v>
      </c>
      <c r="AG218" s="45">
        <f>Migrationsartikel!R216</f>
        <v>1</v>
      </c>
      <c r="AH218" s="46" t="str">
        <f>Migrationsartikel!T216</f>
        <v>Kilogramm</v>
      </c>
      <c r="AI218" s="46" t="str">
        <f t="shared" si="9"/>
        <v>3</v>
      </c>
      <c r="AJ218" s="46" t="s">
        <v>176</v>
      </c>
      <c r="AK218">
        <f>Migrationsartikel!S216</f>
        <v>1</v>
      </c>
      <c r="AL218">
        <f>Migrationsartikel!S216</f>
        <v>1</v>
      </c>
      <c r="AM218">
        <f>Migrationsartikel!S216</f>
        <v>1</v>
      </c>
      <c r="AN218" t="str">
        <f>Migrationsartikel!U216</f>
        <v>(KGM) KG</v>
      </c>
      <c r="AO218" t="str">
        <f t="shared" si="10"/>
        <v>(KGM) Kg</v>
      </c>
      <c r="AP218" t="str">
        <f t="shared" si="11"/>
        <v>(KGM) KG</v>
      </c>
      <c r="AQ218" s="31" t="s">
        <v>195</v>
      </c>
      <c r="AR218" s="47"/>
      <c r="AS218" s="47"/>
      <c r="AT218" s="31" t="s">
        <v>208</v>
      </c>
      <c r="AU218" s="47"/>
      <c r="AV218" s="47"/>
      <c r="AW218" t="str">
        <f>IF(Migrationsartikel!AB216="ja","true",FALSE)</f>
        <v>true</v>
      </c>
      <c r="AX218" t="str">
        <f>IF(Migrationsartikel!AC216="ja","true",FALSE)</f>
        <v>true</v>
      </c>
      <c r="AY218" t="str">
        <f>IF(Migrationsartikel!AD216="ja","true",FALSE)</f>
        <v>true</v>
      </c>
      <c r="AZ218" t="str">
        <f>IF(Migrationsartikel!AE216="ja","true",FALSE)</f>
        <v>true</v>
      </c>
      <c r="BA218" t="str">
        <f>IF(Migrationsartikel!AF216="ja","Denner Partner","")</f>
        <v/>
      </c>
      <c r="BB218" t="str">
        <f>IF(Migrationsartikel!AG216="ja","true","false")</f>
        <v>false</v>
      </c>
      <c r="BC218" t="s">
        <v>1923</v>
      </c>
      <c r="BD218" s="31" t="s">
        <v>235</v>
      </c>
      <c r="BE218" s="31" t="s">
        <v>233</v>
      </c>
    </row>
    <row r="219" spans="2:57" ht="21.75" customHeight="1" x14ac:dyDescent="0.45">
      <c r="B219" t="s">
        <v>115</v>
      </c>
      <c r="E219" s="31" t="s">
        <v>1645</v>
      </c>
      <c r="F219" t="str">
        <f>"Warengruppe&gt;&gt;"&amp;Migrationsartikel!V217&amp;"&gt;&gt;"&amp;Migrationsartikel!W217&amp;"&gt;&gt;"&amp;Migrationsartikel!X217</f>
        <v>Warengruppe&gt;&gt;Früchte und Gemüse&gt;&gt;Früchte und Gemüse&gt;&gt;Früchte</v>
      </c>
      <c r="J219" s="31" t="s">
        <v>125</v>
      </c>
      <c r="M219" s="31" t="s">
        <v>137</v>
      </c>
      <c r="P219" s="31">
        <f>Migrationsartikel!B217</f>
        <v>0</v>
      </c>
      <c r="R219" t="str">
        <f>Migrationsartikel!F217&amp;" "&amp;Migrationsartikel!G217&amp;" "&amp;Migrationsartikel!H217</f>
        <v xml:space="preserve">Birnen Boscop Kl. 1 gepackt </v>
      </c>
      <c r="S219" t="str">
        <f>Migrationsartikel!J217&amp;" "&amp;Migrationsartikel!K217&amp;" "&amp;Migrationsartikel!L217</f>
        <v xml:space="preserve">Poires Boscop Cl. 1 emballé </v>
      </c>
      <c r="T219" t="str">
        <f>Migrationsartikel!N217&amp;" "&amp;Migrationsartikel!O217&amp;" "&amp;Migrationsartikel!P217</f>
        <v xml:space="preserve">Pere Boscop Cl. 1 confezionato </v>
      </c>
      <c r="U219" t="str">
        <f>Migrationsartikel!F217</f>
        <v>Birnen Boscop</v>
      </c>
      <c r="V219" t="str">
        <f>Migrationsartikel!J217</f>
        <v>Poires Boscop</v>
      </c>
      <c r="W219" t="str">
        <f>Migrationsartikel!N217</f>
        <v>Pere Boscop</v>
      </c>
      <c r="X219" t="str">
        <f>Migrationsartikel!G217</f>
        <v>Kl. 1 gepackt</v>
      </c>
      <c r="Y219" t="str">
        <f>Migrationsartikel!K217</f>
        <v>Cl. 1 emballé</v>
      </c>
      <c r="Z219" t="str">
        <f>Migrationsartikel!O217</f>
        <v>Cl. 1 confezionato</v>
      </c>
      <c r="AA219" s="31">
        <f>Migrationsartikel!H217</f>
        <v>0</v>
      </c>
      <c r="AB219" s="31">
        <f>Migrationsartikel!L217</f>
        <v>0</v>
      </c>
      <c r="AC219" s="31">
        <f>Migrationsartikel!P217</f>
        <v>0</v>
      </c>
      <c r="AD219" t="str">
        <f>Migrationsartikel!I217</f>
        <v>Birnen Boscop Kl. 1 gepackt</v>
      </c>
      <c r="AE219" t="str">
        <f>Migrationsartikel!M217</f>
        <v>Poires Boscop cl. 1 emballé</v>
      </c>
      <c r="AF219" t="str">
        <f>Migrationsartikel!Q217</f>
        <v>Pere Boscop cl. 1 confez.</v>
      </c>
      <c r="AG219" s="45">
        <f>Migrationsartikel!R217</f>
        <v>1</v>
      </c>
      <c r="AH219" s="46" t="str">
        <f>Migrationsartikel!T217</f>
        <v>Kilogramm</v>
      </c>
      <c r="AI219" s="46" t="str">
        <f t="shared" si="9"/>
        <v>3</v>
      </c>
      <c r="AJ219" s="46" t="s">
        <v>176</v>
      </c>
      <c r="AK219">
        <f>Migrationsartikel!S217</f>
        <v>1</v>
      </c>
      <c r="AL219">
        <f>Migrationsartikel!S217</f>
        <v>1</v>
      </c>
      <c r="AM219">
        <f>Migrationsartikel!S217</f>
        <v>1</v>
      </c>
      <c r="AN219" t="str">
        <f>Migrationsartikel!U217</f>
        <v>(PCE) Stück</v>
      </c>
      <c r="AO219" t="str">
        <f t="shared" si="10"/>
        <v>(PCE) Pièce</v>
      </c>
      <c r="AP219" t="str">
        <f t="shared" si="11"/>
        <v>(PCE) Pièce</v>
      </c>
      <c r="AQ219" s="31" t="s">
        <v>195</v>
      </c>
      <c r="AR219" s="47"/>
      <c r="AS219" s="47"/>
      <c r="AT219" s="31" t="s">
        <v>208</v>
      </c>
      <c r="AU219" s="47"/>
      <c r="AV219" s="47"/>
      <c r="AW219" t="str">
        <f>IF(Migrationsartikel!AB217="ja","true",FALSE)</f>
        <v>true</v>
      </c>
      <c r="AX219" t="str">
        <f>IF(Migrationsartikel!AC217="ja","true",FALSE)</f>
        <v>true</v>
      </c>
      <c r="AY219" t="str">
        <f>IF(Migrationsartikel!AD217="ja","true",FALSE)</f>
        <v>true</v>
      </c>
      <c r="AZ219" t="str">
        <f>IF(Migrationsartikel!AE217="ja","true",FALSE)</f>
        <v>true</v>
      </c>
      <c r="BA219" t="str">
        <f>IF(Migrationsartikel!AF217="ja","Denner Partner","")</f>
        <v/>
      </c>
      <c r="BB219" t="str">
        <f>IF(Migrationsartikel!AG217="ja","true","false")</f>
        <v>false</v>
      </c>
      <c r="BC219" t="s">
        <v>1923</v>
      </c>
      <c r="BD219" s="31" t="s">
        <v>235</v>
      </c>
      <c r="BE219" s="31" t="s">
        <v>233</v>
      </c>
    </row>
    <row r="220" spans="2:57" ht="21.75" customHeight="1" x14ac:dyDescent="0.45">
      <c r="B220" t="s">
        <v>115</v>
      </c>
      <c r="E220" s="31" t="s">
        <v>1646</v>
      </c>
      <c r="F220" t="str">
        <f>"Warengruppe&gt;&gt;"&amp;Migrationsartikel!V218&amp;"&gt;&gt;"&amp;Migrationsartikel!W218&amp;"&gt;&gt;"&amp;Migrationsartikel!X218</f>
        <v>Warengruppe&gt;&gt;Früchte und Gemüse&gt;&gt;Früchte und Gemüse&gt;&gt;Früchte</v>
      </c>
      <c r="J220" s="31" t="s">
        <v>125</v>
      </c>
      <c r="M220" s="31" t="s">
        <v>137</v>
      </c>
      <c r="P220" s="31">
        <f>Migrationsartikel!B218</f>
        <v>0</v>
      </c>
      <c r="R220" t="str">
        <f>Migrationsartikel!F218&amp;" "&amp;Migrationsartikel!G218&amp;" "&amp;Migrationsartikel!H218</f>
        <v xml:space="preserve">Birnen Carmen Kl. 1 gepackt </v>
      </c>
      <c r="S220" t="str">
        <f>Migrationsartikel!J218&amp;" "&amp;Migrationsartikel!K218&amp;" "&amp;Migrationsartikel!L218</f>
        <v xml:space="preserve">Poires Carmen Cl. 1 emballé </v>
      </c>
      <c r="T220" t="str">
        <f>Migrationsartikel!N218&amp;" "&amp;Migrationsartikel!O218&amp;" "&amp;Migrationsartikel!P218</f>
        <v xml:space="preserve">Pere Carmen Cl. 1 confezionato </v>
      </c>
      <c r="U220" t="str">
        <f>Migrationsartikel!F218</f>
        <v>Birnen Carmen</v>
      </c>
      <c r="V220" t="str">
        <f>Migrationsartikel!J218</f>
        <v>Poires Carmen</v>
      </c>
      <c r="W220" t="str">
        <f>Migrationsartikel!N218</f>
        <v>Pere Carmen</v>
      </c>
      <c r="X220" t="str">
        <f>Migrationsartikel!G218</f>
        <v>Kl. 1 gepackt</v>
      </c>
      <c r="Y220" t="str">
        <f>Migrationsartikel!K218</f>
        <v>Cl. 1 emballé</v>
      </c>
      <c r="Z220" t="str">
        <f>Migrationsartikel!O218</f>
        <v>Cl. 1 confezionato</v>
      </c>
      <c r="AA220" s="31">
        <f>Migrationsartikel!H218</f>
        <v>0</v>
      </c>
      <c r="AB220" s="31">
        <f>Migrationsartikel!L218</f>
        <v>0</v>
      </c>
      <c r="AC220" s="31">
        <f>Migrationsartikel!P218</f>
        <v>0</v>
      </c>
      <c r="AD220" t="str">
        <f>Migrationsartikel!I218</f>
        <v>Birnen Carmen Kl. 1 gepackt</v>
      </c>
      <c r="AE220" t="str">
        <f>Migrationsartikel!M218</f>
        <v>Poires Carmen cl. 1 emballé</v>
      </c>
      <c r="AF220" t="str">
        <f>Migrationsartikel!Q218</f>
        <v>Pere Carmen cl. 1 confez.</v>
      </c>
      <c r="AG220" s="45">
        <f>Migrationsartikel!R218</f>
        <v>1</v>
      </c>
      <c r="AH220" s="46" t="str">
        <f>Migrationsartikel!T218</f>
        <v>Kilogramm</v>
      </c>
      <c r="AI220" s="46" t="str">
        <f t="shared" si="9"/>
        <v>3</v>
      </c>
      <c r="AJ220" s="46" t="s">
        <v>176</v>
      </c>
      <c r="AK220">
        <f>Migrationsartikel!S218</f>
        <v>1</v>
      </c>
      <c r="AL220">
        <f>Migrationsartikel!S218</f>
        <v>1</v>
      </c>
      <c r="AM220">
        <f>Migrationsartikel!S218</f>
        <v>1</v>
      </c>
      <c r="AN220" t="str">
        <f>Migrationsartikel!U218</f>
        <v>(PCE) Stück</v>
      </c>
      <c r="AO220" t="str">
        <f t="shared" si="10"/>
        <v>(PCE) Pièce</v>
      </c>
      <c r="AP220" t="str">
        <f t="shared" si="11"/>
        <v>(PCE) Pièce</v>
      </c>
      <c r="AQ220" s="31" t="s">
        <v>195</v>
      </c>
      <c r="AR220" s="47"/>
      <c r="AS220" s="47"/>
      <c r="AT220" s="31" t="s">
        <v>208</v>
      </c>
      <c r="AU220" s="47"/>
      <c r="AV220" s="47"/>
      <c r="AW220" t="str">
        <f>IF(Migrationsartikel!AB218="ja","true",FALSE)</f>
        <v>true</v>
      </c>
      <c r="AX220" t="str">
        <f>IF(Migrationsartikel!AC218="ja","true",FALSE)</f>
        <v>true</v>
      </c>
      <c r="AY220" t="str">
        <f>IF(Migrationsartikel!AD218="ja","true",FALSE)</f>
        <v>true</v>
      </c>
      <c r="AZ220" t="str">
        <f>IF(Migrationsartikel!AE218="ja","true",FALSE)</f>
        <v>true</v>
      </c>
      <c r="BA220" t="str">
        <f>IF(Migrationsartikel!AF218="ja","Denner Partner","")</f>
        <v/>
      </c>
      <c r="BB220" t="str">
        <f>IF(Migrationsartikel!AG218="ja","true","false")</f>
        <v>false</v>
      </c>
      <c r="BC220" t="s">
        <v>1923</v>
      </c>
      <c r="BD220" s="31" t="s">
        <v>235</v>
      </c>
      <c r="BE220" s="31" t="s">
        <v>233</v>
      </c>
    </row>
    <row r="221" spans="2:57" ht="21.75" customHeight="1" x14ac:dyDescent="0.45">
      <c r="B221" t="s">
        <v>115</v>
      </c>
      <c r="E221" s="31" t="s">
        <v>1647</v>
      </c>
      <c r="F221" t="str">
        <f>"Warengruppe&gt;&gt;"&amp;Migrationsartikel!V219&amp;"&gt;&gt;"&amp;Migrationsartikel!W219&amp;"&gt;&gt;"&amp;Migrationsartikel!X219</f>
        <v>Warengruppe&gt;&gt;Früchte und Gemüse&gt;&gt;Früchte und Gemüse&gt;&gt;Früchte</v>
      </c>
      <c r="J221" s="31" t="s">
        <v>125</v>
      </c>
      <c r="M221" s="31" t="s">
        <v>137</v>
      </c>
      <c r="P221" s="31">
        <f>Migrationsartikel!B219</f>
        <v>136</v>
      </c>
      <c r="R221" t="str">
        <f>Migrationsartikel!F219&amp;" "&amp;Migrationsartikel!G219&amp;" "&amp;Migrationsartikel!H219</f>
        <v xml:space="preserve">Birnen Conférence Offen Kl. 1 </v>
      </c>
      <c r="S221" t="str">
        <f>Migrationsartikel!J219&amp;" "&amp;Migrationsartikel!K219&amp;" "&amp;Migrationsartikel!L219</f>
        <v xml:space="preserve">Poires Conférence En vrac, cl. 1 </v>
      </c>
      <c r="T221" t="str">
        <f>Migrationsartikel!N219&amp;" "&amp;Migrationsartikel!O219&amp;" "&amp;Migrationsartikel!P219</f>
        <v xml:space="preserve">Pere Conférence Cl. 1 vendita sfusa </v>
      </c>
      <c r="U221" t="str">
        <f>Migrationsartikel!F219</f>
        <v>Birnen Conférence</v>
      </c>
      <c r="V221" t="str">
        <f>Migrationsartikel!J219</f>
        <v>Poires Conférence</v>
      </c>
      <c r="W221" t="str">
        <f>Migrationsartikel!N219</f>
        <v>Pere Conférence</v>
      </c>
      <c r="X221" t="str">
        <f>Migrationsartikel!G219</f>
        <v>Offen Kl. 1</v>
      </c>
      <c r="Y221" t="str">
        <f>Migrationsartikel!K219</f>
        <v>En vrac, cl. 1</v>
      </c>
      <c r="Z221" t="str">
        <f>Migrationsartikel!O219</f>
        <v>Cl. 1 vendita sfusa</v>
      </c>
      <c r="AA221" s="31">
        <f>Migrationsartikel!H219</f>
        <v>0</v>
      </c>
      <c r="AB221" s="31">
        <f>Migrationsartikel!L219</f>
        <v>0</v>
      </c>
      <c r="AC221" s="31">
        <f>Migrationsartikel!P219</f>
        <v>0</v>
      </c>
      <c r="AD221" t="str">
        <f>Migrationsartikel!I219</f>
        <v>Birnen Conférence Offen Kl.1</v>
      </c>
      <c r="AE221" t="str">
        <f>Migrationsartikel!M219</f>
        <v>Poires Conférence cl.1 en vr</v>
      </c>
      <c r="AF221" t="str">
        <f>Migrationsartikel!Q219</f>
        <v>Pere Conférence cl. 1 ve. Sf</v>
      </c>
      <c r="AG221" s="45">
        <f>Migrationsartikel!R219</f>
        <v>1</v>
      </c>
      <c r="AH221" s="46" t="str">
        <f>Migrationsartikel!T219</f>
        <v>Kilogramm</v>
      </c>
      <c r="AI221" s="46" t="str">
        <f t="shared" si="9"/>
        <v>3</v>
      </c>
      <c r="AJ221" s="46" t="s">
        <v>176</v>
      </c>
      <c r="AK221">
        <f>Migrationsartikel!S219</f>
        <v>1</v>
      </c>
      <c r="AL221">
        <f>Migrationsartikel!S219</f>
        <v>1</v>
      </c>
      <c r="AM221">
        <f>Migrationsartikel!S219</f>
        <v>1</v>
      </c>
      <c r="AN221" t="str">
        <f>Migrationsartikel!U219</f>
        <v>(KGM) KG</v>
      </c>
      <c r="AO221" t="str">
        <f t="shared" si="10"/>
        <v>(KGM) Kg</v>
      </c>
      <c r="AP221" t="str">
        <f t="shared" si="11"/>
        <v>(KGM) KG</v>
      </c>
      <c r="AQ221" s="31" t="s">
        <v>195</v>
      </c>
      <c r="AR221" s="47"/>
      <c r="AS221" s="47"/>
      <c r="AT221" s="31" t="s">
        <v>208</v>
      </c>
      <c r="AU221" s="47"/>
      <c r="AV221" s="47"/>
      <c r="AW221" t="str">
        <f>IF(Migrationsartikel!AB219="ja","true",FALSE)</f>
        <v>true</v>
      </c>
      <c r="AX221" t="str">
        <f>IF(Migrationsartikel!AC219="ja","true",FALSE)</f>
        <v>true</v>
      </c>
      <c r="AY221" t="str">
        <f>IF(Migrationsartikel!AD219="ja","true",FALSE)</f>
        <v>true</v>
      </c>
      <c r="AZ221" t="str">
        <f>IF(Migrationsartikel!AE219="ja","true",FALSE)</f>
        <v>true</v>
      </c>
      <c r="BA221" t="str">
        <f>IF(Migrationsartikel!AF219="ja","Denner Partner","")</f>
        <v/>
      </c>
      <c r="BB221" t="str">
        <f>IF(Migrationsartikel!AG219="ja","true","false")</f>
        <v>false</v>
      </c>
      <c r="BC221" t="s">
        <v>1923</v>
      </c>
      <c r="BD221" s="31" t="s">
        <v>235</v>
      </c>
      <c r="BE221" s="31" t="s">
        <v>233</v>
      </c>
    </row>
    <row r="222" spans="2:57" ht="21.75" customHeight="1" x14ac:dyDescent="0.45">
      <c r="B222" t="s">
        <v>115</v>
      </c>
      <c r="E222" s="31" t="s">
        <v>1648</v>
      </c>
      <c r="F222" t="str">
        <f>"Warengruppe&gt;&gt;"&amp;Migrationsartikel!V220&amp;"&gt;&gt;"&amp;Migrationsartikel!W220&amp;"&gt;&gt;"&amp;Migrationsartikel!X220</f>
        <v>Warengruppe&gt;&gt;Früchte und Gemüse&gt;&gt;Früchte und Gemüse&gt;&gt;Früchte</v>
      </c>
      <c r="J222" s="31" t="s">
        <v>125</v>
      </c>
      <c r="M222" s="31" t="s">
        <v>137</v>
      </c>
      <c r="P222" s="31">
        <f>Migrationsartikel!B220</f>
        <v>0</v>
      </c>
      <c r="R222" t="str">
        <f>Migrationsartikel!F220&amp;" "&amp;Migrationsartikel!G220&amp;" "&amp;Migrationsartikel!H220</f>
        <v xml:space="preserve">Birnen Conférence Kl. 1 gepackt </v>
      </c>
      <c r="S222" t="str">
        <f>Migrationsartikel!J220&amp;" "&amp;Migrationsartikel!K220&amp;" "&amp;Migrationsartikel!L220</f>
        <v xml:space="preserve">Poires Conférence Cl. 1 emballé </v>
      </c>
      <c r="T222" t="str">
        <f>Migrationsartikel!N220&amp;" "&amp;Migrationsartikel!O220&amp;" "&amp;Migrationsartikel!P220</f>
        <v xml:space="preserve">Pere Conférence Cl. 1 confezionato </v>
      </c>
      <c r="U222" t="str">
        <f>Migrationsartikel!F220</f>
        <v>Birnen Conférence</v>
      </c>
      <c r="V222" t="str">
        <f>Migrationsartikel!J220</f>
        <v>Poires Conférence</v>
      </c>
      <c r="W222" t="str">
        <f>Migrationsartikel!N220</f>
        <v>Pere Conférence</v>
      </c>
      <c r="X222" t="str">
        <f>Migrationsartikel!G220</f>
        <v>Kl. 1 gepackt</v>
      </c>
      <c r="Y222" t="str">
        <f>Migrationsartikel!K220</f>
        <v>Cl. 1 emballé</v>
      </c>
      <c r="Z222" t="str">
        <f>Migrationsartikel!O220</f>
        <v>Cl. 1 confezionato</v>
      </c>
      <c r="AA222" s="31">
        <f>Migrationsartikel!H220</f>
        <v>0</v>
      </c>
      <c r="AB222" s="31">
        <f>Migrationsartikel!L220</f>
        <v>0</v>
      </c>
      <c r="AC222" s="31">
        <f>Migrationsartikel!P220</f>
        <v>0</v>
      </c>
      <c r="AD222" t="str">
        <f>Migrationsartikel!I220</f>
        <v>Birnen Conférence Kl. 2 gep.</v>
      </c>
      <c r="AE222" t="str">
        <f>Migrationsartikel!M220</f>
        <v>Poires Conférence cl. 1 emb.</v>
      </c>
      <c r="AF222" t="str">
        <f>Migrationsartikel!Q220</f>
        <v>Pere Conférence cl. 1 conf</v>
      </c>
      <c r="AG222" s="45">
        <f>Migrationsartikel!R220</f>
        <v>1</v>
      </c>
      <c r="AH222" s="46" t="str">
        <f>Migrationsartikel!T220</f>
        <v>Kilogramm</v>
      </c>
      <c r="AI222" s="46" t="str">
        <f t="shared" si="9"/>
        <v>3</v>
      </c>
      <c r="AJ222" s="46" t="s">
        <v>176</v>
      </c>
      <c r="AK222">
        <f>Migrationsartikel!S220</f>
        <v>1</v>
      </c>
      <c r="AL222">
        <f>Migrationsartikel!S220</f>
        <v>1</v>
      </c>
      <c r="AM222">
        <f>Migrationsartikel!S220</f>
        <v>1</v>
      </c>
      <c r="AN222" t="str">
        <f>Migrationsartikel!U220</f>
        <v>(PCE) Stück</v>
      </c>
      <c r="AO222" t="str">
        <f t="shared" si="10"/>
        <v>(PCE) Pièce</v>
      </c>
      <c r="AP222" t="str">
        <f t="shared" si="11"/>
        <v>(PCE) Pièce</v>
      </c>
      <c r="AQ222" s="31" t="s">
        <v>195</v>
      </c>
      <c r="AR222" s="47"/>
      <c r="AS222" s="47"/>
      <c r="AT222" s="31" t="s">
        <v>208</v>
      </c>
      <c r="AU222" s="47"/>
      <c r="AV222" s="47"/>
      <c r="AW222" t="str">
        <f>IF(Migrationsartikel!AB220="ja","true",FALSE)</f>
        <v>true</v>
      </c>
      <c r="AX222" t="str">
        <f>IF(Migrationsartikel!AC220="ja","true",FALSE)</f>
        <v>true</v>
      </c>
      <c r="AY222" t="str">
        <f>IF(Migrationsartikel!AD220="ja","true",FALSE)</f>
        <v>true</v>
      </c>
      <c r="AZ222" t="str">
        <f>IF(Migrationsartikel!AE220="ja","true",FALSE)</f>
        <v>true</v>
      </c>
      <c r="BA222" t="str">
        <f>IF(Migrationsartikel!AF220="ja","Denner Partner","")</f>
        <v/>
      </c>
      <c r="BB222" t="str">
        <f>IF(Migrationsartikel!AG220="ja","true","false")</f>
        <v>false</v>
      </c>
      <c r="BC222" t="s">
        <v>1923</v>
      </c>
      <c r="BD222" s="31" t="s">
        <v>235</v>
      </c>
      <c r="BE222" s="31" t="s">
        <v>233</v>
      </c>
    </row>
    <row r="223" spans="2:57" ht="21.75" customHeight="1" x14ac:dyDescent="0.45">
      <c r="B223" t="s">
        <v>115</v>
      </c>
      <c r="E223" s="31" t="s">
        <v>1649</v>
      </c>
      <c r="F223" t="str">
        <f>"Warengruppe&gt;&gt;"&amp;Migrationsartikel!V221&amp;"&gt;&gt;"&amp;Migrationsartikel!W221&amp;"&gt;&gt;"&amp;Migrationsartikel!X221</f>
        <v>Warengruppe&gt;&gt;Früchte und Gemüse&gt;&gt;Früchte und Gemüse&gt;&gt;Früchte</v>
      </c>
      <c r="J223" s="31" t="s">
        <v>125</v>
      </c>
      <c r="M223" s="31" t="s">
        <v>137</v>
      </c>
      <c r="P223" s="31">
        <f>Migrationsartikel!B221</f>
        <v>0</v>
      </c>
      <c r="R223" t="str">
        <f>Migrationsartikel!F221&amp;" "&amp;Migrationsartikel!G221&amp;" "&amp;Migrationsartikel!H221</f>
        <v xml:space="preserve">Bio Birnen Conférence Kl. 1 gepackt </v>
      </c>
      <c r="S223" t="str">
        <f>Migrationsartikel!J221&amp;" "&amp;Migrationsartikel!K221&amp;" "&amp;Migrationsartikel!L221</f>
        <v xml:space="preserve">Bio Poires Conférence Cl. 1 emballé </v>
      </c>
      <c r="T223" t="str">
        <f>Migrationsartikel!N221&amp;" "&amp;Migrationsartikel!O221&amp;" "&amp;Migrationsartikel!P221</f>
        <v xml:space="preserve">Bio Pere Conférence Cl. 1 confezionato </v>
      </c>
      <c r="U223" t="str">
        <f>Migrationsartikel!F221</f>
        <v>Bio Birnen Conférence</v>
      </c>
      <c r="V223" t="str">
        <f>Migrationsartikel!J221</f>
        <v>Bio Poires Conférence</v>
      </c>
      <c r="W223" t="str">
        <f>Migrationsartikel!N221</f>
        <v>Bio Pere Conférence</v>
      </c>
      <c r="X223" t="str">
        <f>Migrationsartikel!G221</f>
        <v>Kl. 1 gepackt</v>
      </c>
      <c r="Y223" t="str">
        <f>Migrationsartikel!K221</f>
        <v>Cl. 1 emballé</v>
      </c>
      <c r="Z223" t="str">
        <f>Migrationsartikel!O221</f>
        <v>Cl. 1 confezionato</v>
      </c>
      <c r="AA223" s="31">
        <f>Migrationsartikel!H221</f>
        <v>0</v>
      </c>
      <c r="AB223" s="31">
        <f>Migrationsartikel!L221</f>
        <v>0</v>
      </c>
      <c r="AC223" s="31">
        <f>Migrationsartikel!P221</f>
        <v>0</v>
      </c>
      <c r="AD223" t="str">
        <f>Migrationsartikel!I221</f>
        <v>Bio Birnen Conf. Kl.1 gep.</v>
      </c>
      <c r="AE223" t="str">
        <f>Migrationsartikel!M221</f>
        <v>Bio Poires Confér. cl.1 emb.</v>
      </c>
      <c r="AF223" t="str">
        <f>Migrationsartikel!Q221</f>
        <v>Bio Pere Conf. cl. 1 conf.</v>
      </c>
      <c r="AG223" s="45">
        <f>Migrationsartikel!R221</f>
        <v>1</v>
      </c>
      <c r="AH223" s="46" t="str">
        <f>Migrationsartikel!T221</f>
        <v>Kilogramm</v>
      </c>
      <c r="AI223" s="46" t="str">
        <f t="shared" si="9"/>
        <v>3</v>
      </c>
      <c r="AJ223" s="46" t="s">
        <v>176</v>
      </c>
      <c r="AK223">
        <f>Migrationsartikel!S221</f>
        <v>1</v>
      </c>
      <c r="AL223">
        <f>Migrationsartikel!S221</f>
        <v>1</v>
      </c>
      <c r="AM223">
        <f>Migrationsartikel!S221</f>
        <v>1</v>
      </c>
      <c r="AN223" t="str">
        <f>Migrationsartikel!U221</f>
        <v>(PCE) Stück</v>
      </c>
      <c r="AO223" t="str">
        <f t="shared" si="10"/>
        <v>(PCE) Pièce</v>
      </c>
      <c r="AP223" t="str">
        <f t="shared" si="11"/>
        <v>(PCE) Pièce</v>
      </c>
      <c r="AQ223" s="31" t="s">
        <v>195</v>
      </c>
      <c r="AR223" s="47"/>
      <c r="AS223" s="47"/>
      <c r="AT223" s="31" t="s">
        <v>208</v>
      </c>
      <c r="AU223" s="47"/>
      <c r="AV223" s="47"/>
      <c r="AW223" t="str">
        <f>IF(Migrationsartikel!AB221="ja","true",FALSE)</f>
        <v>true</v>
      </c>
      <c r="AX223" t="str">
        <f>IF(Migrationsartikel!AC221="ja","true",FALSE)</f>
        <v>true</v>
      </c>
      <c r="AY223" t="str">
        <f>IF(Migrationsartikel!AD221="ja","true",FALSE)</f>
        <v>true</v>
      </c>
      <c r="AZ223" t="str">
        <f>IF(Migrationsartikel!AE221="ja","true",FALSE)</f>
        <v>true</v>
      </c>
      <c r="BA223" t="str">
        <f>IF(Migrationsartikel!AF221="ja","Denner Partner","")</f>
        <v/>
      </c>
      <c r="BB223" t="str">
        <f>IF(Migrationsartikel!AG221="ja","true","false")</f>
        <v>false</v>
      </c>
      <c r="BC223" t="s">
        <v>1923</v>
      </c>
      <c r="BD223" s="31" t="s">
        <v>235</v>
      </c>
      <c r="BE223" s="31" t="s">
        <v>233</v>
      </c>
    </row>
    <row r="224" spans="2:57" ht="21.75" customHeight="1" x14ac:dyDescent="0.45">
      <c r="B224" t="s">
        <v>115</v>
      </c>
      <c r="E224" s="31" t="s">
        <v>1650</v>
      </c>
      <c r="F224" t="str">
        <f>"Warengruppe&gt;&gt;"&amp;Migrationsartikel!V222&amp;"&gt;&gt;"&amp;Migrationsartikel!W222&amp;"&gt;&gt;"&amp;Migrationsartikel!X222</f>
        <v>Warengruppe&gt;&gt;Früchte und Gemüse&gt;&gt;Früchte und Gemüse&gt;&gt;Früchte</v>
      </c>
      <c r="J224" s="31" t="s">
        <v>125</v>
      </c>
      <c r="M224" s="31" t="s">
        <v>137</v>
      </c>
      <c r="P224" s="31">
        <f>Migrationsartikel!B222</f>
        <v>138</v>
      </c>
      <c r="R224" t="str">
        <f>Migrationsartikel!F222&amp;" "&amp;Migrationsartikel!G222&amp;" "&amp;Migrationsartikel!H222</f>
        <v xml:space="preserve">Birnen Forellen  Offen Kl. 1 </v>
      </c>
      <c r="S224" t="str">
        <f>Migrationsartikel!J222&amp;" "&amp;Migrationsartikel!K222&amp;" "&amp;Migrationsartikel!L222</f>
        <v xml:space="preserve">Poires Forelle  En vrac, cl. 1 </v>
      </c>
      <c r="T224" t="str">
        <f>Migrationsartikel!N222&amp;" "&amp;Migrationsartikel!O222&amp;" "&amp;Migrationsartikel!P222</f>
        <v xml:space="preserve">Pere Forelle  Cl. 1 vendita sfusa </v>
      </c>
      <c r="U224" t="str">
        <f>Migrationsartikel!F222</f>
        <v xml:space="preserve">Birnen Forellen </v>
      </c>
      <c r="V224" t="str">
        <f>Migrationsartikel!J222</f>
        <v xml:space="preserve">Poires Forelle </v>
      </c>
      <c r="W224" t="str">
        <f>Migrationsartikel!N222</f>
        <v xml:space="preserve">Pere Forelle </v>
      </c>
      <c r="X224" t="str">
        <f>Migrationsartikel!G222</f>
        <v>Offen Kl. 1</v>
      </c>
      <c r="Y224" t="str">
        <f>Migrationsartikel!K222</f>
        <v>En vrac, cl. 1</v>
      </c>
      <c r="Z224" t="str">
        <f>Migrationsartikel!O222</f>
        <v>Cl. 1 vendita sfusa</v>
      </c>
      <c r="AA224" s="31">
        <f>Migrationsartikel!H222</f>
        <v>0</v>
      </c>
      <c r="AB224" s="31">
        <f>Migrationsartikel!L222</f>
        <v>0</v>
      </c>
      <c r="AC224" s="31">
        <f>Migrationsartikel!P222</f>
        <v>0</v>
      </c>
      <c r="AD224" t="str">
        <f>Migrationsartikel!I222</f>
        <v>Birnen Forellen Offen Kl. 1</v>
      </c>
      <c r="AE224" t="str">
        <f>Migrationsartikel!M222</f>
        <v>Poires Forelle cl. 1 en vrac</v>
      </c>
      <c r="AF224" t="str">
        <f>Migrationsartikel!Q222</f>
        <v>Pere Forelle cl. 1 vend. Sf.</v>
      </c>
      <c r="AG224" s="45">
        <f>Migrationsartikel!R222</f>
        <v>1</v>
      </c>
      <c r="AH224" s="46" t="str">
        <f>Migrationsartikel!T222</f>
        <v>Kilogramm</v>
      </c>
      <c r="AI224" s="46" t="str">
        <f t="shared" si="9"/>
        <v>3</v>
      </c>
      <c r="AJ224" s="46" t="s">
        <v>176</v>
      </c>
      <c r="AK224">
        <f>Migrationsartikel!S222</f>
        <v>1</v>
      </c>
      <c r="AL224">
        <f>Migrationsartikel!S222</f>
        <v>1</v>
      </c>
      <c r="AM224">
        <f>Migrationsartikel!S222</f>
        <v>1</v>
      </c>
      <c r="AN224" t="str">
        <f>Migrationsartikel!U222</f>
        <v>(KGM) KG</v>
      </c>
      <c r="AO224" t="str">
        <f t="shared" si="10"/>
        <v>(KGM) Kg</v>
      </c>
      <c r="AP224" t="str">
        <f t="shared" si="11"/>
        <v>(KGM) KG</v>
      </c>
      <c r="AQ224" s="31" t="s">
        <v>195</v>
      </c>
      <c r="AR224" s="47"/>
      <c r="AS224" s="47"/>
      <c r="AT224" s="31" t="s">
        <v>208</v>
      </c>
      <c r="AU224" s="47"/>
      <c r="AV224" s="47"/>
      <c r="AW224" t="str">
        <f>IF(Migrationsartikel!AB222="ja","true",FALSE)</f>
        <v>true</v>
      </c>
      <c r="AX224" t="str">
        <f>IF(Migrationsartikel!AC222="ja","true",FALSE)</f>
        <v>true</v>
      </c>
      <c r="AY224" t="str">
        <f>IF(Migrationsartikel!AD222="ja","true",FALSE)</f>
        <v>true</v>
      </c>
      <c r="AZ224" t="str">
        <f>IF(Migrationsartikel!AE222="ja","true",FALSE)</f>
        <v>true</v>
      </c>
      <c r="BA224" t="str">
        <f>IF(Migrationsartikel!AF222="ja","Denner Partner","")</f>
        <v/>
      </c>
      <c r="BB224" t="str">
        <f>IF(Migrationsartikel!AG222="ja","true","false")</f>
        <v>false</v>
      </c>
      <c r="BC224" t="s">
        <v>1923</v>
      </c>
      <c r="BD224" s="31" t="s">
        <v>235</v>
      </c>
      <c r="BE224" s="31" t="s">
        <v>233</v>
      </c>
    </row>
    <row r="225" spans="2:57" ht="21.75" customHeight="1" x14ac:dyDescent="0.45">
      <c r="B225" t="s">
        <v>115</v>
      </c>
      <c r="E225" s="31" t="s">
        <v>1651</v>
      </c>
      <c r="F225" t="str">
        <f>"Warengruppe&gt;&gt;"&amp;Migrationsartikel!V223&amp;"&gt;&gt;"&amp;Migrationsartikel!W223&amp;"&gt;&gt;"&amp;Migrationsartikel!X223</f>
        <v>Warengruppe&gt;&gt;Früchte und Gemüse&gt;&gt;Früchte und Gemüse&gt;&gt;Früchte</v>
      </c>
      <c r="J225" s="31" t="s">
        <v>125</v>
      </c>
      <c r="M225" s="31" t="s">
        <v>137</v>
      </c>
      <c r="P225" s="31">
        <f>Migrationsartikel!B223</f>
        <v>0</v>
      </c>
      <c r="R225" t="str">
        <f>Migrationsartikel!F223&amp;" "&amp;Migrationsartikel!G223&amp;" "&amp;Migrationsartikel!H223</f>
        <v xml:space="preserve">Birnen Forellen  Kl. 1 gepackt </v>
      </c>
      <c r="S225" t="str">
        <f>Migrationsartikel!J223&amp;" "&amp;Migrationsartikel!K223&amp;" "&amp;Migrationsartikel!L223</f>
        <v xml:space="preserve">Poires Forelle  Cl. 1 emballé </v>
      </c>
      <c r="T225" t="str">
        <f>Migrationsartikel!N223&amp;" "&amp;Migrationsartikel!O223&amp;" "&amp;Migrationsartikel!P223</f>
        <v xml:space="preserve">Pere Forelle  Cl. 1 confezionato </v>
      </c>
      <c r="U225" t="str">
        <f>Migrationsartikel!F223</f>
        <v xml:space="preserve">Birnen Forellen </v>
      </c>
      <c r="V225" t="str">
        <f>Migrationsartikel!J223</f>
        <v xml:space="preserve">Poires Forelle </v>
      </c>
      <c r="W225" t="str">
        <f>Migrationsartikel!N223</f>
        <v xml:space="preserve">Pere Forelle </v>
      </c>
      <c r="X225" t="str">
        <f>Migrationsartikel!G223</f>
        <v>Kl. 1 gepackt</v>
      </c>
      <c r="Y225" t="str">
        <f>Migrationsartikel!K223</f>
        <v>Cl. 1 emballé</v>
      </c>
      <c r="Z225" t="str">
        <f>Migrationsartikel!O223</f>
        <v>Cl. 1 confezionato</v>
      </c>
      <c r="AA225" s="31">
        <f>Migrationsartikel!H223</f>
        <v>0</v>
      </c>
      <c r="AB225" s="31">
        <f>Migrationsartikel!L223</f>
        <v>0</v>
      </c>
      <c r="AC225" s="31">
        <f>Migrationsartikel!P223</f>
        <v>0</v>
      </c>
      <c r="AD225" t="str">
        <f>Migrationsartikel!I223</f>
        <v>Birnen Forellen Kl.1 gepackt</v>
      </c>
      <c r="AE225" t="str">
        <f>Migrationsartikel!M223</f>
        <v>Poires Forelle cl. 1 emballé</v>
      </c>
      <c r="AF225" t="str">
        <f>Migrationsartikel!Q223</f>
        <v>Pere Forelle cl. 1 confez.</v>
      </c>
      <c r="AG225" s="45">
        <f>Migrationsartikel!R223</f>
        <v>1</v>
      </c>
      <c r="AH225" s="46" t="str">
        <f>Migrationsartikel!T223</f>
        <v>Kilogramm</v>
      </c>
      <c r="AI225" s="46" t="str">
        <f t="shared" si="9"/>
        <v>3</v>
      </c>
      <c r="AJ225" s="46" t="s">
        <v>176</v>
      </c>
      <c r="AK225">
        <f>Migrationsartikel!S223</f>
        <v>1</v>
      </c>
      <c r="AL225">
        <f>Migrationsartikel!S223</f>
        <v>1</v>
      </c>
      <c r="AM225">
        <f>Migrationsartikel!S223</f>
        <v>1</v>
      </c>
      <c r="AN225" t="str">
        <f>Migrationsartikel!U223</f>
        <v>(PCE) Stück</v>
      </c>
      <c r="AO225" t="str">
        <f t="shared" si="10"/>
        <v>(PCE) Pièce</v>
      </c>
      <c r="AP225" t="str">
        <f t="shared" si="11"/>
        <v>(PCE) Pièce</v>
      </c>
      <c r="AQ225" s="31" t="s">
        <v>195</v>
      </c>
      <c r="AR225" s="47"/>
      <c r="AS225" s="47"/>
      <c r="AT225" s="31" t="s">
        <v>208</v>
      </c>
      <c r="AU225" s="47"/>
      <c r="AV225" s="47"/>
      <c r="AW225" t="str">
        <f>IF(Migrationsartikel!AB223="ja","true",FALSE)</f>
        <v>true</v>
      </c>
      <c r="AX225" t="str">
        <f>IF(Migrationsartikel!AC223="ja","true",FALSE)</f>
        <v>true</v>
      </c>
      <c r="AY225" t="str">
        <f>IF(Migrationsartikel!AD223="ja","true",FALSE)</f>
        <v>true</v>
      </c>
      <c r="AZ225" t="str">
        <f>IF(Migrationsartikel!AE223="ja","true",FALSE)</f>
        <v>true</v>
      </c>
      <c r="BA225" t="str">
        <f>IF(Migrationsartikel!AF223="ja","Denner Partner","")</f>
        <v/>
      </c>
      <c r="BB225" t="str">
        <f>IF(Migrationsartikel!AG223="ja","true","false")</f>
        <v>false</v>
      </c>
      <c r="BC225" t="s">
        <v>1923</v>
      </c>
      <c r="BD225" s="31" t="s">
        <v>235</v>
      </c>
      <c r="BE225" s="31" t="s">
        <v>233</v>
      </c>
    </row>
    <row r="226" spans="2:57" ht="21.75" customHeight="1" x14ac:dyDescent="0.45">
      <c r="B226" t="s">
        <v>115</v>
      </c>
      <c r="E226" s="31" t="s">
        <v>1652</v>
      </c>
      <c r="F226" t="str">
        <f>"Warengruppe&gt;&gt;"&amp;Migrationsartikel!V224&amp;"&gt;&gt;"&amp;Migrationsartikel!W224&amp;"&gt;&gt;"&amp;Migrationsartikel!X224</f>
        <v>Warengruppe&gt;&gt;Früchte und Gemüse&gt;&gt;Früchte und Gemüse&gt;&gt;Früchte</v>
      </c>
      <c r="J226" s="31" t="s">
        <v>125</v>
      </c>
      <c r="M226" s="31" t="s">
        <v>137</v>
      </c>
      <c r="P226" s="31">
        <f>Migrationsartikel!B224</f>
        <v>139</v>
      </c>
      <c r="R226" t="str">
        <f>Migrationsartikel!F224&amp;" "&amp;Migrationsartikel!G224&amp;" "&amp;Migrationsartikel!H224</f>
        <v xml:space="preserve">Birnen Fred Offen Kl. 1 </v>
      </c>
      <c r="S226" t="str">
        <f>Migrationsartikel!J224&amp;" "&amp;Migrationsartikel!K224&amp;" "&amp;Migrationsartikel!L224</f>
        <v xml:space="preserve">Poires Fred En vrac, cl. 1 </v>
      </c>
      <c r="T226" t="str">
        <f>Migrationsartikel!N224&amp;" "&amp;Migrationsartikel!O224&amp;" "&amp;Migrationsartikel!P224</f>
        <v xml:space="preserve">Pere Fred Cl. 1 vendita sfusa </v>
      </c>
      <c r="U226" t="str">
        <f>Migrationsartikel!F224</f>
        <v>Birnen Fred</v>
      </c>
      <c r="V226" t="str">
        <f>Migrationsartikel!J224</f>
        <v>Poires Fred</v>
      </c>
      <c r="W226" t="str">
        <f>Migrationsartikel!N224</f>
        <v>Pere Fred</v>
      </c>
      <c r="X226" t="str">
        <f>Migrationsartikel!G224</f>
        <v>Offen Kl. 1</v>
      </c>
      <c r="Y226" t="str">
        <f>Migrationsartikel!K224</f>
        <v>En vrac, cl. 1</v>
      </c>
      <c r="Z226" t="str">
        <f>Migrationsartikel!O224</f>
        <v>Cl. 1 vendita sfusa</v>
      </c>
      <c r="AA226" s="31">
        <f>Migrationsartikel!H224</f>
        <v>0</v>
      </c>
      <c r="AB226" s="31">
        <f>Migrationsartikel!L224</f>
        <v>0</v>
      </c>
      <c r="AC226" s="31">
        <f>Migrationsartikel!P224</f>
        <v>0</v>
      </c>
      <c r="AD226" t="str">
        <f>Migrationsartikel!I224</f>
        <v>Birnen Fred Offen Kl. 1</v>
      </c>
      <c r="AE226" t="str">
        <f>Migrationsartikel!M224</f>
        <v>Poires Fred cl. 1 en vrac</v>
      </c>
      <c r="AF226" t="str">
        <f>Migrationsartikel!Q224</f>
        <v>Pere Fred cl. 1 vend sfusa</v>
      </c>
      <c r="AG226" s="45">
        <f>Migrationsartikel!R224</f>
        <v>1</v>
      </c>
      <c r="AH226" s="46" t="str">
        <f>Migrationsartikel!T224</f>
        <v>Kilogramm</v>
      </c>
      <c r="AI226" s="46" t="str">
        <f t="shared" si="9"/>
        <v>3</v>
      </c>
      <c r="AJ226" s="46" t="s">
        <v>176</v>
      </c>
      <c r="AK226">
        <f>Migrationsartikel!S224</f>
        <v>1</v>
      </c>
      <c r="AL226">
        <f>Migrationsartikel!S224</f>
        <v>1</v>
      </c>
      <c r="AM226">
        <f>Migrationsartikel!S224</f>
        <v>1</v>
      </c>
      <c r="AN226" t="str">
        <f>Migrationsartikel!U224</f>
        <v>(KGM) KG</v>
      </c>
      <c r="AO226" t="str">
        <f t="shared" si="10"/>
        <v>(KGM) Kg</v>
      </c>
      <c r="AP226" t="str">
        <f t="shared" si="11"/>
        <v>(KGM) KG</v>
      </c>
      <c r="AQ226" s="31" t="s">
        <v>195</v>
      </c>
      <c r="AR226" s="47"/>
      <c r="AS226" s="47"/>
      <c r="AT226" s="31" t="s">
        <v>208</v>
      </c>
      <c r="AU226" s="47"/>
      <c r="AV226" s="47"/>
      <c r="AW226" t="str">
        <f>IF(Migrationsartikel!AB224="ja","true",FALSE)</f>
        <v>true</v>
      </c>
      <c r="AX226" t="str">
        <f>IF(Migrationsartikel!AC224="ja","true",FALSE)</f>
        <v>true</v>
      </c>
      <c r="AY226" t="str">
        <f>IF(Migrationsartikel!AD224="ja","true",FALSE)</f>
        <v>true</v>
      </c>
      <c r="AZ226" t="str">
        <f>IF(Migrationsartikel!AE224="ja","true",FALSE)</f>
        <v>true</v>
      </c>
      <c r="BA226" t="str">
        <f>IF(Migrationsartikel!AF224="ja","Denner Partner","")</f>
        <v/>
      </c>
      <c r="BB226" t="str">
        <f>IF(Migrationsartikel!AG224="ja","true","false")</f>
        <v>false</v>
      </c>
      <c r="BC226" t="s">
        <v>1923</v>
      </c>
      <c r="BD226" s="31" t="s">
        <v>235</v>
      </c>
      <c r="BE226" s="31" t="s">
        <v>233</v>
      </c>
    </row>
    <row r="227" spans="2:57" ht="21.75" customHeight="1" x14ac:dyDescent="0.45">
      <c r="B227" t="s">
        <v>115</v>
      </c>
      <c r="E227" s="31" t="s">
        <v>1653</v>
      </c>
      <c r="F227" t="str">
        <f>"Warengruppe&gt;&gt;"&amp;Migrationsartikel!V225&amp;"&gt;&gt;"&amp;Migrationsartikel!W225&amp;"&gt;&gt;"&amp;Migrationsartikel!X225</f>
        <v>Warengruppe&gt;&gt;Früchte und Gemüse&gt;&gt;Früchte und Gemüse&gt;&gt;Früchte</v>
      </c>
      <c r="J227" s="31" t="s">
        <v>125</v>
      </c>
      <c r="M227" s="31" t="s">
        <v>137</v>
      </c>
      <c r="P227" s="31">
        <f>Migrationsartikel!B225</f>
        <v>0</v>
      </c>
      <c r="R227" t="str">
        <f>Migrationsartikel!F225&amp;" "&amp;Migrationsartikel!G225&amp;" "&amp;Migrationsartikel!H225</f>
        <v xml:space="preserve">Birnen Fred Kl. 1 gepackt </v>
      </c>
      <c r="S227" t="str">
        <f>Migrationsartikel!J225&amp;" "&amp;Migrationsartikel!K225&amp;" "&amp;Migrationsartikel!L225</f>
        <v xml:space="preserve">Poires Fred Cl. 1 emballé </v>
      </c>
      <c r="T227" t="str">
        <f>Migrationsartikel!N225&amp;" "&amp;Migrationsartikel!O225&amp;" "&amp;Migrationsartikel!P225</f>
        <v xml:space="preserve">Pere Fred Cl. 1 confezionato </v>
      </c>
      <c r="U227" t="str">
        <f>Migrationsartikel!F225</f>
        <v>Birnen Fred</v>
      </c>
      <c r="V227" t="str">
        <f>Migrationsartikel!J225</f>
        <v>Poires Fred</v>
      </c>
      <c r="W227" t="str">
        <f>Migrationsartikel!N225</f>
        <v>Pere Fred</v>
      </c>
      <c r="X227" t="str">
        <f>Migrationsartikel!G225</f>
        <v>Kl. 1 gepackt</v>
      </c>
      <c r="Y227" t="str">
        <f>Migrationsartikel!K225</f>
        <v>Cl. 1 emballé</v>
      </c>
      <c r="Z227" t="str">
        <f>Migrationsartikel!O225</f>
        <v>Cl. 1 confezionato</v>
      </c>
      <c r="AA227" s="31">
        <f>Migrationsartikel!H225</f>
        <v>0</v>
      </c>
      <c r="AB227" s="31">
        <f>Migrationsartikel!L225</f>
        <v>0</v>
      </c>
      <c r="AC227" s="31">
        <f>Migrationsartikel!P225</f>
        <v>0</v>
      </c>
      <c r="AD227" t="str">
        <f>Migrationsartikel!I225</f>
        <v>Birnen Fred Kl. 1 gepackt</v>
      </c>
      <c r="AE227" t="str">
        <f>Migrationsartikel!M225</f>
        <v>Poires Fred cl. 1 emballé</v>
      </c>
      <c r="AF227" t="str">
        <f>Migrationsartikel!Q225</f>
        <v>Pere Fred cl. 1 confez.</v>
      </c>
      <c r="AG227" s="45">
        <f>Migrationsartikel!R225</f>
        <v>1</v>
      </c>
      <c r="AH227" s="46" t="str">
        <f>Migrationsartikel!T225</f>
        <v>Kilogramm</v>
      </c>
      <c r="AI227" s="46" t="str">
        <f t="shared" si="9"/>
        <v>3</v>
      </c>
      <c r="AJ227" s="46" t="s">
        <v>176</v>
      </c>
      <c r="AK227">
        <f>Migrationsartikel!S225</f>
        <v>1</v>
      </c>
      <c r="AL227">
        <f>Migrationsartikel!S225</f>
        <v>1</v>
      </c>
      <c r="AM227">
        <f>Migrationsartikel!S225</f>
        <v>1</v>
      </c>
      <c r="AN227" t="str">
        <f>Migrationsartikel!U225</f>
        <v>(PCE) Stück</v>
      </c>
      <c r="AO227" t="str">
        <f t="shared" si="10"/>
        <v>(PCE) Pièce</v>
      </c>
      <c r="AP227" t="str">
        <f t="shared" si="11"/>
        <v>(PCE) Pièce</v>
      </c>
      <c r="AQ227" s="31" t="s">
        <v>195</v>
      </c>
      <c r="AR227" s="47"/>
      <c r="AS227" s="47"/>
      <c r="AT227" s="31" t="s">
        <v>208</v>
      </c>
      <c r="AU227" s="47"/>
      <c r="AV227" s="47"/>
      <c r="AW227" t="str">
        <f>IF(Migrationsartikel!AB225="ja","true",FALSE)</f>
        <v>true</v>
      </c>
      <c r="AX227" t="str">
        <f>IF(Migrationsartikel!AC225="ja","true",FALSE)</f>
        <v>true</v>
      </c>
      <c r="AY227" t="str">
        <f>IF(Migrationsartikel!AD225="ja","true",FALSE)</f>
        <v>true</v>
      </c>
      <c r="AZ227" t="str">
        <f>IF(Migrationsartikel!AE225="ja","true",FALSE)</f>
        <v>true</v>
      </c>
      <c r="BA227" t="str">
        <f>IF(Migrationsartikel!AF225="ja","Denner Partner","")</f>
        <v/>
      </c>
      <c r="BB227" t="str">
        <f>IF(Migrationsartikel!AG225="ja","true","false")</f>
        <v>false</v>
      </c>
      <c r="BC227" t="s">
        <v>1923</v>
      </c>
      <c r="BD227" s="31" t="s">
        <v>235</v>
      </c>
      <c r="BE227" s="31" t="s">
        <v>233</v>
      </c>
    </row>
    <row r="228" spans="2:57" ht="21.75" customHeight="1" x14ac:dyDescent="0.45">
      <c r="B228" t="s">
        <v>115</v>
      </c>
      <c r="E228" s="31" t="s">
        <v>1654</v>
      </c>
      <c r="F228" t="str">
        <f>"Warengruppe&gt;&gt;"&amp;Migrationsartikel!V226&amp;"&gt;&gt;"&amp;Migrationsartikel!W226&amp;"&gt;&gt;"&amp;Migrationsartikel!X226</f>
        <v>Warengruppe&gt;&gt;Früchte und Gemüse&gt;&gt;Früchte und Gemüse&gt;&gt;Früchte</v>
      </c>
      <c r="J228" s="31" t="s">
        <v>125</v>
      </c>
      <c r="M228" s="31" t="s">
        <v>137</v>
      </c>
      <c r="P228" s="31">
        <f>Migrationsartikel!B226</f>
        <v>140</v>
      </c>
      <c r="R228" t="str">
        <f>Migrationsartikel!F226&amp;" "&amp;Migrationsartikel!G226&amp;" "&amp;Migrationsartikel!H226</f>
        <v xml:space="preserve">Birnen Gute Louise Offen Kl. 1 </v>
      </c>
      <c r="S228" t="str">
        <f>Migrationsartikel!J226&amp;" "&amp;Migrationsartikel!K226&amp;" "&amp;Migrationsartikel!L226</f>
        <v xml:space="preserve">Poires Bonne Louise En vrac, cl. 1 </v>
      </c>
      <c r="T228" t="str">
        <f>Migrationsartikel!N226&amp;" "&amp;Migrationsartikel!O226&amp;" "&amp;Migrationsartikel!P226</f>
        <v xml:space="preserve">Pere Gute Luise Cl. 1 vendita sfusa </v>
      </c>
      <c r="U228" t="str">
        <f>Migrationsartikel!F226</f>
        <v>Birnen Gute Louise</v>
      </c>
      <c r="V228" t="str">
        <f>Migrationsartikel!J226</f>
        <v>Poires Bonne Louise</v>
      </c>
      <c r="W228" t="str">
        <f>Migrationsartikel!N226</f>
        <v>Pere Gute Luise</v>
      </c>
      <c r="X228" t="str">
        <f>Migrationsartikel!G226</f>
        <v>Offen Kl. 1</v>
      </c>
      <c r="Y228" t="str">
        <f>Migrationsartikel!K226</f>
        <v>En vrac, cl. 1</v>
      </c>
      <c r="Z228" t="str">
        <f>Migrationsartikel!O226</f>
        <v>Cl. 1 vendita sfusa</v>
      </c>
      <c r="AA228" s="31">
        <f>Migrationsartikel!H226</f>
        <v>0</v>
      </c>
      <c r="AB228" s="31">
        <f>Migrationsartikel!L226</f>
        <v>0</v>
      </c>
      <c r="AC228" s="31">
        <f>Migrationsartikel!P226</f>
        <v>0</v>
      </c>
      <c r="AD228" t="str">
        <f>Migrationsartikel!I226</f>
        <v>Birnen Gute Louise Off. Kl.1</v>
      </c>
      <c r="AE228" t="str">
        <f>Migrationsartikel!M226</f>
        <v>Poires Bonn. Lou. cl.1 en v.</v>
      </c>
      <c r="AF228" t="str">
        <f>Migrationsartikel!Q226</f>
        <v>Pere Gute Luise cl. 1 v. sf.</v>
      </c>
      <c r="AG228" s="45">
        <f>Migrationsartikel!R226</f>
        <v>1</v>
      </c>
      <c r="AH228" s="46" t="str">
        <f>Migrationsartikel!T226</f>
        <v>Kilogramm</v>
      </c>
      <c r="AI228" s="46" t="str">
        <f t="shared" si="9"/>
        <v>3</v>
      </c>
      <c r="AJ228" s="46" t="s">
        <v>176</v>
      </c>
      <c r="AK228">
        <f>Migrationsartikel!S226</f>
        <v>1</v>
      </c>
      <c r="AL228">
        <f>Migrationsartikel!S226</f>
        <v>1</v>
      </c>
      <c r="AM228">
        <f>Migrationsartikel!S226</f>
        <v>1</v>
      </c>
      <c r="AN228" t="str">
        <f>Migrationsartikel!U226</f>
        <v>(KGM) KG</v>
      </c>
      <c r="AO228" t="str">
        <f t="shared" si="10"/>
        <v>(KGM) Kg</v>
      </c>
      <c r="AP228" t="str">
        <f t="shared" si="11"/>
        <v>(KGM) KG</v>
      </c>
      <c r="AQ228" s="31" t="s">
        <v>195</v>
      </c>
      <c r="AR228" s="47"/>
      <c r="AS228" s="47"/>
      <c r="AT228" s="31" t="s">
        <v>208</v>
      </c>
      <c r="AU228" s="47"/>
      <c r="AV228" s="47"/>
      <c r="AW228" t="str">
        <f>IF(Migrationsartikel!AB226="ja","true",FALSE)</f>
        <v>true</v>
      </c>
      <c r="AX228" t="str">
        <f>IF(Migrationsartikel!AC226="ja","true",FALSE)</f>
        <v>true</v>
      </c>
      <c r="AY228" t="str">
        <f>IF(Migrationsartikel!AD226="ja","true",FALSE)</f>
        <v>true</v>
      </c>
      <c r="AZ228" t="str">
        <f>IF(Migrationsartikel!AE226="ja","true",FALSE)</f>
        <v>true</v>
      </c>
      <c r="BA228" t="str">
        <f>IF(Migrationsartikel!AF226="ja","Denner Partner","")</f>
        <v/>
      </c>
      <c r="BB228" t="str">
        <f>IF(Migrationsartikel!AG226="ja","true","false")</f>
        <v>false</v>
      </c>
      <c r="BC228" t="s">
        <v>1923</v>
      </c>
      <c r="BD228" s="31" t="s">
        <v>235</v>
      </c>
      <c r="BE228" s="31" t="s">
        <v>233</v>
      </c>
    </row>
    <row r="229" spans="2:57" ht="21.75" customHeight="1" x14ac:dyDescent="0.45">
      <c r="B229" t="s">
        <v>115</v>
      </c>
      <c r="E229" s="31" t="s">
        <v>1655</v>
      </c>
      <c r="F229" t="str">
        <f>"Warengruppe&gt;&gt;"&amp;Migrationsartikel!V227&amp;"&gt;&gt;"&amp;Migrationsartikel!W227&amp;"&gt;&gt;"&amp;Migrationsartikel!X227</f>
        <v>Warengruppe&gt;&gt;Früchte und Gemüse&gt;&gt;Früchte und Gemüse&gt;&gt;Früchte</v>
      </c>
      <c r="J229" s="31" t="s">
        <v>125</v>
      </c>
      <c r="M229" s="31" t="s">
        <v>137</v>
      </c>
      <c r="P229" s="31">
        <f>Migrationsartikel!B227</f>
        <v>0</v>
      </c>
      <c r="R229" t="str">
        <f>Migrationsartikel!F227&amp;" "&amp;Migrationsartikel!G227&amp;" "&amp;Migrationsartikel!H227</f>
        <v xml:space="preserve">Birnen Gute Louise Kl. 1 gepackt </v>
      </c>
      <c r="S229" t="str">
        <f>Migrationsartikel!J227&amp;" "&amp;Migrationsartikel!K227&amp;" "&amp;Migrationsartikel!L227</f>
        <v xml:space="preserve">Poires Bonne Louise Cl. 1 emballé </v>
      </c>
      <c r="T229" t="str">
        <f>Migrationsartikel!N227&amp;" "&amp;Migrationsartikel!O227&amp;" "&amp;Migrationsartikel!P227</f>
        <v xml:space="preserve">Pere Gute Luise Cl. 1 confezionato </v>
      </c>
      <c r="U229" t="str">
        <f>Migrationsartikel!F227</f>
        <v>Birnen Gute Louise</v>
      </c>
      <c r="V229" t="str">
        <f>Migrationsartikel!J227</f>
        <v>Poires Bonne Louise</v>
      </c>
      <c r="W229" t="str">
        <f>Migrationsartikel!N227</f>
        <v>Pere Gute Luise</v>
      </c>
      <c r="X229" t="str">
        <f>Migrationsartikel!G227</f>
        <v>Kl. 1 gepackt</v>
      </c>
      <c r="Y229" t="str">
        <f>Migrationsartikel!K227</f>
        <v>Cl. 1 emballé</v>
      </c>
      <c r="Z229" t="str">
        <f>Migrationsartikel!O227</f>
        <v>Cl. 1 confezionato</v>
      </c>
      <c r="AA229" s="31">
        <f>Migrationsartikel!H227</f>
        <v>0</v>
      </c>
      <c r="AB229" s="31">
        <f>Migrationsartikel!L227</f>
        <v>0</v>
      </c>
      <c r="AC229" s="31">
        <f>Migrationsartikel!P227</f>
        <v>0</v>
      </c>
      <c r="AD229" t="str">
        <f>Migrationsartikel!I227</f>
        <v>Birnen Gute Louise Kl.1 gep.</v>
      </c>
      <c r="AE229" t="str">
        <f>Migrationsartikel!M227</f>
        <v>Poires Bonn. Lou. cl.1 emb.</v>
      </c>
      <c r="AF229" t="str">
        <f>Migrationsartikel!Q227</f>
        <v>Pere Gute Luise cl. 1 confez</v>
      </c>
      <c r="AG229" s="45">
        <f>Migrationsartikel!R227</f>
        <v>1</v>
      </c>
      <c r="AH229" s="46" t="str">
        <f>Migrationsartikel!T227</f>
        <v>Kilogramm</v>
      </c>
      <c r="AI229" s="46" t="str">
        <f t="shared" si="9"/>
        <v>3</v>
      </c>
      <c r="AJ229" s="46" t="s">
        <v>176</v>
      </c>
      <c r="AK229">
        <f>Migrationsartikel!S227</f>
        <v>1</v>
      </c>
      <c r="AL229">
        <f>Migrationsartikel!S227</f>
        <v>1</v>
      </c>
      <c r="AM229">
        <f>Migrationsartikel!S227</f>
        <v>1</v>
      </c>
      <c r="AN229" t="str">
        <f>Migrationsartikel!U227</f>
        <v>(PCE) Stück</v>
      </c>
      <c r="AO229" t="str">
        <f t="shared" si="10"/>
        <v>(PCE) Pièce</v>
      </c>
      <c r="AP229" t="str">
        <f t="shared" si="11"/>
        <v>(PCE) Pièce</v>
      </c>
      <c r="AQ229" s="31" t="s">
        <v>195</v>
      </c>
      <c r="AR229" s="47"/>
      <c r="AS229" s="47"/>
      <c r="AT229" s="31" t="s">
        <v>208</v>
      </c>
      <c r="AU229" s="47"/>
      <c r="AV229" s="47"/>
      <c r="AW229" t="str">
        <f>IF(Migrationsartikel!AB227="ja","true",FALSE)</f>
        <v>true</v>
      </c>
      <c r="AX229" t="str">
        <f>IF(Migrationsartikel!AC227="ja","true",FALSE)</f>
        <v>true</v>
      </c>
      <c r="AY229" t="str">
        <f>IF(Migrationsartikel!AD227="ja","true",FALSE)</f>
        <v>true</v>
      </c>
      <c r="AZ229" t="str">
        <f>IF(Migrationsartikel!AE227="ja","true",FALSE)</f>
        <v>true</v>
      </c>
      <c r="BA229" t="str">
        <f>IF(Migrationsartikel!AF227="ja","Denner Partner","")</f>
        <v/>
      </c>
      <c r="BB229" t="str">
        <f>IF(Migrationsartikel!AG227="ja","true","false")</f>
        <v>false</v>
      </c>
      <c r="BC229" t="s">
        <v>1923</v>
      </c>
      <c r="BD229" s="31" t="s">
        <v>235</v>
      </c>
      <c r="BE229" s="31" t="s">
        <v>233</v>
      </c>
    </row>
    <row r="230" spans="2:57" ht="21.75" customHeight="1" x14ac:dyDescent="0.45">
      <c r="B230" t="s">
        <v>115</v>
      </c>
      <c r="E230" s="31" t="s">
        <v>1656</v>
      </c>
      <c r="F230" t="str">
        <f>"Warengruppe&gt;&gt;"&amp;Migrationsartikel!V228&amp;"&gt;&gt;"&amp;Migrationsartikel!W228&amp;"&gt;&gt;"&amp;Migrationsartikel!X228</f>
        <v>Warengruppe&gt;&gt;Früchte und Gemüse&gt;&gt;Früchte und Gemüse&gt;&gt;Früchte</v>
      </c>
      <c r="J230" s="31" t="s">
        <v>125</v>
      </c>
      <c r="M230" s="31" t="s">
        <v>137</v>
      </c>
      <c r="P230" s="31">
        <f>Migrationsartikel!B228</f>
        <v>141</v>
      </c>
      <c r="R230" t="str">
        <f>Migrationsartikel!F228&amp;" "&amp;Migrationsartikel!G228&amp;" "&amp;Migrationsartikel!H228</f>
        <v xml:space="preserve">Birnen Guyot Offen Kl. 1 </v>
      </c>
      <c r="S230" t="str">
        <f>Migrationsartikel!J228&amp;" "&amp;Migrationsartikel!K228&amp;" "&amp;Migrationsartikel!L228</f>
        <v xml:space="preserve">Poires Guyot En vrac, cl. 1 </v>
      </c>
      <c r="T230" t="str">
        <f>Migrationsartikel!N228&amp;" "&amp;Migrationsartikel!O228&amp;" "&amp;Migrationsartikel!P228</f>
        <v xml:space="preserve">Pere Guyot Cl. 1 vendita sfusa </v>
      </c>
      <c r="U230" t="str">
        <f>Migrationsartikel!F228</f>
        <v>Birnen Guyot</v>
      </c>
      <c r="V230" t="str">
        <f>Migrationsartikel!J228</f>
        <v>Poires Guyot</v>
      </c>
      <c r="W230" t="str">
        <f>Migrationsartikel!N228</f>
        <v>Pere Guyot</v>
      </c>
      <c r="X230" t="str">
        <f>Migrationsartikel!G228</f>
        <v>Offen Kl. 1</v>
      </c>
      <c r="Y230" t="str">
        <f>Migrationsartikel!K228</f>
        <v>En vrac, cl. 1</v>
      </c>
      <c r="Z230" t="str">
        <f>Migrationsartikel!O228</f>
        <v>Cl. 1 vendita sfusa</v>
      </c>
      <c r="AA230" s="31">
        <f>Migrationsartikel!H228</f>
        <v>0</v>
      </c>
      <c r="AB230" s="31">
        <f>Migrationsartikel!L228</f>
        <v>0</v>
      </c>
      <c r="AC230" s="31">
        <f>Migrationsartikel!P228</f>
        <v>0</v>
      </c>
      <c r="AD230" t="str">
        <f>Migrationsartikel!I228</f>
        <v>Birnen Guyot Offen Kl. 1</v>
      </c>
      <c r="AE230" t="str">
        <f>Migrationsartikel!M228</f>
        <v>Poires Guyot cl. 1 en vrac</v>
      </c>
      <c r="AF230" t="str">
        <f>Migrationsartikel!Q228</f>
        <v>Pere Guyot cl. 1 vend. sfusa</v>
      </c>
      <c r="AG230" s="45">
        <f>Migrationsartikel!R228</f>
        <v>1</v>
      </c>
      <c r="AH230" s="46" t="str">
        <f>Migrationsartikel!T228</f>
        <v>Kilogramm</v>
      </c>
      <c r="AI230" s="46" t="str">
        <f t="shared" si="9"/>
        <v>3</v>
      </c>
      <c r="AJ230" s="46" t="s">
        <v>176</v>
      </c>
      <c r="AK230">
        <f>Migrationsartikel!S228</f>
        <v>1</v>
      </c>
      <c r="AL230">
        <f>Migrationsartikel!S228</f>
        <v>1</v>
      </c>
      <c r="AM230">
        <f>Migrationsartikel!S228</f>
        <v>1</v>
      </c>
      <c r="AN230" t="str">
        <f>Migrationsartikel!U228</f>
        <v>(KGM) KG</v>
      </c>
      <c r="AO230" t="str">
        <f t="shared" si="10"/>
        <v>(KGM) Kg</v>
      </c>
      <c r="AP230" t="str">
        <f t="shared" si="11"/>
        <v>(KGM) KG</v>
      </c>
      <c r="AQ230" s="31" t="s">
        <v>195</v>
      </c>
      <c r="AR230" s="47"/>
      <c r="AS230" s="47"/>
      <c r="AT230" s="31" t="s">
        <v>208</v>
      </c>
      <c r="AU230" s="47"/>
      <c r="AV230" s="47"/>
      <c r="AW230" t="str">
        <f>IF(Migrationsartikel!AB228="ja","true",FALSE)</f>
        <v>true</v>
      </c>
      <c r="AX230" t="str">
        <f>IF(Migrationsartikel!AC228="ja","true",FALSE)</f>
        <v>true</v>
      </c>
      <c r="AY230" t="str">
        <f>IF(Migrationsartikel!AD228="ja","true",FALSE)</f>
        <v>true</v>
      </c>
      <c r="AZ230" t="str">
        <f>IF(Migrationsartikel!AE228="ja","true",FALSE)</f>
        <v>true</v>
      </c>
      <c r="BA230" t="str">
        <f>IF(Migrationsartikel!AF228="ja","Denner Partner","")</f>
        <v/>
      </c>
      <c r="BB230" t="str">
        <f>IF(Migrationsartikel!AG228="ja","true","false")</f>
        <v>false</v>
      </c>
      <c r="BC230" t="s">
        <v>1923</v>
      </c>
      <c r="BD230" s="31" t="s">
        <v>235</v>
      </c>
      <c r="BE230" s="31" t="s">
        <v>233</v>
      </c>
    </row>
    <row r="231" spans="2:57" ht="21.75" customHeight="1" x14ac:dyDescent="0.45">
      <c r="B231" t="s">
        <v>115</v>
      </c>
      <c r="E231" s="31" t="s">
        <v>1657</v>
      </c>
      <c r="F231" t="str">
        <f>"Warengruppe&gt;&gt;"&amp;Migrationsartikel!V229&amp;"&gt;&gt;"&amp;Migrationsartikel!W229&amp;"&gt;&gt;"&amp;Migrationsartikel!X229</f>
        <v>Warengruppe&gt;&gt;Früchte und Gemüse&gt;&gt;Früchte und Gemüse&gt;&gt;Früchte</v>
      </c>
      <c r="J231" s="31" t="s">
        <v>125</v>
      </c>
      <c r="M231" s="31" t="s">
        <v>137</v>
      </c>
      <c r="P231" s="31">
        <f>Migrationsartikel!B229</f>
        <v>0</v>
      </c>
      <c r="R231" t="str">
        <f>Migrationsartikel!F229&amp;" "&amp;Migrationsartikel!G229&amp;" "&amp;Migrationsartikel!H229</f>
        <v xml:space="preserve">Birnen Guyot  Kl. 1 gepackt </v>
      </c>
      <c r="S231" t="str">
        <f>Migrationsartikel!J229&amp;" "&amp;Migrationsartikel!K229&amp;" "&amp;Migrationsartikel!L229</f>
        <v xml:space="preserve">Poires Guyot  Cl. 1 emballé </v>
      </c>
      <c r="T231" t="str">
        <f>Migrationsartikel!N229&amp;" "&amp;Migrationsartikel!O229&amp;" "&amp;Migrationsartikel!P229</f>
        <v xml:space="preserve">Pere Guyot  Cl. 1 confezionato </v>
      </c>
      <c r="U231" t="str">
        <f>Migrationsartikel!F229</f>
        <v xml:space="preserve">Birnen Guyot </v>
      </c>
      <c r="V231" t="str">
        <f>Migrationsartikel!J229</f>
        <v xml:space="preserve">Poires Guyot </v>
      </c>
      <c r="W231" t="str">
        <f>Migrationsartikel!N229</f>
        <v xml:space="preserve">Pere Guyot </v>
      </c>
      <c r="X231" t="str">
        <f>Migrationsartikel!G229</f>
        <v>Kl. 1 gepackt</v>
      </c>
      <c r="Y231" t="str">
        <f>Migrationsartikel!K229</f>
        <v>Cl. 1 emballé</v>
      </c>
      <c r="Z231" t="str">
        <f>Migrationsartikel!O229</f>
        <v>Cl. 1 confezionato</v>
      </c>
      <c r="AA231" s="31">
        <f>Migrationsartikel!H229</f>
        <v>0</v>
      </c>
      <c r="AB231" s="31">
        <f>Migrationsartikel!L229</f>
        <v>0</v>
      </c>
      <c r="AC231" s="31">
        <f>Migrationsartikel!P229</f>
        <v>0</v>
      </c>
      <c r="AD231" t="str">
        <f>Migrationsartikel!I229</f>
        <v>Birnen Guyot Kl. 1 gepackt</v>
      </c>
      <c r="AE231" t="str">
        <f>Migrationsartikel!M229</f>
        <v>Poires Guyot cl. 1 emballé</v>
      </c>
      <c r="AF231" t="str">
        <f>Migrationsartikel!Q229</f>
        <v>Pere Guyot cl. 1 confez.</v>
      </c>
      <c r="AG231" s="45">
        <f>Migrationsartikel!R229</f>
        <v>1</v>
      </c>
      <c r="AH231" s="46" t="str">
        <f>Migrationsartikel!T229</f>
        <v>Kilogramm</v>
      </c>
      <c r="AI231" s="46" t="str">
        <f t="shared" si="9"/>
        <v>3</v>
      </c>
      <c r="AJ231" s="46" t="s">
        <v>176</v>
      </c>
      <c r="AK231">
        <f>Migrationsartikel!S229</f>
        <v>1</v>
      </c>
      <c r="AL231">
        <f>Migrationsartikel!S229</f>
        <v>1</v>
      </c>
      <c r="AM231">
        <f>Migrationsartikel!S229</f>
        <v>1</v>
      </c>
      <c r="AN231" t="str">
        <f>Migrationsartikel!U229</f>
        <v>(PCE) Stück</v>
      </c>
      <c r="AO231" t="str">
        <f t="shared" si="10"/>
        <v>(PCE) Pièce</v>
      </c>
      <c r="AP231" t="str">
        <f t="shared" si="11"/>
        <v>(PCE) Pièce</v>
      </c>
      <c r="AQ231" s="31" t="s">
        <v>195</v>
      </c>
      <c r="AR231" s="47"/>
      <c r="AS231" s="47"/>
      <c r="AT231" s="31" t="s">
        <v>208</v>
      </c>
      <c r="AU231" s="47"/>
      <c r="AV231" s="47"/>
      <c r="AW231" t="str">
        <f>IF(Migrationsartikel!AB229="ja","true",FALSE)</f>
        <v>true</v>
      </c>
      <c r="AX231" t="str">
        <f>IF(Migrationsartikel!AC229="ja","true",FALSE)</f>
        <v>true</v>
      </c>
      <c r="AY231" t="str">
        <f>IF(Migrationsartikel!AD229="ja","true",FALSE)</f>
        <v>true</v>
      </c>
      <c r="AZ231" t="str">
        <f>IF(Migrationsartikel!AE229="ja","true",FALSE)</f>
        <v>true</v>
      </c>
      <c r="BA231" t="str">
        <f>IF(Migrationsartikel!AF229="ja","Denner Partner","")</f>
        <v/>
      </c>
      <c r="BB231" t="str">
        <f>IF(Migrationsartikel!AG229="ja","true","false")</f>
        <v>false</v>
      </c>
      <c r="BC231" t="s">
        <v>1923</v>
      </c>
      <c r="BD231" s="31" t="s">
        <v>235</v>
      </c>
      <c r="BE231" s="31" t="s">
        <v>233</v>
      </c>
    </row>
    <row r="232" spans="2:57" ht="21.75" customHeight="1" x14ac:dyDescent="0.45">
      <c r="B232" t="s">
        <v>115</v>
      </c>
      <c r="E232" s="31" t="s">
        <v>1658</v>
      </c>
      <c r="F232" t="str">
        <f>"Warengruppe&gt;&gt;"&amp;Migrationsartikel!V230&amp;"&gt;&gt;"&amp;Migrationsartikel!W230&amp;"&gt;&gt;"&amp;Migrationsartikel!X230</f>
        <v>Warengruppe&gt;&gt;Früchte und Gemüse&gt;&gt;Früchte und Gemüse&gt;&gt;Früchte</v>
      </c>
      <c r="J232" s="31" t="s">
        <v>125</v>
      </c>
      <c r="M232" s="31" t="s">
        <v>137</v>
      </c>
      <c r="P232" s="31">
        <f>Migrationsartikel!B230</f>
        <v>147</v>
      </c>
      <c r="R232" t="str">
        <f>Migrationsartikel!F230&amp;" "&amp;Migrationsartikel!G230&amp;" "&amp;Migrationsartikel!H230</f>
        <v xml:space="preserve">Birnen Offen  </v>
      </c>
      <c r="S232" t="str">
        <f>Migrationsartikel!J230&amp;" "&amp;Migrationsartikel!K230&amp;" "&amp;Migrationsartikel!L230</f>
        <v xml:space="preserve">Poires En vrac </v>
      </c>
      <c r="T232" t="str">
        <f>Migrationsartikel!N230&amp;" "&amp;Migrationsartikel!O230&amp;" "&amp;Migrationsartikel!P230</f>
        <v xml:space="preserve">Pere vendita sfusa </v>
      </c>
      <c r="U232" t="str">
        <f>Migrationsartikel!F230</f>
        <v>Birnen Offen</v>
      </c>
      <c r="V232" t="str">
        <f>Migrationsartikel!J230</f>
        <v>Poires</v>
      </c>
      <c r="W232" t="str">
        <f>Migrationsartikel!N230</f>
        <v>Pere</v>
      </c>
      <c r="X232">
        <f>Migrationsartikel!G230</f>
        <v>0</v>
      </c>
      <c r="Y232" t="str">
        <f>Migrationsartikel!K230</f>
        <v>En vrac</v>
      </c>
      <c r="Z232" t="str">
        <f>Migrationsartikel!O230</f>
        <v>vendita sfusa</v>
      </c>
      <c r="AA232" s="31">
        <f>Migrationsartikel!H230</f>
        <v>0</v>
      </c>
      <c r="AB232" s="31">
        <f>Migrationsartikel!L230</f>
        <v>0</v>
      </c>
      <c r="AC232" s="31">
        <f>Migrationsartikel!P230</f>
        <v>0</v>
      </c>
      <c r="AD232" t="str">
        <f>Migrationsartikel!I230</f>
        <v>Birnen Offen</v>
      </c>
      <c r="AE232" t="str">
        <f>Migrationsartikel!M230</f>
        <v>Poires en vrac</v>
      </c>
      <c r="AF232" t="str">
        <f>Migrationsartikel!Q230</f>
        <v>Pere vendita sfusa</v>
      </c>
      <c r="AG232" s="45">
        <f>Migrationsartikel!R230</f>
        <v>1</v>
      </c>
      <c r="AH232" s="46" t="str">
        <f>Migrationsartikel!T230</f>
        <v>Kilogramm</v>
      </c>
      <c r="AI232" s="46" t="str">
        <f t="shared" si="9"/>
        <v>3</v>
      </c>
      <c r="AJ232" s="46" t="s">
        <v>176</v>
      </c>
      <c r="AK232">
        <f>Migrationsartikel!S230</f>
        <v>1</v>
      </c>
      <c r="AL232">
        <f>Migrationsartikel!S230</f>
        <v>1</v>
      </c>
      <c r="AM232">
        <f>Migrationsartikel!S230</f>
        <v>1</v>
      </c>
      <c r="AN232" t="str">
        <f>Migrationsartikel!U230</f>
        <v>(KGM) KG</v>
      </c>
      <c r="AO232" t="str">
        <f t="shared" si="10"/>
        <v>(KGM) Kg</v>
      </c>
      <c r="AP232" t="str">
        <f t="shared" si="11"/>
        <v>(KGM) KG</v>
      </c>
      <c r="AQ232" s="31" t="s">
        <v>195</v>
      </c>
      <c r="AR232" s="47"/>
      <c r="AS232" s="47"/>
      <c r="AT232" s="31" t="s">
        <v>208</v>
      </c>
      <c r="AU232" s="47"/>
      <c r="AV232" s="47"/>
      <c r="AW232" t="str">
        <f>IF(Migrationsartikel!AB230="ja","true",FALSE)</f>
        <v>true</v>
      </c>
      <c r="AX232" t="str">
        <f>IF(Migrationsartikel!AC230="ja","true",FALSE)</f>
        <v>true</v>
      </c>
      <c r="AY232" t="str">
        <f>IF(Migrationsartikel!AD230="ja","true",FALSE)</f>
        <v>true</v>
      </c>
      <c r="AZ232" t="str">
        <f>IF(Migrationsartikel!AE230="ja","true",FALSE)</f>
        <v>true</v>
      </c>
      <c r="BA232" t="str">
        <f>IF(Migrationsartikel!AF230="ja","Denner Partner","")</f>
        <v/>
      </c>
      <c r="BB232" t="str">
        <f>IF(Migrationsartikel!AG230="ja","true","false")</f>
        <v>false</v>
      </c>
      <c r="BC232" t="s">
        <v>1923</v>
      </c>
      <c r="BD232" s="31" t="s">
        <v>235</v>
      </c>
      <c r="BE232" s="31" t="s">
        <v>233</v>
      </c>
    </row>
    <row r="233" spans="2:57" ht="21.75" customHeight="1" x14ac:dyDescent="0.45">
      <c r="B233" t="s">
        <v>115</v>
      </c>
      <c r="E233" s="31" t="s">
        <v>1659</v>
      </c>
      <c r="F233" t="str">
        <f>"Warengruppe&gt;&gt;"&amp;Migrationsartikel!V231&amp;"&gt;&gt;"&amp;Migrationsartikel!W231&amp;"&gt;&gt;"&amp;Migrationsartikel!X231</f>
        <v>Warengruppe&gt;&gt;Früchte und Gemüse&gt;&gt;Früchte und Gemüse&gt;&gt;Früchte</v>
      </c>
      <c r="J233" s="31" t="s">
        <v>125</v>
      </c>
      <c r="M233" s="31" t="s">
        <v>137</v>
      </c>
      <c r="P233" s="31">
        <f>Migrationsartikel!B231</f>
        <v>144</v>
      </c>
      <c r="R233" t="str">
        <f>Migrationsartikel!F231&amp;" "&amp;Migrationsartikel!G231&amp;" "&amp;Migrationsartikel!H231</f>
        <v xml:space="preserve">Birnen Packhams Offen Kl. 1 </v>
      </c>
      <c r="S233" t="str">
        <f>Migrationsartikel!J231&amp;" "&amp;Migrationsartikel!K231&amp;" "&amp;Migrationsartikel!L231</f>
        <v xml:space="preserve">Poires Packhams En vrac, cl. 1 </v>
      </c>
      <c r="T233" t="str">
        <f>Migrationsartikel!N231&amp;" "&amp;Migrationsartikel!O231&amp;" "&amp;Migrationsartikel!P231</f>
        <v xml:space="preserve">Pere Packhams Cl. 1 vendita sfusa </v>
      </c>
      <c r="U233" t="str">
        <f>Migrationsartikel!F231</f>
        <v>Birnen Packhams</v>
      </c>
      <c r="V233" t="str">
        <f>Migrationsartikel!J231</f>
        <v>Poires Packhams</v>
      </c>
      <c r="W233" t="str">
        <f>Migrationsartikel!N231</f>
        <v>Pere Packhams</v>
      </c>
      <c r="X233" t="str">
        <f>Migrationsartikel!G231</f>
        <v>Offen Kl. 1</v>
      </c>
      <c r="Y233" t="str">
        <f>Migrationsartikel!K231</f>
        <v>En vrac, cl. 1</v>
      </c>
      <c r="Z233" t="str">
        <f>Migrationsartikel!O231</f>
        <v>Cl. 1 vendita sfusa</v>
      </c>
      <c r="AA233" s="31">
        <f>Migrationsartikel!H231</f>
        <v>0</v>
      </c>
      <c r="AB233" s="31">
        <f>Migrationsartikel!L231</f>
        <v>0</v>
      </c>
      <c r="AC233" s="31">
        <f>Migrationsartikel!P231</f>
        <v>0</v>
      </c>
      <c r="AD233" t="str">
        <f>Migrationsartikel!I231</f>
        <v>Birnen Packhams Offen Kl. 1</v>
      </c>
      <c r="AE233" t="str">
        <f>Migrationsartikel!M231</f>
        <v>Poires Packhams cl.1 en vrac</v>
      </c>
      <c r="AF233" t="str">
        <f>Migrationsartikel!Q231</f>
        <v>Pere Packhams cl. 1 v.sfusa</v>
      </c>
      <c r="AG233" s="45">
        <f>Migrationsartikel!R231</f>
        <v>1</v>
      </c>
      <c r="AH233" s="46" t="str">
        <f>Migrationsartikel!T231</f>
        <v>Kilogramm</v>
      </c>
      <c r="AI233" s="46" t="str">
        <f t="shared" si="9"/>
        <v>3</v>
      </c>
      <c r="AJ233" s="46" t="s">
        <v>176</v>
      </c>
      <c r="AK233">
        <f>Migrationsartikel!S231</f>
        <v>1</v>
      </c>
      <c r="AL233">
        <f>Migrationsartikel!S231</f>
        <v>1</v>
      </c>
      <c r="AM233">
        <f>Migrationsartikel!S231</f>
        <v>1</v>
      </c>
      <c r="AN233" t="str">
        <f>Migrationsartikel!U231</f>
        <v>(KGM) KG</v>
      </c>
      <c r="AO233" t="str">
        <f t="shared" si="10"/>
        <v>(KGM) Kg</v>
      </c>
      <c r="AP233" t="str">
        <f t="shared" si="11"/>
        <v>(KGM) KG</v>
      </c>
      <c r="AQ233" s="31" t="s">
        <v>195</v>
      </c>
      <c r="AR233" s="47"/>
      <c r="AS233" s="47"/>
      <c r="AT233" s="31" t="s">
        <v>208</v>
      </c>
      <c r="AU233" s="47"/>
      <c r="AV233" s="47"/>
      <c r="AW233" t="str">
        <f>IF(Migrationsartikel!AB231="ja","true",FALSE)</f>
        <v>true</v>
      </c>
      <c r="AX233" t="str">
        <f>IF(Migrationsartikel!AC231="ja","true",FALSE)</f>
        <v>true</v>
      </c>
      <c r="AY233" t="str">
        <f>IF(Migrationsartikel!AD231="ja","true",FALSE)</f>
        <v>true</v>
      </c>
      <c r="AZ233" t="str">
        <f>IF(Migrationsartikel!AE231="ja","true",FALSE)</f>
        <v>true</v>
      </c>
      <c r="BA233" t="str">
        <f>IF(Migrationsartikel!AF231="ja","Denner Partner","")</f>
        <v/>
      </c>
      <c r="BB233" t="str">
        <f>IF(Migrationsartikel!AG231="ja","true","false")</f>
        <v>false</v>
      </c>
      <c r="BC233" t="s">
        <v>1923</v>
      </c>
      <c r="BD233" s="31" t="s">
        <v>235</v>
      </c>
      <c r="BE233" s="31" t="s">
        <v>233</v>
      </c>
    </row>
    <row r="234" spans="2:57" ht="21.75" customHeight="1" x14ac:dyDescent="0.45">
      <c r="B234" t="s">
        <v>115</v>
      </c>
      <c r="E234" s="31" t="s">
        <v>1660</v>
      </c>
      <c r="F234" t="str">
        <f>"Warengruppe&gt;&gt;"&amp;Migrationsartikel!V232&amp;"&gt;&gt;"&amp;Migrationsartikel!W232&amp;"&gt;&gt;"&amp;Migrationsartikel!X232</f>
        <v>Warengruppe&gt;&gt;Früchte und Gemüse&gt;&gt;Früchte und Gemüse&gt;&gt;Früchte</v>
      </c>
      <c r="J234" s="31" t="s">
        <v>125</v>
      </c>
      <c r="M234" s="31" t="s">
        <v>137</v>
      </c>
      <c r="P234" s="31">
        <f>Migrationsartikel!B232</f>
        <v>0</v>
      </c>
      <c r="R234" t="str">
        <f>Migrationsartikel!F232&amp;" "&amp;Migrationsartikel!G232&amp;" "&amp;Migrationsartikel!H232</f>
        <v xml:space="preserve">Birnen Packhams Kl. 1 gepackt </v>
      </c>
      <c r="S234" t="str">
        <f>Migrationsartikel!J232&amp;" "&amp;Migrationsartikel!K232&amp;" "&amp;Migrationsartikel!L232</f>
        <v xml:space="preserve">Poires Packhams Cl. 1 emballé </v>
      </c>
      <c r="T234" t="str">
        <f>Migrationsartikel!N232&amp;" "&amp;Migrationsartikel!O232&amp;" "&amp;Migrationsartikel!P232</f>
        <v xml:space="preserve">Pere Packhams Cl. 1 confezionato </v>
      </c>
      <c r="U234" t="str">
        <f>Migrationsartikel!F232</f>
        <v>Birnen Packhams</v>
      </c>
      <c r="V234" t="str">
        <f>Migrationsartikel!J232</f>
        <v>Poires Packhams</v>
      </c>
      <c r="W234" t="str">
        <f>Migrationsartikel!N232</f>
        <v>Pere Packhams</v>
      </c>
      <c r="X234" t="str">
        <f>Migrationsartikel!G232</f>
        <v>Kl. 1 gepackt</v>
      </c>
      <c r="Y234" t="str">
        <f>Migrationsartikel!K232</f>
        <v>Cl. 1 emballé</v>
      </c>
      <c r="Z234" t="str">
        <f>Migrationsartikel!O232</f>
        <v>Cl. 1 confezionato</v>
      </c>
      <c r="AA234" s="31">
        <f>Migrationsartikel!H232</f>
        <v>0</v>
      </c>
      <c r="AB234" s="31">
        <f>Migrationsartikel!L232</f>
        <v>0</v>
      </c>
      <c r="AC234" s="31">
        <f>Migrationsartikel!P232</f>
        <v>0</v>
      </c>
      <c r="AD234" t="str">
        <f>Migrationsartikel!I232</f>
        <v>Birnen Packhams Kl.1 gepackt</v>
      </c>
      <c r="AE234" t="str">
        <f>Migrationsartikel!M232</f>
        <v>Poires Packhams cl. 1 emb.</v>
      </c>
      <c r="AF234" t="str">
        <f>Migrationsartikel!Q232</f>
        <v>Pere Packhams cl. 1 convez.</v>
      </c>
      <c r="AG234" s="45">
        <f>Migrationsartikel!R232</f>
        <v>1</v>
      </c>
      <c r="AH234" s="46" t="str">
        <f>Migrationsartikel!T232</f>
        <v>Kilogramm</v>
      </c>
      <c r="AI234" s="46" t="str">
        <f t="shared" si="9"/>
        <v>3</v>
      </c>
      <c r="AJ234" s="46" t="s">
        <v>176</v>
      </c>
      <c r="AK234">
        <f>Migrationsartikel!S232</f>
        <v>1</v>
      </c>
      <c r="AL234">
        <f>Migrationsartikel!S232</f>
        <v>1</v>
      </c>
      <c r="AM234">
        <f>Migrationsartikel!S232</f>
        <v>1</v>
      </c>
      <c r="AN234" t="str">
        <f>Migrationsartikel!U232</f>
        <v>(PCE) Stück</v>
      </c>
      <c r="AO234" t="str">
        <f t="shared" si="10"/>
        <v>(PCE) Pièce</v>
      </c>
      <c r="AP234" t="str">
        <f t="shared" si="11"/>
        <v>(PCE) Pièce</v>
      </c>
      <c r="AQ234" s="31" t="s">
        <v>195</v>
      </c>
      <c r="AR234" s="47"/>
      <c r="AS234" s="47"/>
      <c r="AT234" s="31" t="s">
        <v>208</v>
      </c>
      <c r="AU234" s="47"/>
      <c r="AV234" s="47"/>
      <c r="AW234" t="str">
        <f>IF(Migrationsartikel!AB232="ja","true",FALSE)</f>
        <v>true</v>
      </c>
      <c r="AX234" t="str">
        <f>IF(Migrationsartikel!AC232="ja","true",FALSE)</f>
        <v>true</v>
      </c>
      <c r="AY234" t="str">
        <f>IF(Migrationsartikel!AD232="ja","true",FALSE)</f>
        <v>true</v>
      </c>
      <c r="AZ234" t="str">
        <f>IF(Migrationsartikel!AE232="ja","true",FALSE)</f>
        <v>true</v>
      </c>
      <c r="BA234" t="str">
        <f>IF(Migrationsartikel!AF232="ja","Denner Partner","")</f>
        <v/>
      </c>
      <c r="BB234" t="str">
        <f>IF(Migrationsartikel!AG232="ja","true","false")</f>
        <v>false</v>
      </c>
      <c r="BC234" t="s">
        <v>1923</v>
      </c>
      <c r="BD234" s="31" t="s">
        <v>235</v>
      </c>
      <c r="BE234" s="31" t="s">
        <v>233</v>
      </c>
    </row>
    <row r="235" spans="2:57" ht="21.75" customHeight="1" x14ac:dyDescent="0.45">
      <c r="B235" t="s">
        <v>115</v>
      </c>
      <c r="E235" s="31" t="s">
        <v>1661</v>
      </c>
      <c r="F235" t="str">
        <f>"Warengruppe&gt;&gt;"&amp;Migrationsartikel!V233&amp;"&gt;&gt;"&amp;Migrationsartikel!W233&amp;"&gt;&gt;"&amp;Migrationsartikel!X233</f>
        <v>Warengruppe&gt;&gt;Früchte und Gemüse&gt;&gt;Früchte und Gemüse&gt;&gt;Früchte</v>
      </c>
      <c r="J235" s="31" t="s">
        <v>125</v>
      </c>
      <c r="M235" s="31" t="s">
        <v>137</v>
      </c>
      <c r="P235" s="31">
        <f>Migrationsartikel!B233</f>
        <v>145</v>
      </c>
      <c r="R235" t="str">
        <f>Migrationsartikel!F233&amp;" "&amp;Migrationsartikel!G233&amp;" "&amp;Migrationsartikel!H233</f>
        <v xml:space="preserve">Birnen Rocha Offen Kl. 1 </v>
      </c>
      <c r="S235" t="str">
        <f>Migrationsartikel!J233&amp;" "&amp;Migrationsartikel!K233&amp;" "&amp;Migrationsartikel!L233</f>
        <v xml:space="preserve">Poires Rocha En vrac, cl. 1 </v>
      </c>
      <c r="T235" t="str">
        <f>Migrationsartikel!N233&amp;" "&amp;Migrationsartikel!O233&amp;" "&amp;Migrationsartikel!P233</f>
        <v xml:space="preserve">Pere Rocha Cl. 1 vendita sfusa </v>
      </c>
      <c r="U235" t="str">
        <f>Migrationsartikel!F233</f>
        <v>Birnen Rocha</v>
      </c>
      <c r="V235" t="str">
        <f>Migrationsartikel!J233</f>
        <v>Poires Rocha</v>
      </c>
      <c r="W235" t="str">
        <f>Migrationsartikel!N233</f>
        <v>Pere Rocha</v>
      </c>
      <c r="X235" t="str">
        <f>Migrationsartikel!G233</f>
        <v>Offen Kl. 1</v>
      </c>
      <c r="Y235" t="str">
        <f>Migrationsartikel!K233</f>
        <v>En vrac, cl. 1</v>
      </c>
      <c r="Z235" t="str">
        <f>Migrationsartikel!O233</f>
        <v>Cl. 1 vendita sfusa</v>
      </c>
      <c r="AA235" s="31">
        <f>Migrationsartikel!H233</f>
        <v>0</v>
      </c>
      <c r="AB235" s="31">
        <f>Migrationsartikel!L233</f>
        <v>0</v>
      </c>
      <c r="AC235" s="31">
        <f>Migrationsartikel!P233</f>
        <v>0</v>
      </c>
      <c r="AD235" t="str">
        <f>Migrationsartikel!I233</f>
        <v>Birnen Rocha Offen Kl. 1</v>
      </c>
      <c r="AE235" t="str">
        <f>Migrationsartikel!M233</f>
        <v>Poires Rocha cl.1 en vrac</v>
      </c>
      <c r="AF235" t="str">
        <f>Migrationsartikel!Q233</f>
        <v>Pere Rocha cl. 1 v. sfusa</v>
      </c>
      <c r="AG235" s="45">
        <f>Migrationsartikel!R233</f>
        <v>1</v>
      </c>
      <c r="AH235" s="46" t="str">
        <f>Migrationsartikel!T233</f>
        <v>Kilogramm</v>
      </c>
      <c r="AI235" s="46" t="str">
        <f t="shared" si="9"/>
        <v>3</v>
      </c>
      <c r="AJ235" s="46" t="s">
        <v>176</v>
      </c>
      <c r="AK235">
        <f>Migrationsartikel!S233</f>
        <v>1</v>
      </c>
      <c r="AL235">
        <f>Migrationsartikel!S233</f>
        <v>1</v>
      </c>
      <c r="AM235">
        <f>Migrationsartikel!S233</f>
        <v>1</v>
      </c>
      <c r="AN235" t="str">
        <f>Migrationsartikel!U233</f>
        <v>(KGM) KG</v>
      </c>
      <c r="AO235" t="str">
        <f t="shared" si="10"/>
        <v>(KGM) Kg</v>
      </c>
      <c r="AP235" t="str">
        <f t="shared" si="11"/>
        <v>(KGM) KG</v>
      </c>
      <c r="AQ235" s="31" t="s">
        <v>195</v>
      </c>
      <c r="AR235" s="47"/>
      <c r="AS235" s="47"/>
      <c r="AT235" s="31" t="s">
        <v>208</v>
      </c>
      <c r="AU235" s="47"/>
      <c r="AV235" s="47"/>
      <c r="AW235" t="str">
        <f>IF(Migrationsartikel!AB233="ja","true",FALSE)</f>
        <v>true</v>
      </c>
      <c r="AX235" t="str">
        <f>IF(Migrationsartikel!AC233="ja","true",FALSE)</f>
        <v>true</v>
      </c>
      <c r="AY235" t="str">
        <f>IF(Migrationsartikel!AD233="ja","true",FALSE)</f>
        <v>true</v>
      </c>
      <c r="AZ235" t="str">
        <f>IF(Migrationsartikel!AE233="ja","true",FALSE)</f>
        <v>true</v>
      </c>
      <c r="BA235" t="str">
        <f>IF(Migrationsartikel!AF233="ja","Denner Partner","")</f>
        <v/>
      </c>
      <c r="BB235" t="str">
        <f>IF(Migrationsartikel!AG233="ja","true","false")</f>
        <v>false</v>
      </c>
      <c r="BC235" t="s">
        <v>1923</v>
      </c>
      <c r="BD235" s="31" t="s">
        <v>235</v>
      </c>
      <c r="BE235" s="31" t="s">
        <v>233</v>
      </c>
    </row>
    <row r="236" spans="2:57" ht="21.75" customHeight="1" x14ac:dyDescent="0.45">
      <c r="B236" t="s">
        <v>115</v>
      </c>
      <c r="E236" s="31" t="s">
        <v>1662</v>
      </c>
      <c r="F236" t="str">
        <f>"Warengruppe&gt;&gt;"&amp;Migrationsartikel!V234&amp;"&gt;&gt;"&amp;Migrationsartikel!W234&amp;"&gt;&gt;"&amp;Migrationsartikel!X234</f>
        <v>Warengruppe&gt;&gt;Früchte und Gemüse&gt;&gt;Früchte und Gemüse&gt;&gt;Früchte</v>
      </c>
      <c r="J236" s="31" t="s">
        <v>125</v>
      </c>
      <c r="M236" s="31" t="s">
        <v>137</v>
      </c>
      <c r="P236" s="31">
        <f>Migrationsartikel!B234</f>
        <v>0</v>
      </c>
      <c r="R236" t="str">
        <f>Migrationsartikel!F234&amp;" "&amp;Migrationsartikel!G234&amp;" "&amp;Migrationsartikel!H234</f>
        <v xml:space="preserve">Birnen Rosmarie Kl. 1 gepackt </v>
      </c>
      <c r="S236" t="str">
        <f>Migrationsartikel!J234&amp;" "&amp;Migrationsartikel!K234&amp;" "&amp;Migrationsartikel!L234</f>
        <v xml:space="preserve">Poires Rosemarie Cl. 1 emballé </v>
      </c>
      <c r="T236" t="str">
        <f>Migrationsartikel!N234&amp;" "&amp;Migrationsartikel!O234&amp;" "&amp;Migrationsartikel!P234</f>
        <v xml:space="preserve">Pere Rosmarie Cl. 1 confezionato </v>
      </c>
      <c r="U236" t="str">
        <f>Migrationsartikel!F234</f>
        <v>Birnen Rosmarie</v>
      </c>
      <c r="V236" t="str">
        <f>Migrationsartikel!J234</f>
        <v>Poires Rosemarie</v>
      </c>
      <c r="W236" t="str">
        <f>Migrationsartikel!N234</f>
        <v>Pere Rosmarie</v>
      </c>
      <c r="X236" t="str">
        <f>Migrationsartikel!G234</f>
        <v>Kl. 1 gepackt</v>
      </c>
      <c r="Y236" t="str">
        <f>Migrationsartikel!K234</f>
        <v>Cl. 1 emballé</v>
      </c>
      <c r="Z236" t="str">
        <f>Migrationsartikel!O234</f>
        <v>Cl. 1 confezionato</v>
      </c>
      <c r="AA236" s="31">
        <f>Migrationsartikel!H234</f>
        <v>0</v>
      </c>
      <c r="AB236" s="31">
        <f>Migrationsartikel!L234</f>
        <v>0</v>
      </c>
      <c r="AC236" s="31">
        <f>Migrationsartikel!P234</f>
        <v>0</v>
      </c>
      <c r="AD236" t="str">
        <f>Migrationsartikel!I234</f>
        <v>Birnen Rosmarei Kl.1 gepackt</v>
      </c>
      <c r="AE236" t="str">
        <f>Migrationsartikel!M234</f>
        <v>Poires Rosemarie cl. 1 emb.</v>
      </c>
      <c r="AF236" t="str">
        <f>Migrationsartikel!Q234</f>
        <v>Pere Rosmarie cl. 1 confez.</v>
      </c>
      <c r="AG236" s="45">
        <f>Migrationsartikel!R234</f>
        <v>1</v>
      </c>
      <c r="AH236" s="46" t="str">
        <f>Migrationsartikel!T234</f>
        <v>Kilogramm</v>
      </c>
      <c r="AI236" s="46" t="str">
        <f t="shared" si="9"/>
        <v>3</v>
      </c>
      <c r="AJ236" s="46" t="s">
        <v>176</v>
      </c>
      <c r="AK236">
        <f>Migrationsartikel!S234</f>
        <v>1</v>
      </c>
      <c r="AL236">
        <f>Migrationsartikel!S234</f>
        <v>1</v>
      </c>
      <c r="AM236">
        <f>Migrationsartikel!S234</f>
        <v>1</v>
      </c>
      <c r="AN236" t="str">
        <f>Migrationsartikel!U234</f>
        <v>(PCE) Stück</v>
      </c>
      <c r="AO236" t="str">
        <f t="shared" si="10"/>
        <v>(PCE) Pièce</v>
      </c>
      <c r="AP236" t="str">
        <f t="shared" si="11"/>
        <v>(PCE) Pièce</v>
      </c>
      <c r="AQ236" s="31" t="s">
        <v>195</v>
      </c>
      <c r="AR236" s="47"/>
      <c r="AS236" s="47"/>
      <c r="AT236" s="31" t="s">
        <v>208</v>
      </c>
      <c r="AU236" s="47"/>
      <c r="AV236" s="47"/>
      <c r="AW236" t="str">
        <f>IF(Migrationsartikel!AB234="ja","true",FALSE)</f>
        <v>true</v>
      </c>
      <c r="AX236" t="str">
        <f>IF(Migrationsartikel!AC234="ja","true",FALSE)</f>
        <v>true</v>
      </c>
      <c r="AY236" t="str">
        <f>IF(Migrationsartikel!AD234="ja","true",FALSE)</f>
        <v>true</v>
      </c>
      <c r="AZ236" t="str">
        <f>IF(Migrationsartikel!AE234="ja","true",FALSE)</f>
        <v>true</v>
      </c>
      <c r="BA236" t="str">
        <f>IF(Migrationsartikel!AF234="ja","Denner Partner","")</f>
        <v/>
      </c>
      <c r="BB236" t="str">
        <f>IF(Migrationsartikel!AG234="ja","true","false")</f>
        <v>false</v>
      </c>
      <c r="BC236" t="s">
        <v>1923</v>
      </c>
      <c r="BD236" s="31" t="s">
        <v>235</v>
      </c>
      <c r="BE236" s="31" t="s">
        <v>233</v>
      </c>
    </row>
    <row r="237" spans="2:57" ht="21.75" customHeight="1" x14ac:dyDescent="0.45">
      <c r="B237" t="s">
        <v>115</v>
      </c>
      <c r="E237" s="31" t="s">
        <v>1663</v>
      </c>
      <c r="F237" t="str">
        <f>"Warengruppe&gt;&gt;"&amp;Migrationsartikel!V235&amp;"&gt;&gt;"&amp;Migrationsartikel!W235&amp;"&gt;&gt;"&amp;Migrationsartikel!X235</f>
        <v>Warengruppe&gt;&gt;Früchte und Gemüse&gt;&gt;Früchte und Gemüse&gt;&gt;Früchte</v>
      </c>
      <c r="J237" s="31" t="s">
        <v>125</v>
      </c>
      <c r="M237" s="31" t="s">
        <v>137</v>
      </c>
      <c r="P237" s="31">
        <f>Migrationsartikel!B235</f>
        <v>0</v>
      </c>
      <c r="R237" t="str">
        <f>Migrationsartikel!F235&amp;" "&amp;Migrationsartikel!G235&amp;" "&amp;Migrationsartikel!H235</f>
        <v xml:space="preserve">Birnen Trévoux Kl. 1 gepackt </v>
      </c>
      <c r="S237" t="str">
        <f>Migrationsartikel!J235&amp;" "&amp;Migrationsartikel!K235&amp;" "&amp;Migrationsartikel!L235</f>
        <v xml:space="preserve">Poires Trévoux Cl. 1 emballé </v>
      </c>
      <c r="T237" t="str">
        <f>Migrationsartikel!N235&amp;" "&amp;Migrationsartikel!O235&amp;" "&amp;Migrationsartikel!P235</f>
        <v xml:space="preserve">Pere Trévoux Cl. 1 confezionato </v>
      </c>
      <c r="U237" t="str">
        <f>Migrationsartikel!F235</f>
        <v>Birnen Trévoux</v>
      </c>
      <c r="V237" t="str">
        <f>Migrationsartikel!J235</f>
        <v>Poires Trévoux</v>
      </c>
      <c r="W237" t="str">
        <f>Migrationsartikel!N235</f>
        <v>Pere Trévoux</v>
      </c>
      <c r="X237" t="str">
        <f>Migrationsartikel!G235</f>
        <v>Kl. 1 gepackt</v>
      </c>
      <c r="Y237" t="str">
        <f>Migrationsartikel!K235</f>
        <v>Cl. 1 emballé</v>
      </c>
      <c r="Z237" t="str">
        <f>Migrationsartikel!O235</f>
        <v>Cl. 1 confezionato</v>
      </c>
      <c r="AA237" s="31">
        <f>Migrationsartikel!H235</f>
        <v>0</v>
      </c>
      <c r="AB237" s="31">
        <f>Migrationsartikel!L235</f>
        <v>0</v>
      </c>
      <c r="AC237" s="31">
        <f>Migrationsartikel!P235</f>
        <v>0</v>
      </c>
      <c r="AD237" t="str">
        <f>Migrationsartikel!I235</f>
        <v>Birnen Trévoux Kl. 1 gepackt</v>
      </c>
      <c r="AE237" t="str">
        <f>Migrationsartikel!M235</f>
        <v>Poires Trévoux cl. 1 emballé</v>
      </c>
      <c r="AF237" t="str">
        <f>Migrationsartikel!Q235</f>
        <v xml:space="preserve">Pere Trévoux cl. 1 confez. </v>
      </c>
      <c r="AG237" s="45">
        <f>Migrationsartikel!R235</f>
        <v>1</v>
      </c>
      <c r="AH237" s="46" t="str">
        <f>Migrationsartikel!T235</f>
        <v>Kilogramm</v>
      </c>
      <c r="AI237" s="46" t="str">
        <f t="shared" si="9"/>
        <v>3</v>
      </c>
      <c r="AJ237" s="46" t="s">
        <v>176</v>
      </c>
      <c r="AK237">
        <f>Migrationsartikel!S235</f>
        <v>1</v>
      </c>
      <c r="AL237">
        <f>Migrationsartikel!S235</f>
        <v>1</v>
      </c>
      <c r="AM237">
        <f>Migrationsartikel!S235</f>
        <v>1</v>
      </c>
      <c r="AN237" t="str">
        <f>Migrationsartikel!U235</f>
        <v>(PCE) Stück</v>
      </c>
      <c r="AO237" t="str">
        <f t="shared" si="10"/>
        <v>(PCE) Pièce</v>
      </c>
      <c r="AP237" t="str">
        <f t="shared" si="11"/>
        <v>(PCE) Pièce</v>
      </c>
      <c r="AQ237" s="31" t="s">
        <v>195</v>
      </c>
      <c r="AR237" s="47"/>
      <c r="AS237" s="47"/>
      <c r="AT237" s="31" t="s">
        <v>208</v>
      </c>
      <c r="AU237" s="47"/>
      <c r="AV237" s="47"/>
      <c r="AW237" t="str">
        <f>IF(Migrationsartikel!AB235="ja","true",FALSE)</f>
        <v>true</v>
      </c>
      <c r="AX237" t="str">
        <f>IF(Migrationsartikel!AC235="ja","true",FALSE)</f>
        <v>true</v>
      </c>
      <c r="AY237" t="str">
        <f>IF(Migrationsartikel!AD235="ja","true",FALSE)</f>
        <v>true</v>
      </c>
      <c r="AZ237" t="str">
        <f>IF(Migrationsartikel!AE235="ja","true",FALSE)</f>
        <v>true</v>
      </c>
      <c r="BA237" t="str">
        <f>IF(Migrationsartikel!AF235="ja","Denner Partner","")</f>
        <v/>
      </c>
      <c r="BB237" t="str">
        <f>IF(Migrationsartikel!AG235="ja","true","false")</f>
        <v>false</v>
      </c>
      <c r="BC237" t="s">
        <v>1923</v>
      </c>
      <c r="BD237" s="31" t="s">
        <v>235</v>
      </c>
      <c r="BE237" s="31" t="s">
        <v>233</v>
      </c>
    </row>
    <row r="238" spans="2:57" ht="21.75" customHeight="1" x14ac:dyDescent="0.45">
      <c r="B238" t="s">
        <v>115</v>
      </c>
      <c r="E238" s="31" t="s">
        <v>1664</v>
      </c>
      <c r="F238" t="str">
        <f>"Warengruppe&gt;&gt;"&amp;Migrationsartikel!V236&amp;"&gt;&gt;"&amp;Migrationsartikel!W236&amp;"&gt;&gt;"&amp;Migrationsartikel!X236</f>
        <v>Warengruppe&gt;&gt;Früchte und Gemüse&gt;&gt;Früchte und Gemüse&gt;&gt;Früchte</v>
      </c>
      <c r="J238" s="31" t="s">
        <v>125</v>
      </c>
      <c r="M238" s="31" t="s">
        <v>137</v>
      </c>
      <c r="P238" s="31">
        <f>Migrationsartikel!B236</f>
        <v>146</v>
      </c>
      <c r="R238" t="str">
        <f>Migrationsartikel!F236&amp;" "&amp;Migrationsartikel!G236&amp;" "&amp;Migrationsartikel!H236</f>
        <v xml:space="preserve">Birnen Williams Offen Kl. 1 </v>
      </c>
      <c r="S238" t="str">
        <f>Migrationsartikel!J236&amp;" "&amp;Migrationsartikel!K236&amp;" "&amp;Migrationsartikel!L236</f>
        <v xml:space="preserve">Poires Williams En vrac, cl. 1 </v>
      </c>
      <c r="T238" t="str">
        <f>Migrationsartikel!N236&amp;" "&amp;Migrationsartikel!O236&amp;" "&amp;Migrationsartikel!P236</f>
        <v xml:space="preserve">Pere Williams Cl. 1 vendita sfusa </v>
      </c>
      <c r="U238" t="str">
        <f>Migrationsartikel!F236</f>
        <v>Birnen Williams</v>
      </c>
      <c r="V238" t="str">
        <f>Migrationsartikel!J236</f>
        <v>Poires Williams</v>
      </c>
      <c r="W238" t="str">
        <f>Migrationsartikel!N236</f>
        <v>Pere Williams</v>
      </c>
      <c r="X238" t="str">
        <f>Migrationsartikel!G236</f>
        <v>Offen Kl. 1</v>
      </c>
      <c r="Y238" t="str">
        <f>Migrationsartikel!K236</f>
        <v>En vrac, cl. 1</v>
      </c>
      <c r="Z238" t="str">
        <f>Migrationsartikel!O236</f>
        <v>Cl. 1 vendita sfusa</v>
      </c>
      <c r="AA238" s="31">
        <f>Migrationsartikel!H236</f>
        <v>0</v>
      </c>
      <c r="AB238" s="31">
        <f>Migrationsartikel!L236</f>
        <v>0</v>
      </c>
      <c r="AC238" s="31">
        <f>Migrationsartikel!P236</f>
        <v>0</v>
      </c>
      <c r="AD238" t="str">
        <f>Migrationsartikel!I236</f>
        <v>Birnen Williams Offen Kl. 1</v>
      </c>
      <c r="AE238" t="str">
        <f>Migrationsartikel!M236</f>
        <v>Poires Williams cl.1 en vrac</v>
      </c>
      <c r="AF238" t="str">
        <f>Migrationsartikel!Q236</f>
        <v>Pere Williams cl. 1 v. sfusa</v>
      </c>
      <c r="AG238" s="45">
        <f>Migrationsartikel!R236</f>
        <v>1</v>
      </c>
      <c r="AH238" s="46" t="str">
        <f>Migrationsartikel!T236</f>
        <v>Kilogramm</v>
      </c>
      <c r="AI238" s="46" t="str">
        <f t="shared" si="9"/>
        <v>3</v>
      </c>
      <c r="AJ238" s="46" t="s">
        <v>176</v>
      </c>
      <c r="AK238">
        <f>Migrationsartikel!S236</f>
        <v>1</v>
      </c>
      <c r="AL238">
        <f>Migrationsartikel!S236</f>
        <v>1</v>
      </c>
      <c r="AM238">
        <f>Migrationsartikel!S236</f>
        <v>1</v>
      </c>
      <c r="AN238" t="str">
        <f>Migrationsartikel!U236</f>
        <v>(KGM) KG</v>
      </c>
      <c r="AO238" t="str">
        <f t="shared" si="10"/>
        <v>(KGM) Kg</v>
      </c>
      <c r="AP238" t="str">
        <f t="shared" si="11"/>
        <v>(KGM) KG</v>
      </c>
      <c r="AQ238" s="31" t="s">
        <v>195</v>
      </c>
      <c r="AR238" s="47"/>
      <c r="AS238" s="47"/>
      <c r="AT238" s="31" t="s">
        <v>208</v>
      </c>
      <c r="AU238" s="47"/>
      <c r="AV238" s="47"/>
      <c r="AW238" t="str">
        <f>IF(Migrationsartikel!AB236="ja","true",FALSE)</f>
        <v>true</v>
      </c>
      <c r="AX238" t="str">
        <f>IF(Migrationsartikel!AC236="ja","true",FALSE)</f>
        <v>true</v>
      </c>
      <c r="AY238" t="str">
        <f>IF(Migrationsartikel!AD236="ja","true",FALSE)</f>
        <v>true</v>
      </c>
      <c r="AZ238" t="str">
        <f>IF(Migrationsartikel!AE236="ja","true",FALSE)</f>
        <v>true</v>
      </c>
      <c r="BA238" t="str">
        <f>IF(Migrationsartikel!AF236="ja","Denner Partner","")</f>
        <v/>
      </c>
      <c r="BB238" t="str">
        <f>IF(Migrationsartikel!AG236="ja","true","false")</f>
        <v>false</v>
      </c>
      <c r="BC238" t="s">
        <v>1923</v>
      </c>
      <c r="BD238" s="31" t="s">
        <v>235</v>
      </c>
      <c r="BE238" s="31" t="s">
        <v>233</v>
      </c>
    </row>
    <row r="239" spans="2:57" ht="21.75" customHeight="1" x14ac:dyDescent="0.45">
      <c r="B239" t="s">
        <v>115</v>
      </c>
      <c r="E239" s="31" t="s">
        <v>1665</v>
      </c>
      <c r="F239" t="str">
        <f>"Warengruppe&gt;&gt;"&amp;Migrationsartikel!V237&amp;"&gt;&gt;"&amp;Migrationsartikel!W237&amp;"&gt;&gt;"&amp;Migrationsartikel!X237</f>
        <v>Warengruppe&gt;&gt;Früchte und Gemüse&gt;&gt;Früchte und Gemüse&gt;&gt;Früchte</v>
      </c>
      <c r="J239" s="31" t="s">
        <v>125</v>
      </c>
      <c r="M239" s="31" t="s">
        <v>137</v>
      </c>
      <c r="P239" s="31">
        <f>Migrationsartikel!B237</f>
        <v>0</v>
      </c>
      <c r="R239" t="str">
        <f>Migrationsartikel!F237&amp;" "&amp;Migrationsartikel!G237&amp;" "&amp;Migrationsartikel!H237</f>
        <v xml:space="preserve">Birnen Williams Kl. 1 gepackt </v>
      </c>
      <c r="S239" t="str">
        <f>Migrationsartikel!J237&amp;" "&amp;Migrationsartikel!K237&amp;" "&amp;Migrationsartikel!L237</f>
        <v xml:space="preserve">Poires Williams Cl. 1 emballé </v>
      </c>
      <c r="T239" t="str">
        <f>Migrationsartikel!N237&amp;" "&amp;Migrationsartikel!O237&amp;" "&amp;Migrationsartikel!P237</f>
        <v xml:space="preserve">Pere Williams Cl. 1 confezionato </v>
      </c>
      <c r="U239" t="str">
        <f>Migrationsartikel!F237</f>
        <v>Birnen Williams</v>
      </c>
      <c r="V239" t="str">
        <f>Migrationsartikel!J237</f>
        <v>Poires Williams</v>
      </c>
      <c r="W239" t="str">
        <f>Migrationsartikel!N237</f>
        <v>Pere Williams</v>
      </c>
      <c r="X239" t="str">
        <f>Migrationsartikel!G237</f>
        <v>Kl. 1 gepackt</v>
      </c>
      <c r="Y239" t="str">
        <f>Migrationsartikel!K237</f>
        <v>Cl. 1 emballé</v>
      </c>
      <c r="Z239" t="str">
        <f>Migrationsartikel!O237</f>
        <v>Cl. 1 confezionato</v>
      </c>
      <c r="AA239" s="31">
        <f>Migrationsartikel!H237</f>
        <v>0</v>
      </c>
      <c r="AB239" s="31">
        <f>Migrationsartikel!L237</f>
        <v>0</v>
      </c>
      <c r="AC239" s="31">
        <f>Migrationsartikel!P237</f>
        <v>0</v>
      </c>
      <c r="AD239" t="str">
        <f>Migrationsartikel!I237</f>
        <v>Birnen Williams Kl.1 gepackt</v>
      </c>
      <c r="AE239" t="str">
        <f>Migrationsartikel!M237</f>
        <v>Poires Williams cl.1 emballé</v>
      </c>
      <c r="AF239" t="str">
        <f>Migrationsartikel!Q237</f>
        <v>Pere Williams cl. 1 confez.</v>
      </c>
      <c r="AG239" s="45">
        <f>Migrationsartikel!R237</f>
        <v>1</v>
      </c>
      <c r="AH239" s="46" t="str">
        <f>Migrationsartikel!T237</f>
        <v>Kilogramm</v>
      </c>
      <c r="AI239" s="46" t="str">
        <f t="shared" si="9"/>
        <v>3</v>
      </c>
      <c r="AJ239" s="46" t="s">
        <v>176</v>
      </c>
      <c r="AK239">
        <f>Migrationsartikel!S237</f>
        <v>1</v>
      </c>
      <c r="AL239">
        <f>Migrationsartikel!S237</f>
        <v>1</v>
      </c>
      <c r="AM239">
        <f>Migrationsartikel!S237</f>
        <v>1</v>
      </c>
      <c r="AN239" t="str">
        <f>Migrationsartikel!U237</f>
        <v>(PCE) Stück</v>
      </c>
      <c r="AO239" t="str">
        <f t="shared" si="10"/>
        <v>(PCE) Pièce</v>
      </c>
      <c r="AP239" t="str">
        <f t="shared" si="11"/>
        <v>(PCE) Pièce</v>
      </c>
      <c r="AQ239" s="31" t="s">
        <v>195</v>
      </c>
      <c r="AR239" s="47"/>
      <c r="AS239" s="47"/>
      <c r="AT239" s="31" t="s">
        <v>208</v>
      </c>
      <c r="AU239" s="47"/>
      <c r="AV239" s="47"/>
      <c r="AW239" t="str">
        <f>IF(Migrationsartikel!AB237="ja","true",FALSE)</f>
        <v>true</v>
      </c>
      <c r="AX239" t="str">
        <f>IF(Migrationsartikel!AC237="ja","true",FALSE)</f>
        <v>true</v>
      </c>
      <c r="AY239" t="str">
        <f>IF(Migrationsartikel!AD237="ja","true",FALSE)</f>
        <v>true</v>
      </c>
      <c r="AZ239" t="str">
        <f>IF(Migrationsartikel!AE237="ja","true",FALSE)</f>
        <v>true</v>
      </c>
      <c r="BA239" t="str">
        <f>IF(Migrationsartikel!AF237="ja","Denner Partner","")</f>
        <v/>
      </c>
      <c r="BB239" t="str">
        <f>IF(Migrationsartikel!AG237="ja","true","false")</f>
        <v>false</v>
      </c>
      <c r="BC239" t="s">
        <v>1923</v>
      </c>
      <c r="BD239" s="31" t="s">
        <v>235</v>
      </c>
      <c r="BE239" s="31" t="s">
        <v>233</v>
      </c>
    </row>
    <row r="240" spans="2:57" ht="21.75" customHeight="1" x14ac:dyDescent="0.45">
      <c r="B240" t="s">
        <v>115</v>
      </c>
      <c r="E240" s="31" t="s">
        <v>1666</v>
      </c>
      <c r="F240" t="str">
        <f>"Warengruppe&gt;&gt;"&amp;Migrationsartikel!V238&amp;"&gt;&gt;"&amp;Migrationsartikel!W238&amp;"&gt;&gt;"&amp;Migrationsartikel!X238</f>
        <v>Warengruppe&gt;&gt;Früchte und Gemüse&gt;&gt;Früchte und Gemüse&gt;&gt;Früchte</v>
      </c>
      <c r="J240" s="31" t="s">
        <v>125</v>
      </c>
      <c r="M240" s="31" t="s">
        <v>137</v>
      </c>
      <c r="P240" s="31">
        <f>Migrationsartikel!B238</f>
        <v>0</v>
      </c>
      <c r="R240" t="str">
        <f>Migrationsartikel!F238&amp;" "&amp;Migrationsartikel!G238&amp;" "&amp;Migrationsartikel!H238</f>
        <v>Bio Birnen Williams Offen Kl. 1 500g</v>
      </c>
      <c r="S240" t="str">
        <f>Migrationsartikel!J238&amp;" "&amp;Migrationsartikel!K238&amp;" "&amp;Migrationsartikel!L238</f>
        <v>Bio Poires Williams En vrac, cl. 1 500g</v>
      </c>
      <c r="T240" t="str">
        <f>Migrationsartikel!N238&amp;" "&amp;Migrationsartikel!O238&amp;" "&amp;Migrationsartikel!P238</f>
        <v>Bio Pere Williams Cl. 1 vendita sfusa 500g</v>
      </c>
      <c r="U240" t="str">
        <f>Migrationsartikel!F238</f>
        <v>Bio Birnen Williams</v>
      </c>
      <c r="V240" t="str">
        <f>Migrationsartikel!J238</f>
        <v>Bio Poires Williams</v>
      </c>
      <c r="W240" t="str">
        <f>Migrationsartikel!N238</f>
        <v>Bio Pere Williams</v>
      </c>
      <c r="X240" t="str">
        <f>Migrationsartikel!G238</f>
        <v>Offen Kl. 1</v>
      </c>
      <c r="Y240" t="str">
        <f>Migrationsartikel!K238</f>
        <v>En vrac, cl. 1</v>
      </c>
      <c r="Z240" t="str">
        <f>Migrationsartikel!O238</f>
        <v>Cl. 1 vendita sfusa</v>
      </c>
      <c r="AA240" s="31" t="str">
        <f>Migrationsartikel!H238</f>
        <v>500g</v>
      </c>
      <c r="AB240" s="31" t="str">
        <f>Migrationsartikel!L238</f>
        <v>500g</v>
      </c>
      <c r="AC240" s="31" t="str">
        <f>Migrationsartikel!P238</f>
        <v>500g</v>
      </c>
      <c r="AD240" t="str">
        <f>Migrationsartikel!I238</f>
        <v>Bio Birne Will. Off Kl1 500g</v>
      </c>
      <c r="AE240" t="str">
        <f>Migrationsartikel!M238</f>
        <v>Bio Poires Will. cl1 en vrac</v>
      </c>
      <c r="AF240" t="str">
        <f>Migrationsartikel!Q238</f>
        <v>Bio Pere Williams cl. 1 500g</v>
      </c>
      <c r="AG240" s="45">
        <f>Migrationsartikel!R238</f>
        <v>0.5</v>
      </c>
      <c r="AH240" s="46" t="str">
        <f>Migrationsartikel!T238</f>
        <v>Kilogramm</v>
      </c>
      <c r="AI240" s="46" t="str">
        <f t="shared" si="9"/>
        <v>3</v>
      </c>
      <c r="AJ240" s="46" t="s">
        <v>176</v>
      </c>
      <c r="AK240">
        <f>Migrationsartikel!S238</f>
        <v>1</v>
      </c>
      <c r="AL240">
        <f>Migrationsartikel!S238</f>
        <v>1</v>
      </c>
      <c r="AM240">
        <f>Migrationsartikel!S238</f>
        <v>1</v>
      </c>
      <c r="AN240" t="str">
        <f>Migrationsartikel!U238</f>
        <v>(PCE) Stück</v>
      </c>
      <c r="AO240" t="str">
        <f t="shared" si="10"/>
        <v>(PCE) Pièce</v>
      </c>
      <c r="AP240" t="str">
        <f t="shared" si="11"/>
        <v>(PCE) Pièce</v>
      </c>
      <c r="AQ240" s="31" t="s">
        <v>195</v>
      </c>
      <c r="AR240" s="47"/>
      <c r="AS240" s="47"/>
      <c r="AT240" s="31" t="s">
        <v>208</v>
      </c>
      <c r="AU240" s="47"/>
      <c r="AV240" s="47"/>
      <c r="AW240" t="str">
        <f>IF(Migrationsartikel!AB238="ja","true",FALSE)</f>
        <v>true</v>
      </c>
      <c r="AX240" t="str">
        <f>IF(Migrationsartikel!AC238="ja","true",FALSE)</f>
        <v>true</v>
      </c>
      <c r="AY240" t="str">
        <f>IF(Migrationsartikel!AD238="ja","true",FALSE)</f>
        <v>true</v>
      </c>
      <c r="AZ240" t="str">
        <f>IF(Migrationsartikel!AE238="ja","true",FALSE)</f>
        <v>true</v>
      </c>
      <c r="BA240" t="str">
        <f>IF(Migrationsartikel!AF238="ja","Denner Partner","")</f>
        <v/>
      </c>
      <c r="BB240" t="str">
        <f>IF(Migrationsartikel!AG238="ja","true","false")</f>
        <v>false</v>
      </c>
      <c r="BC240" t="s">
        <v>1923</v>
      </c>
      <c r="BD240" s="31" t="s">
        <v>235</v>
      </c>
      <c r="BE240" s="31" t="s">
        <v>233</v>
      </c>
    </row>
    <row r="241" spans="2:57" ht="21.75" customHeight="1" x14ac:dyDescent="0.45">
      <c r="B241" t="s">
        <v>115</v>
      </c>
      <c r="E241" s="31" t="s">
        <v>1667</v>
      </c>
      <c r="F241" t="str">
        <f>"Warengruppe&gt;&gt;"&amp;Migrationsartikel!V239&amp;"&gt;&gt;"&amp;Migrationsartikel!W239&amp;"&gt;&gt;"&amp;Migrationsartikel!X239</f>
        <v>Warengruppe&gt;&gt;Früchte und Gemüse&gt;&gt;Früchte und Gemüse&gt;&gt;Früchte</v>
      </c>
      <c r="J241" s="31" t="s">
        <v>125</v>
      </c>
      <c r="M241" s="31" t="s">
        <v>137</v>
      </c>
      <c r="P241" s="31">
        <f>Migrationsartikel!B239</f>
        <v>158</v>
      </c>
      <c r="R241" t="str">
        <f>Migrationsartikel!F239&amp;" "&amp;Migrationsartikel!G239&amp;" "&amp;Migrationsartikel!H239</f>
        <v xml:space="preserve">Orangen Tarocco Offen  </v>
      </c>
      <c r="S241" t="str">
        <f>Migrationsartikel!J239&amp;" "&amp;Migrationsartikel!K239&amp;" "&amp;Migrationsartikel!L239</f>
        <v xml:space="preserve">Oranges Tarocco En vrac  </v>
      </c>
      <c r="T241" t="str">
        <f>Migrationsartikel!N239&amp;" "&amp;Migrationsartikel!O239&amp;" "&amp;Migrationsartikel!P239</f>
        <v xml:space="preserve">Arance Tarocco vendita sfusa  </v>
      </c>
      <c r="U241" t="str">
        <f>Migrationsartikel!F239</f>
        <v>Orangen Tarocco</v>
      </c>
      <c r="V241" t="str">
        <f>Migrationsartikel!J239</f>
        <v>Oranges Tarocco</v>
      </c>
      <c r="W241" t="str">
        <f>Migrationsartikel!N239</f>
        <v>Arance Tarocco</v>
      </c>
      <c r="X241" t="str">
        <f>Migrationsartikel!G239</f>
        <v xml:space="preserve">Offen </v>
      </c>
      <c r="Y241" t="str">
        <f>Migrationsartikel!K239</f>
        <v xml:space="preserve">En vrac </v>
      </c>
      <c r="Z241" t="str">
        <f>Migrationsartikel!O239</f>
        <v xml:space="preserve">vendita sfusa </v>
      </c>
      <c r="AA241" s="31">
        <f>Migrationsartikel!H239</f>
        <v>0</v>
      </c>
      <c r="AB241" s="31">
        <f>Migrationsartikel!L239</f>
        <v>0</v>
      </c>
      <c r="AC241" s="31">
        <f>Migrationsartikel!P239</f>
        <v>0</v>
      </c>
      <c r="AD241" t="str">
        <f>Migrationsartikel!I239</f>
        <v>Orangen Tarocco Offen</v>
      </c>
      <c r="AE241" t="str">
        <f>Migrationsartikel!M239</f>
        <v>Oranges Tarocco en vrac</v>
      </c>
      <c r="AF241" t="str">
        <f>Migrationsartikel!Q239</f>
        <v>Arance Tarocco vendita sfusa</v>
      </c>
      <c r="AG241" s="45">
        <f>Migrationsartikel!R239</f>
        <v>1</v>
      </c>
      <c r="AH241" s="46" t="str">
        <f>Migrationsartikel!T239</f>
        <v>Kilogramm</v>
      </c>
      <c r="AI241" s="46" t="str">
        <f t="shared" si="9"/>
        <v>3</v>
      </c>
      <c r="AJ241" s="46" t="s">
        <v>176</v>
      </c>
      <c r="AK241">
        <f>Migrationsartikel!S239</f>
        <v>1</v>
      </c>
      <c r="AL241">
        <f>Migrationsartikel!S239</f>
        <v>1</v>
      </c>
      <c r="AM241">
        <f>Migrationsartikel!S239</f>
        <v>1</v>
      </c>
      <c r="AN241" t="str">
        <f>Migrationsartikel!U239</f>
        <v>(KGM) KG</v>
      </c>
      <c r="AO241" t="str">
        <f t="shared" si="10"/>
        <v>(KGM) Kg</v>
      </c>
      <c r="AP241" t="str">
        <f t="shared" si="11"/>
        <v>(KGM) KG</v>
      </c>
      <c r="AQ241" s="31" t="s">
        <v>195</v>
      </c>
      <c r="AR241" s="47"/>
      <c r="AS241" s="47"/>
      <c r="AT241" s="31" t="s">
        <v>208</v>
      </c>
      <c r="AU241" s="47"/>
      <c r="AV241" s="47"/>
      <c r="AW241" t="str">
        <f>IF(Migrationsartikel!AB239="ja","true",FALSE)</f>
        <v>true</v>
      </c>
      <c r="AX241" t="str">
        <f>IF(Migrationsartikel!AC239="ja","true",FALSE)</f>
        <v>true</v>
      </c>
      <c r="AY241" t="str">
        <f>IF(Migrationsartikel!AD239="ja","true",FALSE)</f>
        <v>true</v>
      </c>
      <c r="AZ241" t="str">
        <f>IF(Migrationsartikel!AE239="ja","true",FALSE)</f>
        <v>true</v>
      </c>
      <c r="BA241" t="str">
        <f>IF(Migrationsartikel!AF239="ja","Denner Partner","")</f>
        <v/>
      </c>
      <c r="BB241" t="str">
        <f>IF(Migrationsartikel!AG239="ja","true","false")</f>
        <v>false</v>
      </c>
      <c r="BC241" t="s">
        <v>1923</v>
      </c>
      <c r="BD241" s="31" t="s">
        <v>235</v>
      </c>
      <c r="BE241" s="31" t="s">
        <v>233</v>
      </c>
    </row>
    <row r="242" spans="2:57" ht="21.75" customHeight="1" x14ac:dyDescent="0.45">
      <c r="B242" t="s">
        <v>115</v>
      </c>
      <c r="E242" s="31" t="s">
        <v>1668</v>
      </c>
      <c r="F242" t="str">
        <f>"Warengruppe&gt;&gt;"&amp;Migrationsartikel!V240&amp;"&gt;&gt;"&amp;Migrationsartikel!W240&amp;"&gt;&gt;"&amp;Migrationsartikel!X240</f>
        <v>Warengruppe&gt;&gt;Früchte und Gemüse&gt;&gt;Früchte und Gemüse&gt;&gt;Früchte</v>
      </c>
      <c r="J242" s="31" t="s">
        <v>125</v>
      </c>
      <c r="M242" s="31" t="s">
        <v>137</v>
      </c>
      <c r="P242" s="31">
        <f>Migrationsartikel!B240</f>
        <v>100</v>
      </c>
      <c r="R242" t="str">
        <f>Migrationsartikel!F240&amp;" "&amp;Migrationsartikel!G240&amp;" "&amp;Migrationsartikel!H240</f>
        <v xml:space="preserve">Äpfel Boskoop Offen Kl. 1 </v>
      </c>
      <c r="S242" t="str">
        <f>Migrationsartikel!J240&amp;" "&amp;Migrationsartikel!K240&amp;" "&amp;Migrationsartikel!L240</f>
        <v xml:space="preserve">Pommes Boskoop En vrac, cl. 1 </v>
      </c>
      <c r="T242" t="str">
        <f>Migrationsartikel!N240&amp;" "&amp;Migrationsartikel!O240&amp;" "&amp;Migrationsartikel!P240</f>
        <v xml:space="preserve">Mele Boskoop Cl. 1 vendita sfusa </v>
      </c>
      <c r="U242" t="str">
        <f>Migrationsartikel!F240</f>
        <v>Äpfel Boskoop</v>
      </c>
      <c r="V242" t="str">
        <f>Migrationsartikel!J240</f>
        <v>Pommes Boskoop</v>
      </c>
      <c r="W242" t="str">
        <f>Migrationsartikel!N240</f>
        <v>Mele Boskoop</v>
      </c>
      <c r="X242" t="str">
        <f>Migrationsartikel!G240</f>
        <v>Offen Kl. 1</v>
      </c>
      <c r="Y242" t="str">
        <f>Migrationsartikel!K240</f>
        <v>En vrac, cl. 1</v>
      </c>
      <c r="Z242" t="str">
        <f>Migrationsartikel!O240</f>
        <v>Cl. 1 vendita sfusa</v>
      </c>
      <c r="AA242" s="31">
        <f>Migrationsartikel!H240</f>
        <v>0</v>
      </c>
      <c r="AB242" s="31">
        <f>Migrationsartikel!L240</f>
        <v>0</v>
      </c>
      <c r="AC242" s="31">
        <f>Migrationsartikel!P240</f>
        <v>0</v>
      </c>
      <c r="AD242" t="str">
        <f>Migrationsartikel!I240</f>
        <v>Äpel Boskoop Offen Kl. 1</v>
      </c>
      <c r="AE242" t="str">
        <f>Migrationsartikel!M240</f>
        <v>Pommes Boskoop cl.1 en vrac</v>
      </c>
      <c r="AF242" t="str">
        <f>Migrationsartikel!Q240</f>
        <v>Mele Boskoop cl. 1 v. sfusa</v>
      </c>
      <c r="AG242" s="45">
        <f>Migrationsartikel!R240</f>
        <v>1</v>
      </c>
      <c r="AH242" s="46" t="str">
        <f>Migrationsartikel!T240</f>
        <v>Kilogramm</v>
      </c>
      <c r="AI242" s="46" t="str">
        <f t="shared" si="9"/>
        <v>3</v>
      </c>
      <c r="AJ242" s="46" t="s">
        <v>176</v>
      </c>
      <c r="AK242">
        <f>Migrationsartikel!S240</f>
        <v>1</v>
      </c>
      <c r="AL242">
        <f>Migrationsartikel!S240</f>
        <v>1</v>
      </c>
      <c r="AM242">
        <f>Migrationsartikel!S240</f>
        <v>1</v>
      </c>
      <c r="AN242" t="str">
        <f>Migrationsartikel!U240</f>
        <v>(KGM) KG</v>
      </c>
      <c r="AO242" t="str">
        <f t="shared" si="10"/>
        <v>(KGM) Kg</v>
      </c>
      <c r="AP242" t="str">
        <f t="shared" si="11"/>
        <v>(KGM) KG</v>
      </c>
      <c r="AQ242" s="31" t="s">
        <v>195</v>
      </c>
      <c r="AR242" s="47"/>
      <c r="AS242" s="47"/>
      <c r="AT242" s="31" t="s">
        <v>208</v>
      </c>
      <c r="AU242" s="47"/>
      <c r="AV242" s="47"/>
      <c r="AW242" t="str">
        <f>IF(Migrationsartikel!AB240="ja","true",FALSE)</f>
        <v>true</v>
      </c>
      <c r="AX242" t="str">
        <f>IF(Migrationsartikel!AC240="ja","true",FALSE)</f>
        <v>true</v>
      </c>
      <c r="AY242" t="str">
        <f>IF(Migrationsartikel!AD240="ja","true",FALSE)</f>
        <v>true</v>
      </c>
      <c r="AZ242" t="str">
        <f>IF(Migrationsartikel!AE240="ja","true",FALSE)</f>
        <v>true</v>
      </c>
      <c r="BA242" t="str">
        <f>IF(Migrationsartikel!AF240="ja","Denner Partner","")</f>
        <v/>
      </c>
      <c r="BB242" t="str">
        <f>IF(Migrationsartikel!AG240="ja","true","false")</f>
        <v>false</v>
      </c>
      <c r="BC242" t="s">
        <v>1923</v>
      </c>
      <c r="BD242" s="31" t="s">
        <v>235</v>
      </c>
      <c r="BE242" s="31" t="s">
        <v>233</v>
      </c>
    </row>
    <row r="243" spans="2:57" ht="21.75" customHeight="1" x14ac:dyDescent="0.45">
      <c r="B243" t="s">
        <v>115</v>
      </c>
      <c r="E243" s="31" t="s">
        <v>1669</v>
      </c>
      <c r="F243" t="str">
        <f>"Warengruppe&gt;&gt;"&amp;Migrationsartikel!V241&amp;"&gt;&gt;"&amp;Migrationsartikel!W241&amp;"&gt;&gt;"&amp;Migrationsartikel!X241</f>
        <v>Warengruppe&gt;&gt;Früchte und Gemüse&gt;&gt;Früchte und Gemüse&gt;&gt;Früchte</v>
      </c>
      <c r="J243" s="31" t="s">
        <v>125</v>
      </c>
      <c r="M243" s="31" t="s">
        <v>137</v>
      </c>
      <c r="P243" s="31">
        <f>Migrationsartikel!B241</f>
        <v>0</v>
      </c>
      <c r="R243" t="str">
        <f>Migrationsartikel!F241&amp;" "&amp;Migrationsartikel!G241&amp;" "&amp;Migrationsartikel!H241</f>
        <v xml:space="preserve">Äpfel Boskoop Kl. 1 gepackt </v>
      </c>
      <c r="S243" t="str">
        <f>Migrationsartikel!J241&amp;" "&amp;Migrationsartikel!K241&amp;" "&amp;Migrationsartikel!L241</f>
        <v xml:space="preserve">Pommes Boskoop Cl. 1 emballé </v>
      </c>
      <c r="T243" t="str">
        <f>Migrationsartikel!N241&amp;" "&amp;Migrationsartikel!O241&amp;" "&amp;Migrationsartikel!P241</f>
        <v xml:space="preserve">Mele Boskoop Cl. 1 confezionato </v>
      </c>
      <c r="U243" t="str">
        <f>Migrationsartikel!F241</f>
        <v>Äpfel Boskoop</v>
      </c>
      <c r="V243" t="str">
        <f>Migrationsartikel!J241</f>
        <v>Pommes Boskoop</v>
      </c>
      <c r="W243" t="str">
        <f>Migrationsartikel!N241</f>
        <v>Mele Boskoop</v>
      </c>
      <c r="X243" t="str">
        <f>Migrationsartikel!G241</f>
        <v>Kl. 1 gepackt</v>
      </c>
      <c r="Y243" t="str">
        <f>Migrationsartikel!K241</f>
        <v>Cl. 1 emballé</v>
      </c>
      <c r="Z243" t="str">
        <f>Migrationsartikel!O241</f>
        <v>Cl. 1 confezionato</v>
      </c>
      <c r="AA243" s="31">
        <f>Migrationsartikel!H241</f>
        <v>0</v>
      </c>
      <c r="AB243" s="31">
        <f>Migrationsartikel!L241</f>
        <v>0</v>
      </c>
      <c r="AC243" s="31">
        <f>Migrationsartikel!P241</f>
        <v>0</v>
      </c>
      <c r="AD243" t="str">
        <f>Migrationsartikel!I241</f>
        <v>Äpfel Boskoop Kl. 1 gepackt</v>
      </c>
      <c r="AE243" t="str">
        <f>Migrationsartikel!M241</f>
        <v>Pommes Boskoop cl.1 emball.</v>
      </c>
      <c r="AF243" t="str">
        <f>Migrationsartikel!Q241</f>
        <v>Mele Boskoop cl. 1 confez.</v>
      </c>
      <c r="AG243" s="45">
        <f>Migrationsartikel!R241</f>
        <v>1</v>
      </c>
      <c r="AH243" s="46" t="str">
        <f>Migrationsartikel!T241</f>
        <v>Kilogramm</v>
      </c>
      <c r="AI243" s="46" t="str">
        <f t="shared" si="9"/>
        <v>3</v>
      </c>
      <c r="AJ243" s="46" t="s">
        <v>176</v>
      </c>
      <c r="AK243">
        <f>Migrationsartikel!S241</f>
        <v>1</v>
      </c>
      <c r="AL243">
        <f>Migrationsartikel!S241</f>
        <v>1</v>
      </c>
      <c r="AM243">
        <f>Migrationsartikel!S241</f>
        <v>1</v>
      </c>
      <c r="AN243" t="str">
        <f>Migrationsartikel!U241</f>
        <v>(PCE) Stück</v>
      </c>
      <c r="AO243" t="str">
        <f t="shared" si="10"/>
        <v>(PCE) Pièce</v>
      </c>
      <c r="AP243" t="str">
        <f t="shared" si="11"/>
        <v>(PCE) Pièce</v>
      </c>
      <c r="AQ243" s="31" t="s">
        <v>195</v>
      </c>
      <c r="AR243" s="47"/>
      <c r="AS243" s="47"/>
      <c r="AT243" s="31" t="s">
        <v>208</v>
      </c>
      <c r="AU243" s="47"/>
      <c r="AV243" s="47"/>
      <c r="AW243" t="str">
        <f>IF(Migrationsartikel!AB241="ja","true",FALSE)</f>
        <v>true</v>
      </c>
      <c r="AX243" t="str">
        <f>IF(Migrationsartikel!AC241="ja","true",FALSE)</f>
        <v>true</v>
      </c>
      <c r="AY243" t="str">
        <f>IF(Migrationsartikel!AD241="ja","true",FALSE)</f>
        <v>true</v>
      </c>
      <c r="AZ243" t="str">
        <f>IF(Migrationsartikel!AE241="ja","true",FALSE)</f>
        <v>true</v>
      </c>
      <c r="BA243" t="str">
        <f>IF(Migrationsartikel!AF241="ja","Denner Partner","")</f>
        <v/>
      </c>
      <c r="BB243" t="str">
        <f>IF(Migrationsartikel!AG241="ja","true","false")</f>
        <v>false</v>
      </c>
      <c r="BC243" t="s">
        <v>1923</v>
      </c>
      <c r="BD243" s="31" t="s">
        <v>235</v>
      </c>
      <c r="BE243" s="31" t="s">
        <v>233</v>
      </c>
    </row>
    <row r="244" spans="2:57" ht="21.75" customHeight="1" x14ac:dyDescent="0.45">
      <c r="B244" t="s">
        <v>115</v>
      </c>
      <c r="E244" s="31" t="s">
        <v>1670</v>
      </c>
      <c r="F244" t="str">
        <f>"Warengruppe&gt;&gt;"&amp;Migrationsartikel!V242&amp;"&gt;&gt;"&amp;Migrationsartikel!W242&amp;"&gt;&gt;"&amp;Migrationsartikel!X242</f>
        <v>Warengruppe&gt;&gt;Früchte und Gemüse&gt;&gt;Früchte und Gemüse&gt;&gt;Früchte</v>
      </c>
      <c r="J244" s="31" t="s">
        <v>125</v>
      </c>
      <c r="M244" s="31" t="s">
        <v>137</v>
      </c>
      <c r="P244" s="31">
        <f>Migrationsartikel!B242</f>
        <v>101</v>
      </c>
      <c r="R244" t="str">
        <f>Migrationsartikel!F242&amp;" "&amp;Migrationsartikel!G242&amp;" "&amp;Migrationsartikel!H242</f>
        <v xml:space="preserve">Äpfel Braeburn Offen Kl. 1 </v>
      </c>
      <c r="S244" t="str">
        <f>Migrationsartikel!J242&amp;" "&amp;Migrationsartikel!K242&amp;" "&amp;Migrationsartikel!L242</f>
        <v xml:space="preserve">Pommes Braeburn En vrac, cl. 1 </v>
      </c>
      <c r="T244" t="str">
        <f>Migrationsartikel!N242&amp;" "&amp;Migrationsartikel!O242&amp;" "&amp;Migrationsartikel!P242</f>
        <v xml:space="preserve">Mele Braeburn Cl. 1 vendita sfusa </v>
      </c>
      <c r="U244" t="str">
        <f>Migrationsartikel!F242</f>
        <v>Äpfel Braeburn</v>
      </c>
      <c r="V244" t="str">
        <f>Migrationsartikel!J242</f>
        <v>Pommes Braeburn</v>
      </c>
      <c r="W244" t="str">
        <f>Migrationsartikel!N242</f>
        <v>Mele Braeburn</v>
      </c>
      <c r="X244" t="str">
        <f>Migrationsartikel!G242</f>
        <v>Offen Kl. 1</v>
      </c>
      <c r="Y244" t="str">
        <f>Migrationsartikel!K242</f>
        <v>En vrac, cl. 1</v>
      </c>
      <c r="Z244" t="str">
        <f>Migrationsartikel!O242</f>
        <v>Cl. 1 vendita sfusa</v>
      </c>
      <c r="AA244" s="31">
        <f>Migrationsartikel!H242</f>
        <v>0</v>
      </c>
      <c r="AB244" s="31">
        <f>Migrationsartikel!L242</f>
        <v>0</v>
      </c>
      <c r="AC244" s="31">
        <f>Migrationsartikel!P242</f>
        <v>0</v>
      </c>
      <c r="AD244" t="str">
        <f>Migrationsartikel!I242</f>
        <v>Äpfel Braeburn Offen Kl. 1</v>
      </c>
      <c r="AE244" t="str">
        <f>Migrationsartikel!M242</f>
        <v>Pommes Braeburn cl.1 en vrac</v>
      </c>
      <c r="AF244" t="str">
        <f>Migrationsartikel!Q242</f>
        <v>Mele Braeburn cl. 1 v. sfusa</v>
      </c>
      <c r="AG244" s="45">
        <f>Migrationsartikel!R242</f>
        <v>1</v>
      </c>
      <c r="AH244" s="46" t="str">
        <f>Migrationsartikel!T242</f>
        <v>Kilogramm</v>
      </c>
      <c r="AI244" s="46" t="str">
        <f t="shared" si="9"/>
        <v>3</v>
      </c>
      <c r="AJ244" s="46" t="s">
        <v>176</v>
      </c>
      <c r="AK244">
        <f>Migrationsartikel!S242</f>
        <v>1</v>
      </c>
      <c r="AL244">
        <f>Migrationsartikel!S242</f>
        <v>1</v>
      </c>
      <c r="AM244">
        <f>Migrationsartikel!S242</f>
        <v>1</v>
      </c>
      <c r="AN244" t="str">
        <f>Migrationsartikel!U242</f>
        <v>(KGM) KG</v>
      </c>
      <c r="AO244" t="str">
        <f t="shared" si="10"/>
        <v>(KGM) Kg</v>
      </c>
      <c r="AP244" t="str">
        <f t="shared" si="11"/>
        <v>(KGM) KG</v>
      </c>
      <c r="AQ244" s="31" t="s">
        <v>195</v>
      </c>
      <c r="AR244" s="47"/>
      <c r="AS244" s="47"/>
      <c r="AT244" s="31" t="s">
        <v>208</v>
      </c>
      <c r="AU244" s="47"/>
      <c r="AV244" s="47"/>
      <c r="AW244" t="str">
        <f>IF(Migrationsartikel!AB242="ja","true",FALSE)</f>
        <v>true</v>
      </c>
      <c r="AX244" t="str">
        <f>IF(Migrationsartikel!AC242="ja","true",FALSE)</f>
        <v>true</v>
      </c>
      <c r="AY244" t="str">
        <f>IF(Migrationsartikel!AD242="ja","true",FALSE)</f>
        <v>true</v>
      </c>
      <c r="AZ244" t="str">
        <f>IF(Migrationsartikel!AE242="ja","true",FALSE)</f>
        <v>true</v>
      </c>
      <c r="BA244" t="str">
        <f>IF(Migrationsartikel!AF242="ja","Denner Partner","")</f>
        <v/>
      </c>
      <c r="BB244" t="str">
        <f>IF(Migrationsartikel!AG242="ja","true","false")</f>
        <v>false</v>
      </c>
      <c r="BC244" t="s">
        <v>1923</v>
      </c>
      <c r="BD244" s="31" t="s">
        <v>235</v>
      </c>
      <c r="BE244" s="31" t="s">
        <v>233</v>
      </c>
    </row>
    <row r="245" spans="2:57" ht="21.75" customHeight="1" x14ac:dyDescent="0.45">
      <c r="B245" t="s">
        <v>115</v>
      </c>
      <c r="E245" s="31" t="s">
        <v>1671</v>
      </c>
      <c r="F245" t="str">
        <f>"Warengruppe&gt;&gt;"&amp;Migrationsartikel!V243&amp;"&gt;&gt;"&amp;Migrationsartikel!W243&amp;"&gt;&gt;"&amp;Migrationsartikel!X243</f>
        <v>Warengruppe&gt;&gt;Früchte und Gemüse&gt;&gt;Früchte und Gemüse&gt;&gt;Früchte</v>
      </c>
      <c r="J245" s="31" t="s">
        <v>125</v>
      </c>
      <c r="M245" s="31" t="s">
        <v>137</v>
      </c>
      <c r="P245" s="31">
        <f>Migrationsartikel!B243</f>
        <v>0</v>
      </c>
      <c r="R245" t="str">
        <f>Migrationsartikel!F243&amp;" "&amp;Migrationsartikel!G243&amp;" "&amp;Migrationsartikel!H243</f>
        <v xml:space="preserve">Äpfel Braeburn Kl. 1 gepackt </v>
      </c>
      <c r="S245" t="str">
        <f>Migrationsartikel!J243&amp;" "&amp;Migrationsartikel!K243&amp;" "&amp;Migrationsartikel!L243</f>
        <v xml:space="preserve">Pommes Braeburn Cl. 1 emballé </v>
      </c>
      <c r="T245" t="str">
        <f>Migrationsartikel!N243&amp;" "&amp;Migrationsartikel!O243&amp;" "&amp;Migrationsartikel!P243</f>
        <v xml:space="preserve">Mele Braeburn Cl. 1 confezionato </v>
      </c>
      <c r="U245" t="str">
        <f>Migrationsartikel!F243</f>
        <v>Äpfel Braeburn</v>
      </c>
      <c r="V245" t="str">
        <f>Migrationsartikel!J243</f>
        <v>Pommes Braeburn</v>
      </c>
      <c r="W245" t="str">
        <f>Migrationsartikel!N243</f>
        <v>Mele Braeburn</v>
      </c>
      <c r="X245" t="str">
        <f>Migrationsartikel!G243</f>
        <v>Kl. 1 gepackt</v>
      </c>
      <c r="Y245" t="str">
        <f>Migrationsartikel!K243</f>
        <v>Cl. 1 emballé</v>
      </c>
      <c r="Z245" t="str">
        <f>Migrationsartikel!O243</f>
        <v>Cl. 1 confezionato</v>
      </c>
      <c r="AA245" s="31">
        <f>Migrationsartikel!H243</f>
        <v>0</v>
      </c>
      <c r="AB245" s="31">
        <f>Migrationsartikel!L243</f>
        <v>0</v>
      </c>
      <c r="AC245" s="31">
        <f>Migrationsartikel!P243</f>
        <v>0</v>
      </c>
      <c r="AD245" t="str">
        <f>Migrationsartikel!I243</f>
        <v>Äpfel Braeburn Kl. 1 gepackt</v>
      </c>
      <c r="AE245" t="str">
        <f>Migrationsartikel!M243</f>
        <v>Pommes Braeburn cl.1 emball.</v>
      </c>
      <c r="AF245" t="str">
        <f>Migrationsartikel!Q243</f>
        <v>Mele Braeburn cl. 1 confez.</v>
      </c>
      <c r="AG245" s="45">
        <f>Migrationsartikel!R243</f>
        <v>1</v>
      </c>
      <c r="AH245" s="46" t="str">
        <f>Migrationsartikel!T243</f>
        <v>Kilogramm</v>
      </c>
      <c r="AI245" s="46" t="str">
        <f t="shared" si="9"/>
        <v>3</v>
      </c>
      <c r="AJ245" s="46" t="s">
        <v>176</v>
      </c>
      <c r="AK245">
        <f>Migrationsartikel!S243</f>
        <v>1</v>
      </c>
      <c r="AL245">
        <f>Migrationsartikel!S243</f>
        <v>1</v>
      </c>
      <c r="AM245">
        <f>Migrationsartikel!S243</f>
        <v>1</v>
      </c>
      <c r="AN245" t="str">
        <f>Migrationsartikel!U243</f>
        <v>(PCE) Stück</v>
      </c>
      <c r="AO245" t="str">
        <f t="shared" si="10"/>
        <v>(PCE) Pièce</v>
      </c>
      <c r="AP245" t="str">
        <f t="shared" si="11"/>
        <v>(PCE) Pièce</v>
      </c>
      <c r="AQ245" s="31" t="s">
        <v>195</v>
      </c>
      <c r="AR245" s="47"/>
      <c r="AS245" s="47"/>
      <c r="AT245" s="31" t="s">
        <v>208</v>
      </c>
      <c r="AU245" s="47"/>
      <c r="AV245" s="47"/>
      <c r="AW245" t="str">
        <f>IF(Migrationsartikel!AB243="ja","true",FALSE)</f>
        <v>true</v>
      </c>
      <c r="AX245" t="str">
        <f>IF(Migrationsartikel!AC243="ja","true",FALSE)</f>
        <v>true</v>
      </c>
      <c r="AY245" t="str">
        <f>IF(Migrationsartikel!AD243="ja","true",FALSE)</f>
        <v>true</v>
      </c>
      <c r="AZ245" t="str">
        <f>IF(Migrationsartikel!AE243="ja","true",FALSE)</f>
        <v>true</v>
      </c>
      <c r="BA245" t="str">
        <f>IF(Migrationsartikel!AF243="ja","Denner Partner","")</f>
        <v/>
      </c>
      <c r="BB245" t="str">
        <f>IF(Migrationsartikel!AG243="ja","true","false")</f>
        <v>false</v>
      </c>
      <c r="BC245" t="s">
        <v>1923</v>
      </c>
      <c r="BD245" s="31" t="s">
        <v>235</v>
      </c>
      <c r="BE245" s="31" t="s">
        <v>233</v>
      </c>
    </row>
    <row r="246" spans="2:57" ht="21.75" customHeight="1" x14ac:dyDescent="0.45">
      <c r="B246" t="s">
        <v>115</v>
      </c>
      <c r="E246" s="31" t="s">
        <v>1672</v>
      </c>
      <c r="F246" t="str">
        <f>"Warengruppe&gt;&gt;"&amp;Migrationsartikel!V244&amp;"&gt;&gt;"&amp;Migrationsartikel!W244&amp;"&gt;&gt;"&amp;Migrationsartikel!X244</f>
        <v>Warengruppe&gt;&gt;Früchte und Gemüse&gt;&gt;Früchte und Gemüse&gt;&gt;Früchte</v>
      </c>
      <c r="J246" s="31" t="s">
        <v>125</v>
      </c>
      <c r="M246" s="31" t="s">
        <v>137</v>
      </c>
      <c r="P246" s="31">
        <f>Migrationsartikel!B244</f>
        <v>102</v>
      </c>
      <c r="R246" t="str">
        <f>Migrationsartikel!F244&amp;" "&amp;Migrationsartikel!G244&amp;" "&amp;Migrationsartikel!H244</f>
        <v xml:space="preserve">Äpfel Braeburn Offen Kl. 2 </v>
      </c>
      <c r="S246" t="str">
        <f>Migrationsartikel!J244&amp;" "&amp;Migrationsartikel!K244&amp;" "&amp;Migrationsartikel!L244</f>
        <v xml:space="preserve">Pommes Braeburn En vrac, cl. 2 </v>
      </c>
      <c r="T246" t="str">
        <f>Migrationsartikel!N244&amp;" "&amp;Migrationsartikel!O244&amp;" "&amp;Migrationsartikel!P244</f>
        <v xml:space="preserve">Mele Braeburn Cl. 2 vendita sfusa </v>
      </c>
      <c r="U246" t="str">
        <f>Migrationsartikel!F244</f>
        <v>Äpfel Braeburn</v>
      </c>
      <c r="V246" t="str">
        <f>Migrationsartikel!J244</f>
        <v>Pommes Braeburn</v>
      </c>
      <c r="W246" t="str">
        <f>Migrationsartikel!N244</f>
        <v>Mele Braeburn</v>
      </c>
      <c r="X246" t="str">
        <f>Migrationsartikel!G244</f>
        <v>Offen Kl. 2</v>
      </c>
      <c r="Y246" t="str">
        <f>Migrationsartikel!K244</f>
        <v>En vrac, cl. 2</v>
      </c>
      <c r="Z246" t="str">
        <f>Migrationsartikel!O244</f>
        <v>Cl. 2 vendita sfusa</v>
      </c>
      <c r="AA246" s="31">
        <f>Migrationsartikel!H244</f>
        <v>0</v>
      </c>
      <c r="AB246" s="31">
        <f>Migrationsartikel!L244</f>
        <v>0</v>
      </c>
      <c r="AC246" s="31">
        <f>Migrationsartikel!P244</f>
        <v>0</v>
      </c>
      <c r="AD246" t="str">
        <f>Migrationsartikel!I244</f>
        <v>Äpfel Braeburn Offen Kl. 2</v>
      </c>
      <c r="AE246" t="str">
        <f>Migrationsartikel!M244</f>
        <v>Pommes Braeburn cl.2 en vrac</v>
      </c>
      <c r="AF246" t="str">
        <f>Migrationsartikel!Q244</f>
        <v>Mele Braeburn cl. 2 v. sfusa</v>
      </c>
      <c r="AG246" s="45">
        <f>Migrationsartikel!R244</f>
        <v>1</v>
      </c>
      <c r="AH246" s="46" t="str">
        <f>Migrationsartikel!T244</f>
        <v>Kilogramm</v>
      </c>
      <c r="AI246" s="46" t="str">
        <f t="shared" si="9"/>
        <v>3</v>
      </c>
      <c r="AJ246" s="46" t="s">
        <v>176</v>
      </c>
      <c r="AK246">
        <f>Migrationsartikel!S244</f>
        <v>1</v>
      </c>
      <c r="AL246">
        <f>Migrationsartikel!S244</f>
        <v>1</v>
      </c>
      <c r="AM246">
        <f>Migrationsartikel!S244</f>
        <v>1</v>
      </c>
      <c r="AN246" t="str">
        <f>Migrationsartikel!U244</f>
        <v>(KGM) KG</v>
      </c>
      <c r="AO246" t="str">
        <f t="shared" si="10"/>
        <v>(KGM) Kg</v>
      </c>
      <c r="AP246" t="str">
        <f t="shared" si="11"/>
        <v>(KGM) KG</v>
      </c>
      <c r="AQ246" s="31" t="s">
        <v>195</v>
      </c>
      <c r="AR246" s="47"/>
      <c r="AS246" s="47"/>
      <c r="AT246" s="31" t="s">
        <v>208</v>
      </c>
      <c r="AU246" s="47"/>
      <c r="AV246" s="47"/>
      <c r="AW246" t="str">
        <f>IF(Migrationsartikel!AB244="ja","true",FALSE)</f>
        <v>true</v>
      </c>
      <c r="AX246" t="str">
        <f>IF(Migrationsartikel!AC244="ja","true",FALSE)</f>
        <v>true</v>
      </c>
      <c r="AY246" t="str">
        <f>IF(Migrationsartikel!AD244="ja","true",FALSE)</f>
        <v>true</v>
      </c>
      <c r="AZ246" t="str">
        <f>IF(Migrationsartikel!AE244="ja","true",FALSE)</f>
        <v>true</v>
      </c>
      <c r="BA246" t="str">
        <f>IF(Migrationsartikel!AF244="ja","Denner Partner","")</f>
        <v/>
      </c>
      <c r="BB246" t="str">
        <f>IF(Migrationsartikel!AG244="ja","true","false")</f>
        <v>false</v>
      </c>
      <c r="BC246" t="s">
        <v>1923</v>
      </c>
      <c r="BD246" s="31" t="s">
        <v>235</v>
      </c>
      <c r="BE246" s="31" t="s">
        <v>233</v>
      </c>
    </row>
    <row r="247" spans="2:57" ht="21.75" customHeight="1" x14ac:dyDescent="0.45">
      <c r="B247" t="s">
        <v>115</v>
      </c>
      <c r="E247" s="31" t="s">
        <v>1673</v>
      </c>
      <c r="F247" t="str">
        <f>"Warengruppe&gt;&gt;"&amp;Migrationsartikel!V245&amp;"&gt;&gt;"&amp;Migrationsartikel!W245&amp;"&gt;&gt;"&amp;Migrationsartikel!X245</f>
        <v>Warengruppe&gt;&gt;Früchte und Gemüse&gt;&gt;Früchte und Gemüse&gt;&gt;Früchte</v>
      </c>
      <c r="J247" s="31" t="s">
        <v>125</v>
      </c>
      <c r="M247" s="31" t="s">
        <v>137</v>
      </c>
      <c r="P247" s="31">
        <f>Migrationsartikel!B245</f>
        <v>0</v>
      </c>
      <c r="R247" t="str">
        <f>Migrationsartikel!F245&amp;" "&amp;Migrationsartikel!G245&amp;" "&amp;Migrationsartikel!H245</f>
        <v>Brombeeren  Schale 125g</v>
      </c>
      <c r="S247" t="str">
        <f>Migrationsartikel!J245&amp;" "&amp;Migrationsartikel!K245&amp;" "&amp;Migrationsartikel!L245</f>
        <v>Mûres  Barquette 125g</v>
      </c>
      <c r="T247" t="str">
        <f>Migrationsartikel!N245&amp;" "&amp;Migrationsartikel!O245&amp;" "&amp;Migrationsartikel!P245</f>
        <v>More  vaschetta 125g</v>
      </c>
      <c r="U247" t="str">
        <f>Migrationsartikel!F245</f>
        <v xml:space="preserve">Brombeeren </v>
      </c>
      <c r="V247" t="str">
        <f>Migrationsartikel!J245</f>
        <v xml:space="preserve">Mûres </v>
      </c>
      <c r="W247" t="str">
        <f>Migrationsartikel!N245</f>
        <v xml:space="preserve">More </v>
      </c>
      <c r="X247" t="str">
        <f>Migrationsartikel!G245</f>
        <v>Schale</v>
      </c>
      <c r="Y247" t="str">
        <f>Migrationsartikel!K245</f>
        <v>Barquette</v>
      </c>
      <c r="Z247" t="str">
        <f>Migrationsartikel!O245</f>
        <v>vaschetta</v>
      </c>
      <c r="AA247" s="31" t="str">
        <f>Migrationsartikel!H245</f>
        <v>125g</v>
      </c>
      <c r="AB247" s="31" t="str">
        <f>Migrationsartikel!L245</f>
        <v>125g</v>
      </c>
      <c r="AC247" s="31" t="str">
        <f>Migrationsartikel!P245</f>
        <v>125g</v>
      </c>
      <c r="AD247" t="str">
        <f>Migrationsartikel!I245</f>
        <v>Brombeeren Schale 125g</v>
      </c>
      <c r="AE247" t="str">
        <f>Migrationsartikel!M245</f>
        <v>Mûres barquette 125g</v>
      </c>
      <c r="AF247" t="str">
        <f>Migrationsartikel!Q245</f>
        <v>More vaschetta 125g</v>
      </c>
      <c r="AG247" s="45">
        <f>Migrationsartikel!R245</f>
        <v>0.125</v>
      </c>
      <c r="AH247" s="46" t="str">
        <f>Migrationsartikel!T245</f>
        <v>Gramm</v>
      </c>
      <c r="AI247" s="46" t="str">
        <f t="shared" si="9"/>
        <v>Gramm</v>
      </c>
      <c r="AJ247" s="46" t="s">
        <v>176</v>
      </c>
      <c r="AK247">
        <f>Migrationsartikel!S245</f>
        <v>100</v>
      </c>
      <c r="AL247">
        <f>Migrationsartikel!S245</f>
        <v>100</v>
      </c>
      <c r="AM247">
        <f>Migrationsartikel!S245</f>
        <v>100</v>
      </c>
      <c r="AN247" t="str">
        <f>Migrationsartikel!U245</f>
        <v>(PCE) Stück</v>
      </c>
      <c r="AO247" t="str">
        <f t="shared" si="10"/>
        <v>(PCE) Pièce</v>
      </c>
      <c r="AP247" t="str">
        <f t="shared" si="11"/>
        <v>(PCE) Pièce</v>
      </c>
      <c r="AQ247" s="31" t="s">
        <v>195</v>
      </c>
      <c r="AR247" s="47"/>
      <c r="AS247" s="47"/>
      <c r="AT247" s="31" t="s">
        <v>208</v>
      </c>
      <c r="AU247" s="47"/>
      <c r="AV247" s="47"/>
      <c r="AW247" t="str">
        <f>IF(Migrationsartikel!AB245="ja","true",FALSE)</f>
        <v>true</v>
      </c>
      <c r="AX247" t="str">
        <f>IF(Migrationsartikel!AC245="ja","true",FALSE)</f>
        <v>true</v>
      </c>
      <c r="AY247" t="str">
        <f>IF(Migrationsartikel!AD245="ja","true",FALSE)</f>
        <v>true</v>
      </c>
      <c r="AZ247" t="str">
        <f>IF(Migrationsartikel!AE245="ja","true",FALSE)</f>
        <v>true</v>
      </c>
      <c r="BA247" t="str">
        <f>IF(Migrationsartikel!AF245="ja","Denner Partner","")</f>
        <v/>
      </c>
      <c r="BB247" t="str">
        <f>IF(Migrationsartikel!AG245="ja","true","false")</f>
        <v>false</v>
      </c>
      <c r="BC247" t="s">
        <v>1923</v>
      </c>
      <c r="BD247" s="31" t="s">
        <v>235</v>
      </c>
      <c r="BE247" s="31" t="s">
        <v>233</v>
      </c>
    </row>
    <row r="248" spans="2:57" ht="21.75" customHeight="1" x14ac:dyDescent="0.45">
      <c r="B248" t="s">
        <v>115</v>
      </c>
      <c r="E248" s="31" t="s">
        <v>1674</v>
      </c>
      <c r="F248" t="str">
        <f>"Warengruppe&gt;&gt;"&amp;Migrationsartikel!V246&amp;"&gt;&gt;"&amp;Migrationsartikel!W246&amp;"&gt;&gt;"&amp;Migrationsartikel!X246</f>
        <v>Warengruppe&gt;&gt;Früchte und Gemüse&gt;&gt;Früchte und Gemüse&gt;&gt;Früchte</v>
      </c>
      <c r="J248" s="31" t="s">
        <v>125</v>
      </c>
      <c r="M248" s="31" t="s">
        <v>137</v>
      </c>
      <c r="P248" s="31">
        <f>Migrationsartikel!B246</f>
        <v>0</v>
      </c>
      <c r="R248" t="str">
        <f>Migrationsartikel!F246&amp;" "&amp;Migrationsartikel!G246&amp;" "&amp;Migrationsartikel!H246</f>
        <v>Brombeeren  Schale 250g</v>
      </c>
      <c r="S248" t="str">
        <f>Migrationsartikel!J246&amp;" "&amp;Migrationsartikel!K246&amp;" "&amp;Migrationsartikel!L246</f>
        <v>Mûres  Barquette 250g</v>
      </c>
      <c r="T248" t="str">
        <f>Migrationsartikel!N246&amp;" "&amp;Migrationsartikel!O246&amp;" "&amp;Migrationsartikel!P246</f>
        <v>More  vaschetta 250g</v>
      </c>
      <c r="U248" t="str">
        <f>Migrationsartikel!F246</f>
        <v xml:space="preserve">Brombeeren </v>
      </c>
      <c r="V248" t="str">
        <f>Migrationsartikel!J246</f>
        <v xml:space="preserve">Mûres </v>
      </c>
      <c r="W248" t="str">
        <f>Migrationsartikel!N246</f>
        <v xml:space="preserve">More </v>
      </c>
      <c r="X248" t="str">
        <f>Migrationsartikel!G246</f>
        <v>Schale</v>
      </c>
      <c r="Y248" t="str">
        <f>Migrationsartikel!K246</f>
        <v>Barquette</v>
      </c>
      <c r="Z248" t="str">
        <f>Migrationsartikel!O246</f>
        <v>vaschetta</v>
      </c>
      <c r="AA248" s="31" t="str">
        <f>Migrationsartikel!H246</f>
        <v>250g</v>
      </c>
      <c r="AB248" s="31" t="str">
        <f>Migrationsartikel!L246</f>
        <v>250g</v>
      </c>
      <c r="AC248" s="31" t="str">
        <f>Migrationsartikel!P246</f>
        <v>250g</v>
      </c>
      <c r="AD248" t="str">
        <f>Migrationsartikel!I246</f>
        <v>Brombeeren Schale 250g</v>
      </c>
      <c r="AE248" t="str">
        <f>Migrationsartikel!M246</f>
        <v>Mûres barquette 250g</v>
      </c>
      <c r="AF248" t="str">
        <f>Migrationsartikel!Q246</f>
        <v>More vaschetta 250g</v>
      </c>
      <c r="AG248" s="45">
        <f>Migrationsartikel!R246</f>
        <v>0.25</v>
      </c>
      <c r="AH248" s="46" t="str">
        <f>Migrationsartikel!T246</f>
        <v>Gramm</v>
      </c>
      <c r="AI248" s="46" t="str">
        <f t="shared" si="9"/>
        <v>Gramm</v>
      </c>
      <c r="AJ248" s="46" t="s">
        <v>176</v>
      </c>
      <c r="AK248">
        <f>Migrationsartikel!S246</f>
        <v>100</v>
      </c>
      <c r="AL248">
        <f>Migrationsartikel!S246</f>
        <v>100</v>
      </c>
      <c r="AM248">
        <f>Migrationsartikel!S246</f>
        <v>100</v>
      </c>
      <c r="AN248" t="str">
        <f>Migrationsartikel!U246</f>
        <v>(PCE) Stück</v>
      </c>
      <c r="AO248" t="str">
        <f t="shared" si="10"/>
        <v>(PCE) Pièce</v>
      </c>
      <c r="AP248" t="str">
        <f t="shared" si="11"/>
        <v>(PCE) Pièce</v>
      </c>
      <c r="AQ248" s="31" t="s">
        <v>195</v>
      </c>
      <c r="AR248" s="47"/>
      <c r="AS248" s="47"/>
      <c r="AT248" s="31" t="s">
        <v>208</v>
      </c>
      <c r="AU248" s="47"/>
      <c r="AV248" s="47"/>
      <c r="AW248" t="str">
        <f>IF(Migrationsartikel!AB246="ja","true",FALSE)</f>
        <v>true</v>
      </c>
      <c r="AX248" t="str">
        <f>IF(Migrationsartikel!AC246="ja","true",FALSE)</f>
        <v>true</v>
      </c>
      <c r="AY248" t="str">
        <f>IF(Migrationsartikel!AD246="ja","true",FALSE)</f>
        <v>true</v>
      </c>
      <c r="AZ248" t="str">
        <f>IF(Migrationsartikel!AE246="ja","true",FALSE)</f>
        <v>true</v>
      </c>
      <c r="BA248" t="str">
        <f>IF(Migrationsartikel!AF246="ja","Denner Partner","")</f>
        <v/>
      </c>
      <c r="BB248" t="str">
        <f>IF(Migrationsartikel!AG246="ja","true","false")</f>
        <v>false</v>
      </c>
      <c r="BC248" t="s">
        <v>1923</v>
      </c>
      <c r="BD248" s="31" t="s">
        <v>235</v>
      </c>
      <c r="BE248" s="31" t="s">
        <v>233</v>
      </c>
    </row>
    <row r="249" spans="2:57" ht="21.75" customHeight="1" x14ac:dyDescent="0.45">
      <c r="B249" t="s">
        <v>115</v>
      </c>
      <c r="E249" s="31" t="s">
        <v>1675</v>
      </c>
      <c r="F249" t="str">
        <f>"Warengruppe&gt;&gt;"&amp;Migrationsartikel!V247&amp;"&gt;&gt;"&amp;Migrationsartikel!W247&amp;"&gt;&gt;"&amp;Migrationsartikel!X247</f>
        <v>Warengruppe&gt;&gt;Früchte und Gemüse&gt;&gt;Früchte und Gemüse&gt;&gt;Früchte</v>
      </c>
      <c r="J249" s="31" t="s">
        <v>125</v>
      </c>
      <c r="M249" s="31" t="s">
        <v>137</v>
      </c>
      <c r="P249" s="31">
        <f>Migrationsartikel!B247</f>
        <v>127</v>
      </c>
      <c r="R249" t="str">
        <f>Migrationsartikel!F247&amp;" "&amp;Migrationsartikel!G247&amp;" "&amp;Migrationsartikel!H247</f>
        <v xml:space="preserve">Bananen Chiquita Offen  </v>
      </c>
      <c r="S249" t="str">
        <f>Migrationsartikel!J247&amp;" "&amp;Migrationsartikel!K247&amp;" "&amp;Migrationsartikel!L247</f>
        <v xml:space="preserve">Bananes Chiquita En vrac </v>
      </c>
      <c r="T249" t="str">
        <f>Migrationsartikel!N247&amp;" "&amp;Migrationsartikel!O247&amp;" "&amp;Migrationsartikel!P247</f>
        <v xml:space="preserve">Banane Chiquita vendita sfusa </v>
      </c>
      <c r="U249" t="str">
        <f>Migrationsartikel!F247</f>
        <v>Bananen Chiquita Offen</v>
      </c>
      <c r="V249" t="str">
        <f>Migrationsartikel!J247</f>
        <v>Bananes Chiquita</v>
      </c>
      <c r="W249" t="str">
        <f>Migrationsartikel!N247</f>
        <v>Banane Chiquita</v>
      </c>
      <c r="X249">
        <f>Migrationsartikel!G247</f>
        <v>0</v>
      </c>
      <c r="Y249" t="str">
        <f>Migrationsartikel!K247</f>
        <v>En vrac</v>
      </c>
      <c r="Z249" t="str">
        <f>Migrationsartikel!O247</f>
        <v>vendita sfusa</v>
      </c>
      <c r="AA249" s="31">
        <f>Migrationsartikel!H247</f>
        <v>0</v>
      </c>
      <c r="AB249" s="31">
        <f>Migrationsartikel!L247</f>
        <v>0</v>
      </c>
      <c r="AC249" s="31">
        <f>Migrationsartikel!P247</f>
        <v>0</v>
      </c>
      <c r="AD249" t="str">
        <f>Migrationsartikel!I247</f>
        <v>Bananen Chiquita Offen</v>
      </c>
      <c r="AE249" t="str">
        <f>Migrationsartikel!M247</f>
        <v>Bananes Chiquita en vrac</v>
      </c>
      <c r="AF249" t="str">
        <f>Migrationsartikel!Q247</f>
        <v>Banane Chiquita v. sfusa</v>
      </c>
      <c r="AG249" s="45">
        <f>Migrationsartikel!R247</f>
        <v>1</v>
      </c>
      <c r="AH249" s="46" t="str">
        <f>Migrationsartikel!T247</f>
        <v>Kilogramm</v>
      </c>
      <c r="AI249" s="46" t="str">
        <f t="shared" si="9"/>
        <v>3</v>
      </c>
      <c r="AJ249" s="46" t="s">
        <v>176</v>
      </c>
      <c r="AK249">
        <f>Migrationsartikel!S247</f>
        <v>1</v>
      </c>
      <c r="AL249">
        <f>Migrationsartikel!S247</f>
        <v>1</v>
      </c>
      <c r="AM249">
        <f>Migrationsartikel!S247</f>
        <v>1</v>
      </c>
      <c r="AN249" t="str">
        <f>Migrationsartikel!U247</f>
        <v>(KGM) KG</v>
      </c>
      <c r="AO249" t="str">
        <f t="shared" si="10"/>
        <v>(KGM) Kg</v>
      </c>
      <c r="AP249" t="str">
        <f t="shared" si="11"/>
        <v>(KGM) KG</v>
      </c>
      <c r="AQ249" s="31" t="s">
        <v>195</v>
      </c>
      <c r="AR249" s="47"/>
      <c r="AS249" s="47"/>
      <c r="AT249" s="31" t="s">
        <v>208</v>
      </c>
      <c r="AU249" s="47"/>
      <c r="AV249" s="47"/>
      <c r="AW249" t="str">
        <f>IF(Migrationsartikel!AB247="ja","true",FALSE)</f>
        <v>true</v>
      </c>
      <c r="AX249" t="str">
        <f>IF(Migrationsartikel!AC247="ja","true",FALSE)</f>
        <v>true</v>
      </c>
      <c r="AY249" t="str">
        <f>IF(Migrationsartikel!AD247="ja","true",FALSE)</f>
        <v>true</v>
      </c>
      <c r="AZ249" t="str">
        <f>IF(Migrationsartikel!AE247="ja","true",FALSE)</f>
        <v>true</v>
      </c>
      <c r="BA249" t="str">
        <f>IF(Migrationsartikel!AF247="ja","Denner Partner","")</f>
        <v/>
      </c>
      <c r="BB249" t="str">
        <f>IF(Migrationsartikel!AG247="ja","true","false")</f>
        <v>false</v>
      </c>
      <c r="BC249" t="s">
        <v>1923</v>
      </c>
      <c r="BD249" s="31" t="s">
        <v>235</v>
      </c>
      <c r="BE249" s="31" t="s">
        <v>233</v>
      </c>
    </row>
    <row r="250" spans="2:57" ht="21.75" customHeight="1" x14ac:dyDescent="0.45">
      <c r="B250" t="s">
        <v>115</v>
      </c>
      <c r="E250" s="31" t="s">
        <v>1676</v>
      </c>
      <c r="F250" t="str">
        <f>"Warengruppe&gt;&gt;"&amp;Migrationsartikel!V248&amp;"&gt;&gt;"&amp;Migrationsartikel!W248&amp;"&gt;&gt;"&amp;Migrationsartikel!X248</f>
        <v>Warengruppe&gt;&gt;Früchte und Gemüse&gt;&gt;Früchte und Gemüse&gt;&gt;Früchte</v>
      </c>
      <c r="J250" s="31" t="s">
        <v>125</v>
      </c>
      <c r="M250" s="31" t="s">
        <v>137</v>
      </c>
      <c r="P250" s="31">
        <f>Migrationsartikel!B248</f>
        <v>129</v>
      </c>
      <c r="R250" t="str">
        <f>Migrationsartikel!F248&amp;" "&amp;Migrationsartikel!G248&amp;" "&amp;Migrationsartikel!H248</f>
        <v xml:space="preserve">Bio Clementinen Offen </v>
      </c>
      <c r="S250" t="str">
        <f>Migrationsartikel!J248&amp;" "&amp;Migrationsartikel!K248&amp;" "&amp;Migrationsartikel!L248</f>
        <v xml:space="preserve">Bio Clémentines En vrac </v>
      </c>
      <c r="T250" t="str">
        <f>Migrationsartikel!N248&amp;" "&amp;Migrationsartikel!O248&amp;" "&amp;Migrationsartikel!P248</f>
        <v xml:space="preserve">Bio Clementine vendita sfusa </v>
      </c>
      <c r="U250" t="str">
        <f>Migrationsartikel!F248</f>
        <v>Bio Clementinen</v>
      </c>
      <c r="V250" t="str">
        <f>Migrationsartikel!J248</f>
        <v>Bio Clémentines</v>
      </c>
      <c r="W250" t="str">
        <f>Migrationsartikel!N248</f>
        <v>Bio Clementine</v>
      </c>
      <c r="X250" t="str">
        <f>Migrationsartikel!G248</f>
        <v>Offen</v>
      </c>
      <c r="Y250" t="str">
        <f>Migrationsartikel!K248</f>
        <v>En vrac</v>
      </c>
      <c r="Z250" t="str">
        <f>Migrationsartikel!O248</f>
        <v>vendita sfusa</v>
      </c>
      <c r="AA250" s="31">
        <f>Migrationsartikel!H248</f>
        <v>0</v>
      </c>
      <c r="AB250" s="31">
        <f>Migrationsartikel!L248</f>
        <v>0</v>
      </c>
      <c r="AC250" s="31">
        <f>Migrationsartikel!P248</f>
        <v>0</v>
      </c>
      <c r="AD250" t="str">
        <f>Migrationsartikel!I248</f>
        <v>Bio Clementinen Offen</v>
      </c>
      <c r="AE250" t="str">
        <f>Migrationsartikel!M248</f>
        <v>Bio Clémentines en vrac</v>
      </c>
      <c r="AF250" t="str">
        <f>Migrationsartikel!Q248</f>
        <v>Bio Clementine vendita sfusa</v>
      </c>
      <c r="AG250" s="45">
        <f>Migrationsartikel!R248</f>
        <v>1</v>
      </c>
      <c r="AH250" s="46" t="str">
        <f>Migrationsartikel!T248</f>
        <v>Kilogramm</v>
      </c>
      <c r="AI250" s="46" t="str">
        <f t="shared" si="9"/>
        <v>3</v>
      </c>
      <c r="AJ250" s="46" t="s">
        <v>176</v>
      </c>
      <c r="AK250">
        <f>Migrationsartikel!S248</f>
        <v>1</v>
      </c>
      <c r="AL250">
        <f>Migrationsartikel!S248</f>
        <v>1</v>
      </c>
      <c r="AM250">
        <f>Migrationsartikel!S248</f>
        <v>1</v>
      </c>
      <c r="AN250" t="str">
        <f>Migrationsartikel!U248</f>
        <v>(KGM) KG</v>
      </c>
      <c r="AO250" t="str">
        <f t="shared" si="10"/>
        <v>(KGM) Kg</v>
      </c>
      <c r="AP250" t="str">
        <f t="shared" si="11"/>
        <v>(KGM) KG</v>
      </c>
      <c r="AQ250" s="31" t="s">
        <v>195</v>
      </c>
      <c r="AR250" s="47"/>
      <c r="AS250" s="47"/>
      <c r="AT250" s="31" t="s">
        <v>208</v>
      </c>
      <c r="AU250" s="47"/>
      <c r="AV250" s="47"/>
      <c r="AW250" t="str">
        <f>IF(Migrationsartikel!AB248="ja","true",FALSE)</f>
        <v>true</v>
      </c>
      <c r="AX250" t="str">
        <f>IF(Migrationsartikel!AC248="ja","true",FALSE)</f>
        <v>true</v>
      </c>
      <c r="AY250" t="str">
        <f>IF(Migrationsartikel!AD248="ja","true",FALSE)</f>
        <v>true</v>
      </c>
      <c r="AZ250" t="str">
        <f>IF(Migrationsartikel!AE248="ja","true",FALSE)</f>
        <v>true</v>
      </c>
      <c r="BA250" t="str">
        <f>IF(Migrationsartikel!AF248="ja","Denner Partner","")</f>
        <v/>
      </c>
      <c r="BB250" t="str">
        <f>IF(Migrationsartikel!AG248="ja","true","false")</f>
        <v>false</v>
      </c>
      <c r="BC250" t="s">
        <v>1923</v>
      </c>
      <c r="BD250" s="31" t="s">
        <v>235</v>
      </c>
      <c r="BE250" s="31" t="s">
        <v>233</v>
      </c>
    </row>
    <row r="251" spans="2:57" ht="21.75" customHeight="1" x14ac:dyDescent="0.45">
      <c r="B251" t="s">
        <v>115</v>
      </c>
      <c r="E251" s="31" t="s">
        <v>1677</v>
      </c>
      <c r="F251" t="str">
        <f>"Warengruppe&gt;&gt;"&amp;Migrationsartikel!V249&amp;"&gt;&gt;"&amp;Migrationsartikel!W249&amp;"&gt;&gt;"&amp;Migrationsartikel!X249</f>
        <v>Warengruppe&gt;&gt;Früchte und Gemüse&gt;&gt;Früchte und Gemüse&gt;&gt;Früchte</v>
      </c>
      <c r="J251" s="31" t="s">
        <v>125</v>
      </c>
      <c r="M251" s="31" t="s">
        <v>137</v>
      </c>
      <c r="P251" s="31">
        <f>Migrationsartikel!B249</f>
        <v>131</v>
      </c>
      <c r="R251" t="str">
        <f>Migrationsartikel!F249&amp;" "&amp;Migrationsartikel!G249&amp;" "&amp;Migrationsartikel!H249</f>
        <v xml:space="preserve">Clementinen mit Blatt Offen </v>
      </c>
      <c r="S251" t="str">
        <f>Migrationsartikel!J249&amp;" "&amp;Migrationsartikel!K249&amp;" "&amp;Migrationsartikel!L249</f>
        <v xml:space="preserve">Clémentines + feuilles En vrac </v>
      </c>
      <c r="T251" t="str">
        <f>Migrationsartikel!N249&amp;" "&amp;Migrationsartikel!O249&amp;" "&amp;Migrationsartikel!P249</f>
        <v xml:space="preserve">Clementine con foglia vendita sfusa </v>
      </c>
      <c r="U251" t="str">
        <f>Migrationsartikel!F249</f>
        <v>Clementinen mit Blatt</v>
      </c>
      <c r="V251" t="str">
        <f>Migrationsartikel!J249</f>
        <v>Clémentines + feuilles</v>
      </c>
      <c r="W251" t="str">
        <f>Migrationsartikel!N249</f>
        <v>Clementine con foglia</v>
      </c>
      <c r="X251" t="str">
        <f>Migrationsartikel!G249</f>
        <v>Offen</v>
      </c>
      <c r="Y251" t="str">
        <f>Migrationsartikel!K249</f>
        <v>En vrac</v>
      </c>
      <c r="Z251" t="str">
        <f>Migrationsartikel!O249</f>
        <v>vendita sfusa</v>
      </c>
      <c r="AA251" s="31">
        <f>Migrationsartikel!H249</f>
        <v>0</v>
      </c>
      <c r="AB251" s="31">
        <f>Migrationsartikel!L249</f>
        <v>0</v>
      </c>
      <c r="AC251" s="31">
        <f>Migrationsartikel!P249</f>
        <v>0</v>
      </c>
      <c r="AD251" t="str">
        <f>Migrationsartikel!I249</f>
        <v>Clementinen mit Blatt Offen</v>
      </c>
      <c r="AE251" t="str">
        <f>Migrationsartikel!M249</f>
        <v>Clémentines feuilles en vrac</v>
      </c>
      <c r="AF251" t="str">
        <f>Migrationsartikel!Q249</f>
        <v>Clementine con foglia v.s.</v>
      </c>
      <c r="AG251" s="45">
        <f>Migrationsartikel!R249</f>
        <v>1</v>
      </c>
      <c r="AH251" s="46" t="str">
        <f>Migrationsartikel!T249</f>
        <v>Kilogramm</v>
      </c>
      <c r="AI251" s="46" t="str">
        <f t="shared" si="9"/>
        <v>3</v>
      </c>
      <c r="AJ251" s="46" t="s">
        <v>176</v>
      </c>
      <c r="AK251">
        <f>Migrationsartikel!S249</f>
        <v>1</v>
      </c>
      <c r="AL251">
        <f>Migrationsartikel!S249</f>
        <v>1</v>
      </c>
      <c r="AM251">
        <f>Migrationsartikel!S249</f>
        <v>1</v>
      </c>
      <c r="AN251" t="str">
        <f>Migrationsartikel!U249</f>
        <v>(KGM) KG</v>
      </c>
      <c r="AO251" t="str">
        <f t="shared" si="10"/>
        <v>(KGM) Kg</v>
      </c>
      <c r="AP251" t="str">
        <f t="shared" si="11"/>
        <v>(KGM) KG</v>
      </c>
      <c r="AQ251" s="31" t="s">
        <v>195</v>
      </c>
      <c r="AR251" s="47"/>
      <c r="AS251" s="47"/>
      <c r="AT251" s="31" t="s">
        <v>208</v>
      </c>
      <c r="AU251" s="47"/>
      <c r="AV251" s="47"/>
      <c r="AW251" t="str">
        <f>IF(Migrationsartikel!AB249="ja","true",FALSE)</f>
        <v>true</v>
      </c>
      <c r="AX251" t="str">
        <f>IF(Migrationsartikel!AC249="ja","true",FALSE)</f>
        <v>true</v>
      </c>
      <c r="AY251" t="str">
        <f>IF(Migrationsartikel!AD249="ja","true",FALSE)</f>
        <v>true</v>
      </c>
      <c r="AZ251" t="str">
        <f>IF(Migrationsartikel!AE249="ja","true",FALSE)</f>
        <v>true</v>
      </c>
      <c r="BA251" t="str">
        <f>IF(Migrationsartikel!AF249="ja","Denner Partner","")</f>
        <v/>
      </c>
      <c r="BB251" t="str">
        <f>IF(Migrationsartikel!AG249="ja","true","false")</f>
        <v>false</v>
      </c>
      <c r="BC251" t="s">
        <v>1923</v>
      </c>
      <c r="BD251" s="31" t="s">
        <v>235</v>
      </c>
      <c r="BE251" s="31" t="s">
        <v>233</v>
      </c>
    </row>
    <row r="252" spans="2:57" ht="21.75" customHeight="1" x14ac:dyDescent="0.45">
      <c r="B252" t="s">
        <v>115</v>
      </c>
      <c r="E252" s="31" t="s">
        <v>1678</v>
      </c>
      <c r="F252" t="str">
        <f>"Warengruppe&gt;&gt;"&amp;Migrationsartikel!V250&amp;"&gt;&gt;"&amp;Migrationsartikel!W250&amp;"&gt;&gt;"&amp;Migrationsartikel!X250</f>
        <v>Warengruppe&gt;&gt;Früchte und Gemüse&gt;&gt;Früchte und Gemüse&gt;&gt;Früchte</v>
      </c>
      <c r="J252" s="31" t="s">
        <v>125</v>
      </c>
      <c r="M252" s="31" t="s">
        <v>137</v>
      </c>
      <c r="P252" s="31">
        <f>Migrationsartikel!B250</f>
        <v>132</v>
      </c>
      <c r="R252" t="str">
        <f>Migrationsartikel!F250&amp;" "&amp;Migrationsartikel!G250&amp;" "&amp;Migrationsartikel!H250</f>
        <v xml:space="preserve">Clementinen Rotkehlchen Offen </v>
      </c>
      <c r="S252" t="str">
        <f>Migrationsartikel!J250&amp;" "&amp;Migrationsartikel!K250&amp;" "&amp;Migrationsartikel!L250</f>
        <v xml:space="preserve">Clémentines Rotkehlchen En vrac </v>
      </c>
      <c r="T252" t="str">
        <f>Migrationsartikel!N250&amp;" "&amp;Migrationsartikel!O250&amp;" "&amp;Migrationsartikel!P250</f>
        <v xml:space="preserve">Clementine Rotkehlchen vendita sfusa </v>
      </c>
      <c r="U252" t="str">
        <f>Migrationsartikel!F250</f>
        <v>Clementinen</v>
      </c>
      <c r="V252" t="str">
        <f>Migrationsartikel!J250</f>
        <v>Clémentines Rotkehlchen</v>
      </c>
      <c r="W252" t="str">
        <f>Migrationsartikel!N250</f>
        <v>Clementine Rotkehlchen</v>
      </c>
      <c r="X252" t="str">
        <f>Migrationsartikel!G250</f>
        <v>Rotkehlchen Offen</v>
      </c>
      <c r="Y252" t="str">
        <f>Migrationsartikel!K250</f>
        <v>En vrac</v>
      </c>
      <c r="Z252" t="str">
        <f>Migrationsartikel!O250</f>
        <v>vendita sfusa</v>
      </c>
      <c r="AA252" s="31">
        <f>Migrationsartikel!H250</f>
        <v>0</v>
      </c>
      <c r="AB252" s="31">
        <f>Migrationsartikel!L250</f>
        <v>0</v>
      </c>
      <c r="AC252" s="31">
        <f>Migrationsartikel!P250</f>
        <v>0</v>
      </c>
      <c r="AD252" t="str">
        <f>Migrationsartikel!I250</f>
        <v>Clementinen Rothehlchen Off.</v>
      </c>
      <c r="AE252" t="str">
        <f>Migrationsartikel!M250</f>
        <v>Clémentines Rotkehl en vrac</v>
      </c>
      <c r="AF252" t="str">
        <f>Migrationsartikel!Q250</f>
        <v>Clementine Rotk. v. sfusa</v>
      </c>
      <c r="AG252" s="45">
        <f>Migrationsartikel!R250</f>
        <v>1</v>
      </c>
      <c r="AH252" s="46" t="str">
        <f>Migrationsartikel!T250</f>
        <v>Kilogramm</v>
      </c>
      <c r="AI252" s="46" t="str">
        <f t="shared" si="9"/>
        <v>3</v>
      </c>
      <c r="AJ252" s="46" t="s">
        <v>176</v>
      </c>
      <c r="AK252">
        <f>Migrationsartikel!S250</f>
        <v>1</v>
      </c>
      <c r="AL252">
        <f>Migrationsartikel!S250</f>
        <v>1</v>
      </c>
      <c r="AM252">
        <f>Migrationsartikel!S250</f>
        <v>1</v>
      </c>
      <c r="AN252" t="str">
        <f>Migrationsartikel!U250</f>
        <v>(KGM) KG</v>
      </c>
      <c r="AO252" t="str">
        <f t="shared" si="10"/>
        <v>(KGM) Kg</v>
      </c>
      <c r="AP252" t="str">
        <f t="shared" si="11"/>
        <v>(KGM) KG</v>
      </c>
      <c r="AQ252" s="31" t="s">
        <v>195</v>
      </c>
      <c r="AR252" s="47"/>
      <c r="AS252" s="47"/>
      <c r="AT252" s="31" t="s">
        <v>208</v>
      </c>
      <c r="AU252" s="47"/>
      <c r="AV252" s="47"/>
      <c r="AW252" t="str">
        <f>IF(Migrationsartikel!AB250="ja","true",FALSE)</f>
        <v>true</v>
      </c>
      <c r="AX252" t="str">
        <f>IF(Migrationsartikel!AC250="ja","true",FALSE)</f>
        <v>true</v>
      </c>
      <c r="AY252" t="str">
        <f>IF(Migrationsartikel!AD250="ja","true",FALSE)</f>
        <v>true</v>
      </c>
      <c r="AZ252" t="str">
        <f>IF(Migrationsartikel!AE250="ja","true",FALSE)</f>
        <v>true</v>
      </c>
      <c r="BA252" t="str">
        <f>IF(Migrationsartikel!AF250="ja","Denner Partner","")</f>
        <v/>
      </c>
      <c r="BB252" t="str">
        <f>IF(Migrationsartikel!AG250="ja","true","false")</f>
        <v>false</v>
      </c>
      <c r="BC252" t="s">
        <v>1923</v>
      </c>
      <c r="BD252" s="31" t="s">
        <v>235</v>
      </c>
      <c r="BE252" s="31" t="s">
        <v>233</v>
      </c>
    </row>
    <row r="253" spans="2:57" ht="21.75" customHeight="1" x14ac:dyDescent="0.45">
      <c r="B253" t="s">
        <v>115</v>
      </c>
      <c r="E253" s="31" t="s">
        <v>1679</v>
      </c>
      <c r="F253" t="str">
        <f>"Warengruppe&gt;&gt;"&amp;Migrationsartikel!V251&amp;"&gt;&gt;"&amp;Migrationsartikel!W251&amp;"&gt;&gt;"&amp;Migrationsartikel!X251</f>
        <v>Warengruppe&gt;&gt;Früchte und Gemüse&gt;&gt;Früchte und Gemüse&gt;&gt;Früchte</v>
      </c>
      <c r="J253" s="31" t="s">
        <v>125</v>
      </c>
      <c r="M253" s="31" t="s">
        <v>137</v>
      </c>
      <c r="P253" s="31">
        <f>Migrationsartikel!B251</f>
        <v>130</v>
      </c>
      <c r="R253" t="str">
        <f>Migrationsartikel!F251&amp;" "&amp;Migrationsartikel!G251&amp;" "&amp;Migrationsartikel!H251</f>
        <v xml:space="preserve">Clementinen/Mandarinen Offen  </v>
      </c>
      <c r="S253" t="str">
        <f>Migrationsartikel!J251&amp;" "&amp;Migrationsartikel!K251&amp;" "&amp;Migrationsartikel!L251</f>
        <v xml:space="preserve">Clémentines/Mandarines En vrac </v>
      </c>
      <c r="T253" t="str">
        <f>Migrationsartikel!N251&amp;" "&amp;Migrationsartikel!O251&amp;" "&amp;Migrationsartikel!P251</f>
        <v xml:space="preserve">Clementine/mandarini vendita sfusa </v>
      </c>
      <c r="U253" t="str">
        <f>Migrationsartikel!F251</f>
        <v>Clementinen/Mandarinen Offen</v>
      </c>
      <c r="V253" t="str">
        <f>Migrationsartikel!J251</f>
        <v>Clémentines/Mandarines</v>
      </c>
      <c r="W253" t="str">
        <f>Migrationsartikel!N251</f>
        <v>Clementine/mandarini</v>
      </c>
      <c r="X253">
        <f>Migrationsartikel!G251</f>
        <v>0</v>
      </c>
      <c r="Y253" t="str">
        <f>Migrationsartikel!K251</f>
        <v>En vrac</v>
      </c>
      <c r="Z253" t="str">
        <f>Migrationsartikel!O251</f>
        <v>vendita sfusa</v>
      </c>
      <c r="AA253" s="31">
        <f>Migrationsartikel!H251</f>
        <v>0</v>
      </c>
      <c r="AB253" s="31">
        <f>Migrationsartikel!L251</f>
        <v>0</v>
      </c>
      <c r="AC253" s="31">
        <f>Migrationsartikel!P251</f>
        <v>0</v>
      </c>
      <c r="AD253" t="str">
        <f>Migrationsartikel!I251</f>
        <v>Clementeinen/Mandarinen Offen</v>
      </c>
      <c r="AE253" t="str">
        <f>Migrationsartikel!M251</f>
        <v>Clément/Mandarines en vrac</v>
      </c>
      <c r="AF253" t="str">
        <f>Migrationsartikel!Q251</f>
        <v>Clementine/mandarini v.s.</v>
      </c>
      <c r="AG253" s="45">
        <f>Migrationsartikel!R251</f>
        <v>1</v>
      </c>
      <c r="AH253" s="46" t="str">
        <f>Migrationsartikel!T251</f>
        <v>Kilogramm</v>
      </c>
      <c r="AI253" s="46" t="str">
        <f t="shared" si="9"/>
        <v>3</v>
      </c>
      <c r="AJ253" s="46" t="s">
        <v>176</v>
      </c>
      <c r="AK253">
        <f>Migrationsartikel!S251</f>
        <v>1</v>
      </c>
      <c r="AL253">
        <f>Migrationsartikel!S251</f>
        <v>1</v>
      </c>
      <c r="AM253">
        <f>Migrationsartikel!S251</f>
        <v>1</v>
      </c>
      <c r="AN253" t="str">
        <f>Migrationsartikel!U251</f>
        <v>(KGM) KG</v>
      </c>
      <c r="AO253" t="str">
        <f t="shared" si="10"/>
        <v>(KGM) Kg</v>
      </c>
      <c r="AP253" t="str">
        <f t="shared" si="11"/>
        <v>(KGM) KG</v>
      </c>
      <c r="AQ253" s="31" t="s">
        <v>195</v>
      </c>
      <c r="AR253" s="47"/>
      <c r="AS253" s="47"/>
      <c r="AT253" s="31" t="s">
        <v>208</v>
      </c>
      <c r="AU253" s="47"/>
      <c r="AV253" s="47"/>
      <c r="AW253" t="str">
        <f>IF(Migrationsartikel!AB251="ja","true",FALSE)</f>
        <v>true</v>
      </c>
      <c r="AX253" t="str">
        <f>IF(Migrationsartikel!AC251="ja","true",FALSE)</f>
        <v>true</v>
      </c>
      <c r="AY253" t="str">
        <f>IF(Migrationsartikel!AD251="ja","true",FALSE)</f>
        <v>true</v>
      </c>
      <c r="AZ253" t="str">
        <f>IF(Migrationsartikel!AE251="ja","true",FALSE)</f>
        <v>true</v>
      </c>
      <c r="BA253" t="str">
        <f>IF(Migrationsartikel!AF251="ja","Denner Partner","")</f>
        <v/>
      </c>
      <c r="BB253" t="str">
        <f>IF(Migrationsartikel!AG251="ja","true","false")</f>
        <v>false</v>
      </c>
      <c r="BC253" t="s">
        <v>1923</v>
      </c>
      <c r="BD253" s="31" t="s">
        <v>235</v>
      </c>
      <c r="BE253" s="31" t="s">
        <v>233</v>
      </c>
    </row>
    <row r="254" spans="2:57" ht="21.75" customHeight="1" x14ac:dyDescent="0.45">
      <c r="B254" t="s">
        <v>115</v>
      </c>
      <c r="E254" s="31" t="s">
        <v>1680</v>
      </c>
      <c r="F254" t="str">
        <f>"Warengruppe&gt;&gt;"&amp;Migrationsartikel!V252&amp;"&gt;&gt;"&amp;Migrationsartikel!W252&amp;"&gt;&gt;"&amp;Migrationsartikel!X252</f>
        <v>Warengruppe&gt;&gt;Früchte und Gemüse&gt;&gt;Früchte und Gemüse&gt;&gt;Früchte</v>
      </c>
      <c r="J254" s="31" t="s">
        <v>125</v>
      </c>
      <c r="M254" s="31" t="s">
        <v>137</v>
      </c>
      <c r="P254" s="31">
        <f>Migrationsartikel!B252</f>
        <v>103</v>
      </c>
      <c r="R254" t="str">
        <f>Migrationsartikel!F252&amp;" "&amp;Migrationsartikel!G252&amp;" "&amp;Migrationsartikel!H252</f>
        <v xml:space="preserve">Äpfel Cox Orange Offen Kl. 1 </v>
      </c>
      <c r="S254" t="str">
        <f>Migrationsartikel!J252&amp;" "&amp;Migrationsartikel!K252&amp;" "&amp;Migrationsartikel!L252</f>
        <v xml:space="preserve">Pommes Cox Orange En vrac, cl. 1 </v>
      </c>
      <c r="T254" t="str">
        <f>Migrationsartikel!N252&amp;" "&amp;Migrationsartikel!O252&amp;" "&amp;Migrationsartikel!P252</f>
        <v xml:space="preserve">Mele Cox Orange Cl. 1 vendita sfusa </v>
      </c>
      <c r="U254" t="str">
        <f>Migrationsartikel!F252</f>
        <v>Äpfel Cox Orange</v>
      </c>
      <c r="V254" t="str">
        <f>Migrationsartikel!J252</f>
        <v>Pommes Cox Orange</v>
      </c>
      <c r="W254" t="str">
        <f>Migrationsartikel!N252</f>
        <v>Mele Cox Orange</v>
      </c>
      <c r="X254" t="str">
        <f>Migrationsartikel!G252</f>
        <v>Offen Kl. 1</v>
      </c>
      <c r="Y254" t="str">
        <f>Migrationsartikel!K252</f>
        <v>En vrac, cl. 1</v>
      </c>
      <c r="Z254" t="str">
        <f>Migrationsartikel!O252</f>
        <v>Cl. 1 vendita sfusa</v>
      </c>
      <c r="AA254" s="31">
        <f>Migrationsartikel!H252</f>
        <v>0</v>
      </c>
      <c r="AB254" s="31">
        <f>Migrationsartikel!L252</f>
        <v>0</v>
      </c>
      <c r="AC254" s="31">
        <f>Migrationsartikel!P252</f>
        <v>0</v>
      </c>
      <c r="AD254" t="str">
        <f>Migrationsartikel!I252</f>
        <v>Äpfel Cox Orange Offen Kl. 1</v>
      </c>
      <c r="AE254" t="str">
        <f>Migrationsartikel!M252</f>
        <v>Pommes Cox Orange cl.1 en v.</v>
      </c>
      <c r="AF254" t="str">
        <f>Migrationsartikel!Q252</f>
        <v>Mele Cox Orange cl. 1 v.s.</v>
      </c>
      <c r="AG254" s="45">
        <f>Migrationsartikel!R252</f>
        <v>1</v>
      </c>
      <c r="AH254" s="46" t="str">
        <f>Migrationsartikel!T252</f>
        <v>Kilogramm</v>
      </c>
      <c r="AI254" s="46" t="str">
        <f t="shared" si="9"/>
        <v>3</v>
      </c>
      <c r="AJ254" s="46" t="s">
        <v>176</v>
      </c>
      <c r="AK254">
        <f>Migrationsartikel!S252</f>
        <v>1</v>
      </c>
      <c r="AL254">
        <f>Migrationsartikel!S252</f>
        <v>1</v>
      </c>
      <c r="AM254">
        <f>Migrationsartikel!S252</f>
        <v>1</v>
      </c>
      <c r="AN254" t="str">
        <f>Migrationsartikel!U252</f>
        <v>(KGM) KG</v>
      </c>
      <c r="AO254" t="str">
        <f t="shared" si="10"/>
        <v>(KGM) Kg</v>
      </c>
      <c r="AP254" t="str">
        <f t="shared" si="11"/>
        <v>(KGM) KG</v>
      </c>
      <c r="AQ254" s="31" t="s">
        <v>195</v>
      </c>
      <c r="AR254" s="47"/>
      <c r="AS254" s="47"/>
      <c r="AT254" s="31" t="s">
        <v>208</v>
      </c>
      <c r="AU254" s="47"/>
      <c r="AV254" s="47"/>
      <c r="AW254" t="str">
        <f>IF(Migrationsartikel!AB252="ja","true",FALSE)</f>
        <v>true</v>
      </c>
      <c r="AX254" t="str">
        <f>IF(Migrationsartikel!AC252="ja","true",FALSE)</f>
        <v>true</v>
      </c>
      <c r="AY254" t="str">
        <f>IF(Migrationsartikel!AD252="ja","true",FALSE)</f>
        <v>true</v>
      </c>
      <c r="AZ254" t="str">
        <f>IF(Migrationsartikel!AE252="ja","true",FALSE)</f>
        <v>true</v>
      </c>
      <c r="BA254" t="str">
        <f>IF(Migrationsartikel!AF252="ja","Denner Partner","")</f>
        <v/>
      </c>
      <c r="BB254" t="str">
        <f>IF(Migrationsartikel!AG252="ja","true","false")</f>
        <v>false</v>
      </c>
      <c r="BC254" t="s">
        <v>1923</v>
      </c>
      <c r="BD254" s="31" t="s">
        <v>235</v>
      </c>
      <c r="BE254" s="31" t="s">
        <v>233</v>
      </c>
    </row>
    <row r="255" spans="2:57" ht="21.75" customHeight="1" x14ac:dyDescent="0.45">
      <c r="B255" t="s">
        <v>115</v>
      </c>
      <c r="E255" s="31" t="s">
        <v>1681</v>
      </c>
      <c r="F255" t="str">
        <f>"Warengruppe&gt;&gt;"&amp;Migrationsartikel!V253&amp;"&gt;&gt;"&amp;Migrationsartikel!W253&amp;"&gt;&gt;"&amp;Migrationsartikel!X253</f>
        <v>Warengruppe&gt;&gt;Früchte und Gemüse&gt;&gt;Früchte und Gemüse&gt;&gt;Früchte</v>
      </c>
      <c r="J255" s="31" t="s">
        <v>125</v>
      </c>
      <c r="M255" s="31" t="s">
        <v>137</v>
      </c>
      <c r="P255" s="31">
        <f>Migrationsartikel!B253</f>
        <v>0</v>
      </c>
      <c r="R255" t="str">
        <f>Migrationsartikel!F253&amp;" "&amp;Migrationsartikel!G253&amp;" "&amp;Migrationsartikel!H253</f>
        <v xml:space="preserve">Äpfel Cox Orange Kl. 1 gepackt </v>
      </c>
      <c r="S255" t="str">
        <f>Migrationsartikel!J253&amp;" "&amp;Migrationsartikel!K253&amp;" "&amp;Migrationsartikel!L253</f>
        <v xml:space="preserve">Pommes Cox Orange Cl. 1 emballé </v>
      </c>
      <c r="T255" t="str">
        <f>Migrationsartikel!N253&amp;" "&amp;Migrationsartikel!O253&amp;" "&amp;Migrationsartikel!P253</f>
        <v xml:space="preserve">Mele Cox Orange Cl. 1 confezionato </v>
      </c>
      <c r="U255" t="str">
        <f>Migrationsartikel!F253</f>
        <v>Äpfel Cox Orange</v>
      </c>
      <c r="V255" t="str">
        <f>Migrationsartikel!J253</f>
        <v>Pommes Cox Orange</v>
      </c>
      <c r="W255" t="str">
        <f>Migrationsartikel!N253</f>
        <v>Mele Cox Orange</v>
      </c>
      <c r="X255" t="str">
        <f>Migrationsartikel!G253</f>
        <v>Kl. 1 gepackt</v>
      </c>
      <c r="Y255" t="str">
        <f>Migrationsartikel!K253</f>
        <v>Cl. 1 emballé</v>
      </c>
      <c r="Z255" t="str">
        <f>Migrationsartikel!O253</f>
        <v>Cl. 1 confezionato</v>
      </c>
      <c r="AA255" s="31">
        <f>Migrationsartikel!H253</f>
        <v>0</v>
      </c>
      <c r="AB255" s="31">
        <f>Migrationsartikel!L253</f>
        <v>0</v>
      </c>
      <c r="AC255" s="31">
        <f>Migrationsartikel!P253</f>
        <v>0</v>
      </c>
      <c r="AD255" t="str">
        <f>Migrationsartikel!I253</f>
        <v>Äpfel Cox Orange Kl. 1 gep.</v>
      </c>
      <c r="AE255" t="str">
        <f>Migrationsartikel!M253</f>
        <v>Pommes Cox Orange cl.1 emb.</v>
      </c>
      <c r="AF255" t="str">
        <f>Migrationsartikel!Q253</f>
        <v>Mele Cox Orange cl. 1 confez</v>
      </c>
      <c r="AG255" s="45">
        <f>Migrationsartikel!R253</f>
        <v>1</v>
      </c>
      <c r="AH255" s="46" t="str">
        <f>Migrationsartikel!T253</f>
        <v>Kilogramm</v>
      </c>
      <c r="AI255" s="46" t="str">
        <f t="shared" si="9"/>
        <v>3</v>
      </c>
      <c r="AJ255" s="46" t="s">
        <v>176</v>
      </c>
      <c r="AK255">
        <f>Migrationsartikel!S253</f>
        <v>1</v>
      </c>
      <c r="AL255">
        <f>Migrationsartikel!S253</f>
        <v>1</v>
      </c>
      <c r="AM255">
        <f>Migrationsartikel!S253</f>
        <v>1</v>
      </c>
      <c r="AN255" t="str">
        <f>Migrationsartikel!U253</f>
        <v>(PCE) Stück</v>
      </c>
      <c r="AO255" t="str">
        <f t="shared" si="10"/>
        <v>(PCE) Pièce</v>
      </c>
      <c r="AP255" t="str">
        <f t="shared" si="11"/>
        <v>(PCE) Pièce</v>
      </c>
      <c r="AQ255" s="31" t="s">
        <v>195</v>
      </c>
      <c r="AR255" s="47"/>
      <c r="AS255" s="47"/>
      <c r="AT255" s="31" t="s">
        <v>208</v>
      </c>
      <c r="AU255" s="47"/>
      <c r="AV255" s="47"/>
      <c r="AW255" t="str">
        <f>IF(Migrationsartikel!AB253="ja","true",FALSE)</f>
        <v>true</v>
      </c>
      <c r="AX255" t="str">
        <f>IF(Migrationsartikel!AC253="ja","true",FALSE)</f>
        <v>true</v>
      </c>
      <c r="AY255" t="str">
        <f>IF(Migrationsartikel!AD253="ja","true",FALSE)</f>
        <v>true</v>
      </c>
      <c r="AZ255" t="str">
        <f>IF(Migrationsartikel!AE253="ja","true",FALSE)</f>
        <v>true</v>
      </c>
      <c r="BA255" t="str">
        <f>IF(Migrationsartikel!AF253="ja","Denner Partner","")</f>
        <v/>
      </c>
      <c r="BB255" t="str">
        <f>IF(Migrationsartikel!AG253="ja","true","false")</f>
        <v>false</v>
      </c>
      <c r="BC255" t="s">
        <v>1923</v>
      </c>
      <c r="BD255" s="31" t="s">
        <v>235</v>
      </c>
      <c r="BE255" s="31" t="s">
        <v>233</v>
      </c>
    </row>
    <row r="256" spans="2:57" ht="21.75" customHeight="1" x14ac:dyDescent="0.45">
      <c r="B256" t="s">
        <v>115</v>
      </c>
      <c r="E256" s="31" t="s">
        <v>1682</v>
      </c>
      <c r="F256" t="str">
        <f>"Warengruppe&gt;&gt;"&amp;Migrationsartikel!V254&amp;"&gt;&gt;"&amp;Migrationsartikel!W254&amp;"&gt;&gt;"&amp;Migrationsartikel!X254</f>
        <v>Warengruppe&gt;&gt;Früchte und Gemüse&gt;&gt;Früchte und Gemüse&gt;&gt;Früchte</v>
      </c>
      <c r="J256" s="31" t="s">
        <v>125</v>
      </c>
      <c r="M256" s="31" t="s">
        <v>137</v>
      </c>
      <c r="P256" s="31">
        <f>Migrationsartikel!B254</f>
        <v>125</v>
      </c>
      <c r="R256" t="str">
        <f>Migrationsartikel!F254&amp;" "&amp;Migrationsartikel!G254&amp;" "&amp;Migrationsartikel!H254</f>
        <v xml:space="preserve">Bananen Denner Offen  </v>
      </c>
      <c r="S256" t="str">
        <f>Migrationsartikel!J254&amp;" "&amp;Migrationsartikel!K254&amp;" "&amp;Migrationsartikel!L254</f>
        <v xml:space="preserve">Bananes Denner en vrac </v>
      </c>
      <c r="T256" t="str">
        <f>Migrationsartikel!N254&amp;" "&amp;Migrationsartikel!O254&amp;" "&amp;Migrationsartikel!P254</f>
        <v xml:space="preserve">Banane Denner vendita sfusa </v>
      </c>
      <c r="U256" t="str">
        <f>Migrationsartikel!F254</f>
        <v>Bananen Denner Offen</v>
      </c>
      <c r="V256" t="str">
        <f>Migrationsartikel!J254</f>
        <v>Bananes Denner</v>
      </c>
      <c r="W256" t="str">
        <f>Migrationsartikel!N254</f>
        <v>Banane Denner</v>
      </c>
      <c r="X256">
        <f>Migrationsartikel!G254</f>
        <v>0</v>
      </c>
      <c r="Y256" t="str">
        <f>Migrationsartikel!K254</f>
        <v>en vrac</v>
      </c>
      <c r="Z256" t="str">
        <f>Migrationsartikel!O254</f>
        <v>vendita sfusa</v>
      </c>
      <c r="AA256" s="31">
        <f>Migrationsartikel!H254</f>
        <v>0</v>
      </c>
      <c r="AB256" s="31">
        <f>Migrationsartikel!L254</f>
        <v>0</v>
      </c>
      <c r="AC256" s="31">
        <f>Migrationsartikel!P254</f>
        <v>0</v>
      </c>
      <c r="AD256" t="str">
        <f>Migrationsartikel!I254</f>
        <v>Bananen Denner Offen</v>
      </c>
      <c r="AE256" t="str">
        <f>Migrationsartikel!M254</f>
        <v>Bananes Denner en vrac</v>
      </c>
      <c r="AF256" t="str">
        <f>Migrationsartikel!Q254</f>
        <v>Banane Denner vendita sfusa</v>
      </c>
      <c r="AG256" s="45">
        <f>Migrationsartikel!R254</f>
        <v>1</v>
      </c>
      <c r="AH256" s="46" t="str">
        <f>Migrationsartikel!T254</f>
        <v>Kilogramm</v>
      </c>
      <c r="AI256" s="46" t="str">
        <f t="shared" si="9"/>
        <v>3</v>
      </c>
      <c r="AJ256" s="46" t="s">
        <v>176</v>
      </c>
      <c r="AK256">
        <f>Migrationsartikel!S254</f>
        <v>1</v>
      </c>
      <c r="AL256">
        <f>Migrationsartikel!S254</f>
        <v>1</v>
      </c>
      <c r="AM256">
        <f>Migrationsartikel!S254</f>
        <v>1</v>
      </c>
      <c r="AN256" t="str">
        <f>Migrationsartikel!U254</f>
        <v>(KGM) KG</v>
      </c>
      <c r="AO256" t="str">
        <f t="shared" si="10"/>
        <v>(KGM) Kg</v>
      </c>
      <c r="AP256" t="str">
        <f t="shared" si="11"/>
        <v>(KGM) KG</v>
      </c>
      <c r="AQ256" s="31" t="s">
        <v>195</v>
      </c>
      <c r="AR256" s="47"/>
      <c r="AS256" s="47"/>
      <c r="AT256" s="31" t="s">
        <v>208</v>
      </c>
      <c r="AU256" s="47"/>
      <c r="AV256" s="47"/>
      <c r="AW256" t="str">
        <f>IF(Migrationsartikel!AB254="ja","true",FALSE)</f>
        <v>true</v>
      </c>
      <c r="AX256" t="str">
        <f>IF(Migrationsartikel!AC254="ja","true",FALSE)</f>
        <v>true</v>
      </c>
      <c r="AY256" t="str">
        <f>IF(Migrationsartikel!AD254="ja","true",FALSE)</f>
        <v>true</v>
      </c>
      <c r="AZ256" t="str">
        <f>IF(Migrationsartikel!AE254="ja","true",FALSE)</f>
        <v>true</v>
      </c>
      <c r="BA256" t="str">
        <f>IF(Migrationsartikel!AF254="ja","Denner Partner","")</f>
        <v/>
      </c>
      <c r="BB256" t="str">
        <f>IF(Migrationsartikel!AG254="ja","true","false")</f>
        <v>false</v>
      </c>
      <c r="BC256" t="s">
        <v>1923</v>
      </c>
      <c r="BD256" s="31" t="s">
        <v>235</v>
      </c>
      <c r="BE256" s="31" t="s">
        <v>233</v>
      </c>
    </row>
    <row r="257" spans="2:57" ht="21.75" customHeight="1" x14ac:dyDescent="0.45">
      <c r="B257" t="s">
        <v>115</v>
      </c>
      <c r="E257" s="31" t="s">
        <v>1683</v>
      </c>
      <c r="F257" t="str">
        <f>"Warengruppe&gt;&gt;"&amp;Migrationsartikel!V255&amp;"&gt;&gt;"&amp;Migrationsartikel!W255&amp;"&gt;&gt;"&amp;Migrationsartikel!X255</f>
        <v>Warengruppe&gt;&gt;Früchte und Gemüse&gt;&gt;Früchte und Gemüse&gt;&gt;Früchte</v>
      </c>
      <c r="J257" s="31" t="s">
        <v>125</v>
      </c>
      <c r="M257" s="31" t="s">
        <v>137</v>
      </c>
      <c r="P257" s="31">
        <f>Migrationsartikel!B255</f>
        <v>105</v>
      </c>
      <c r="R257" t="str">
        <f>Migrationsartikel!F255&amp;" "&amp;Migrationsartikel!G255&amp;" "&amp;Migrationsartikel!H255</f>
        <v xml:space="preserve">Äpfel Elstar Offen Kl. 1 </v>
      </c>
      <c r="S257" t="str">
        <f>Migrationsartikel!J255&amp;" "&amp;Migrationsartikel!K255&amp;" "&amp;Migrationsartikel!L255</f>
        <v xml:space="preserve">Pommes Elstar En vrac, cl. 1 </v>
      </c>
      <c r="T257" t="str">
        <f>Migrationsartikel!N255&amp;" "&amp;Migrationsartikel!O255&amp;" "&amp;Migrationsartikel!P255</f>
        <v xml:space="preserve">Mele Elstar Cl. 1 vendita sfusa </v>
      </c>
      <c r="U257" t="str">
        <f>Migrationsartikel!F255</f>
        <v>Äpfel Elstar</v>
      </c>
      <c r="V257" t="str">
        <f>Migrationsartikel!J255</f>
        <v>Pommes Elstar</v>
      </c>
      <c r="W257" t="str">
        <f>Migrationsartikel!N255</f>
        <v>Mele Elstar</v>
      </c>
      <c r="X257" t="str">
        <f>Migrationsartikel!G255</f>
        <v>Offen Kl. 1</v>
      </c>
      <c r="Y257" t="str">
        <f>Migrationsartikel!K255</f>
        <v>En vrac, cl. 1</v>
      </c>
      <c r="Z257" t="str">
        <f>Migrationsartikel!O255</f>
        <v>Cl. 1 vendita sfusa</v>
      </c>
      <c r="AA257" s="31">
        <f>Migrationsartikel!H255</f>
        <v>0</v>
      </c>
      <c r="AB257" s="31">
        <f>Migrationsartikel!L255</f>
        <v>0</v>
      </c>
      <c r="AC257" s="31">
        <f>Migrationsartikel!P255</f>
        <v>0</v>
      </c>
      <c r="AD257" t="str">
        <f>Migrationsartikel!I255</f>
        <v>Äpfel Elstar Offen Kl. 1</v>
      </c>
      <c r="AE257" t="str">
        <f>Migrationsartikel!M255</f>
        <v>Pommes Elstar cl. 1 en vrac</v>
      </c>
      <c r="AF257" t="str">
        <f>Migrationsartikel!Q255</f>
        <v>Mele Elstar cl. 1 ven. sfusa</v>
      </c>
      <c r="AG257" s="45">
        <f>Migrationsartikel!R255</f>
        <v>1</v>
      </c>
      <c r="AH257" s="46" t="str">
        <f>Migrationsartikel!T255</f>
        <v>Kilogramm</v>
      </c>
      <c r="AI257" s="46" t="str">
        <f t="shared" si="9"/>
        <v>3</v>
      </c>
      <c r="AJ257" s="46" t="s">
        <v>176</v>
      </c>
      <c r="AK257">
        <f>Migrationsartikel!S255</f>
        <v>1</v>
      </c>
      <c r="AL257">
        <f>Migrationsartikel!S255</f>
        <v>1</v>
      </c>
      <c r="AM257">
        <f>Migrationsartikel!S255</f>
        <v>1</v>
      </c>
      <c r="AN257" t="str">
        <f>Migrationsartikel!U255</f>
        <v>(KGM) KG</v>
      </c>
      <c r="AO257" t="str">
        <f t="shared" si="10"/>
        <v>(KGM) Kg</v>
      </c>
      <c r="AP257" t="str">
        <f t="shared" si="11"/>
        <v>(KGM) KG</v>
      </c>
      <c r="AQ257" s="31" t="s">
        <v>195</v>
      </c>
      <c r="AR257" s="47"/>
      <c r="AS257" s="47"/>
      <c r="AT257" s="31" t="s">
        <v>208</v>
      </c>
      <c r="AU257" s="47"/>
      <c r="AV257" s="47"/>
      <c r="AW257" t="str">
        <f>IF(Migrationsartikel!AB255="ja","true",FALSE)</f>
        <v>true</v>
      </c>
      <c r="AX257" t="str">
        <f>IF(Migrationsartikel!AC255="ja","true",FALSE)</f>
        <v>true</v>
      </c>
      <c r="AY257" t="str">
        <f>IF(Migrationsartikel!AD255="ja","true",FALSE)</f>
        <v>true</v>
      </c>
      <c r="AZ257" t="str">
        <f>IF(Migrationsartikel!AE255="ja","true",FALSE)</f>
        <v>true</v>
      </c>
      <c r="BA257" t="str">
        <f>IF(Migrationsartikel!AF255="ja","Denner Partner","")</f>
        <v/>
      </c>
      <c r="BB257" t="str">
        <f>IF(Migrationsartikel!AG255="ja","true","false")</f>
        <v>false</v>
      </c>
      <c r="BC257" t="s">
        <v>1923</v>
      </c>
      <c r="BD257" s="31" t="s">
        <v>235</v>
      </c>
      <c r="BE257" s="31" t="s">
        <v>233</v>
      </c>
    </row>
    <row r="258" spans="2:57" ht="21.75" customHeight="1" x14ac:dyDescent="0.45">
      <c r="B258" t="s">
        <v>115</v>
      </c>
      <c r="E258" s="31" t="s">
        <v>1684</v>
      </c>
      <c r="F258" t="str">
        <f>"Warengruppe&gt;&gt;"&amp;Migrationsartikel!V256&amp;"&gt;&gt;"&amp;Migrationsartikel!W256&amp;"&gt;&gt;"&amp;Migrationsartikel!X256</f>
        <v>Warengruppe&gt;&gt;Früchte und Gemüse&gt;&gt;Früchte und Gemüse&gt;&gt;Früchte</v>
      </c>
      <c r="J258" s="31" t="s">
        <v>125</v>
      </c>
      <c r="M258" s="31" t="s">
        <v>137</v>
      </c>
      <c r="P258" s="31">
        <f>Migrationsartikel!B256</f>
        <v>0</v>
      </c>
      <c r="R258" t="str">
        <f>Migrationsartikel!F256&amp;" "&amp;Migrationsartikel!G256&amp;" "&amp;Migrationsartikel!H256</f>
        <v xml:space="preserve">Äpfel Elstar Kl. 1 gepackt </v>
      </c>
      <c r="S258" t="str">
        <f>Migrationsartikel!J256&amp;" "&amp;Migrationsartikel!K256&amp;" "&amp;Migrationsartikel!L256</f>
        <v xml:space="preserve">Pommes Elstar Cl. 1 emballé </v>
      </c>
      <c r="T258" t="str">
        <f>Migrationsartikel!N256&amp;" "&amp;Migrationsartikel!O256&amp;" "&amp;Migrationsartikel!P256</f>
        <v xml:space="preserve">Mele Elstar Cl. 1 confezionato </v>
      </c>
      <c r="U258" t="str">
        <f>Migrationsartikel!F256</f>
        <v>Äpfel Elstar</v>
      </c>
      <c r="V258" t="str">
        <f>Migrationsartikel!J256</f>
        <v>Pommes Elstar</v>
      </c>
      <c r="W258" t="str">
        <f>Migrationsartikel!N256</f>
        <v>Mele Elstar</v>
      </c>
      <c r="X258" t="str">
        <f>Migrationsartikel!G256</f>
        <v>Kl. 1 gepackt</v>
      </c>
      <c r="Y258" t="str">
        <f>Migrationsartikel!K256</f>
        <v>Cl. 1 emballé</v>
      </c>
      <c r="Z258" t="str">
        <f>Migrationsartikel!O256</f>
        <v>Cl. 1 confezionato</v>
      </c>
      <c r="AA258" s="31">
        <f>Migrationsartikel!H256</f>
        <v>0</v>
      </c>
      <c r="AB258" s="31">
        <f>Migrationsartikel!L256</f>
        <v>0</v>
      </c>
      <c r="AC258" s="31">
        <f>Migrationsartikel!P256</f>
        <v>0</v>
      </c>
      <c r="AD258" t="str">
        <f>Migrationsartikel!I256</f>
        <v>Äpfel Elstar Kl. 1 gepackt</v>
      </c>
      <c r="AE258" t="str">
        <f>Migrationsartikel!M256</f>
        <v>Pommes Elstar cl. 1 emballé</v>
      </c>
      <c r="AF258" t="str">
        <f>Migrationsartikel!Q256</f>
        <v>Mele Elstar cl. 1 confez.</v>
      </c>
      <c r="AG258" s="45">
        <f>Migrationsartikel!R256</f>
        <v>1</v>
      </c>
      <c r="AH258" s="46" t="str">
        <f>Migrationsartikel!T256</f>
        <v>Kilogramm</v>
      </c>
      <c r="AI258" s="46" t="str">
        <f t="shared" si="9"/>
        <v>3</v>
      </c>
      <c r="AJ258" s="46" t="s">
        <v>176</v>
      </c>
      <c r="AK258">
        <f>Migrationsartikel!S256</f>
        <v>1</v>
      </c>
      <c r="AL258">
        <f>Migrationsartikel!S256</f>
        <v>1</v>
      </c>
      <c r="AM258">
        <f>Migrationsartikel!S256</f>
        <v>1</v>
      </c>
      <c r="AN258" t="str">
        <f>Migrationsartikel!U256</f>
        <v>(PCE) Stück</v>
      </c>
      <c r="AO258" t="str">
        <f t="shared" si="10"/>
        <v>(PCE) Pièce</v>
      </c>
      <c r="AP258" t="str">
        <f t="shared" si="11"/>
        <v>(PCE) Pièce</v>
      </c>
      <c r="AQ258" s="31" t="s">
        <v>195</v>
      </c>
      <c r="AR258" s="47"/>
      <c r="AS258" s="47"/>
      <c r="AT258" s="31" t="s">
        <v>208</v>
      </c>
      <c r="AU258" s="47"/>
      <c r="AV258" s="47"/>
      <c r="AW258" t="str">
        <f>IF(Migrationsartikel!AB256="ja","true",FALSE)</f>
        <v>true</v>
      </c>
      <c r="AX258" t="str">
        <f>IF(Migrationsartikel!AC256="ja","true",FALSE)</f>
        <v>true</v>
      </c>
      <c r="AY258" t="str">
        <f>IF(Migrationsartikel!AD256="ja","true",FALSE)</f>
        <v>true</v>
      </c>
      <c r="AZ258" t="str">
        <f>IF(Migrationsartikel!AE256="ja","true",FALSE)</f>
        <v>true</v>
      </c>
      <c r="BA258" t="str">
        <f>IF(Migrationsartikel!AF256="ja","Denner Partner","")</f>
        <v/>
      </c>
      <c r="BB258" t="str">
        <f>IF(Migrationsartikel!AG256="ja","true","false")</f>
        <v>false</v>
      </c>
      <c r="BC258" t="s">
        <v>1923</v>
      </c>
      <c r="BD258" s="31" t="s">
        <v>235</v>
      </c>
      <c r="BE258" s="31" t="s">
        <v>233</v>
      </c>
    </row>
    <row r="259" spans="2:57" ht="21.75" customHeight="1" x14ac:dyDescent="0.45">
      <c r="B259" t="s">
        <v>115</v>
      </c>
      <c r="E259" s="31" t="s">
        <v>1685</v>
      </c>
      <c r="F259" t="str">
        <f>"Warengruppe&gt;&gt;"&amp;Migrationsartikel!V257&amp;"&gt;&gt;"&amp;Migrationsartikel!W257&amp;"&gt;&gt;"&amp;Migrationsartikel!X257</f>
        <v>Warengruppe&gt;&gt;Früchte und Gemüse&gt;&gt;Früchte und Gemüse&gt;&gt;Früchte</v>
      </c>
      <c r="J259" s="31" t="s">
        <v>125</v>
      </c>
      <c r="M259" s="31" t="s">
        <v>137</v>
      </c>
      <c r="P259" s="31">
        <f>Migrationsartikel!B257</f>
        <v>150</v>
      </c>
      <c r="R259" t="str">
        <f>Migrationsartikel!F257&amp;" "&amp;Migrationsartikel!G257&amp;" "&amp;Migrationsartikel!H257</f>
        <v xml:space="preserve">Flachpfirsiche Offen </v>
      </c>
      <c r="S259" t="str">
        <f>Migrationsartikel!J257&amp;" "&amp;Migrationsartikel!K257&amp;" "&amp;Migrationsartikel!L257</f>
        <v xml:space="preserve">Pêches plates En vrac </v>
      </c>
      <c r="T259" t="str">
        <f>Migrationsartikel!N257&amp;" "&amp;Migrationsartikel!O257&amp;" "&amp;Migrationsartikel!P257</f>
        <v xml:space="preserve">Pesche tabacchiera vendita sfusa </v>
      </c>
      <c r="U259" t="str">
        <f>Migrationsartikel!F257</f>
        <v>Flachpfirsiche</v>
      </c>
      <c r="V259" t="str">
        <f>Migrationsartikel!J257</f>
        <v>Pêches plates</v>
      </c>
      <c r="W259" t="str">
        <f>Migrationsartikel!N257</f>
        <v>Pesche tabacchiera</v>
      </c>
      <c r="X259" t="str">
        <f>Migrationsartikel!G257</f>
        <v>Offen</v>
      </c>
      <c r="Y259" t="str">
        <f>Migrationsartikel!K257</f>
        <v>En vrac</v>
      </c>
      <c r="Z259" t="str">
        <f>Migrationsartikel!O257</f>
        <v>vendita sfusa</v>
      </c>
      <c r="AA259" s="31">
        <f>Migrationsartikel!H257</f>
        <v>0</v>
      </c>
      <c r="AB259" s="31">
        <f>Migrationsartikel!L257</f>
        <v>0</v>
      </c>
      <c r="AC259" s="31">
        <f>Migrationsartikel!P257</f>
        <v>0</v>
      </c>
      <c r="AD259" t="str">
        <f>Migrationsartikel!I257</f>
        <v>Flachpfirsiche Offen</v>
      </c>
      <c r="AE259" t="str">
        <f>Migrationsartikel!M257</f>
        <v>Pêches plartes en vrac</v>
      </c>
      <c r="AF259" t="str">
        <f>Migrationsartikel!Q257</f>
        <v>Pesche tabacchiera v. sfusa</v>
      </c>
      <c r="AG259" s="45">
        <f>Migrationsartikel!R257</f>
        <v>1</v>
      </c>
      <c r="AH259" s="46" t="str">
        <f>Migrationsartikel!T257</f>
        <v>Kilogramm</v>
      </c>
      <c r="AI259" s="46" t="str">
        <f t="shared" si="9"/>
        <v>3</v>
      </c>
      <c r="AJ259" s="46" t="s">
        <v>176</v>
      </c>
      <c r="AK259">
        <f>Migrationsartikel!S257</f>
        <v>1</v>
      </c>
      <c r="AL259">
        <f>Migrationsartikel!S257</f>
        <v>1</v>
      </c>
      <c r="AM259">
        <f>Migrationsartikel!S257</f>
        <v>1</v>
      </c>
      <c r="AN259" t="str">
        <f>Migrationsartikel!U257</f>
        <v>(KGM) KG</v>
      </c>
      <c r="AO259" t="str">
        <f t="shared" si="10"/>
        <v>(KGM) Kg</v>
      </c>
      <c r="AP259" t="str">
        <f t="shared" si="11"/>
        <v>(KGM) KG</v>
      </c>
      <c r="AQ259" s="31" t="s">
        <v>195</v>
      </c>
      <c r="AR259" s="47"/>
      <c r="AS259" s="47"/>
      <c r="AT259" s="31" t="s">
        <v>208</v>
      </c>
      <c r="AU259" s="47"/>
      <c r="AV259" s="47"/>
      <c r="AW259" t="str">
        <f>IF(Migrationsartikel!AB257="ja","true",FALSE)</f>
        <v>true</v>
      </c>
      <c r="AX259" t="str">
        <f>IF(Migrationsartikel!AC257="ja","true",FALSE)</f>
        <v>true</v>
      </c>
      <c r="AY259" t="str">
        <f>IF(Migrationsartikel!AD257="ja","true",FALSE)</f>
        <v>true</v>
      </c>
      <c r="AZ259" t="str">
        <f>IF(Migrationsartikel!AE257="ja","true",FALSE)</f>
        <v>true</v>
      </c>
      <c r="BA259" t="str">
        <f>IF(Migrationsartikel!AF257="ja","Denner Partner","")</f>
        <v/>
      </c>
      <c r="BB259" t="str">
        <f>IF(Migrationsartikel!AG257="ja","true","false")</f>
        <v>false</v>
      </c>
      <c r="BC259" t="s">
        <v>1923</v>
      </c>
      <c r="BD259" s="31" t="s">
        <v>235</v>
      </c>
      <c r="BE259" s="31" t="s">
        <v>233</v>
      </c>
    </row>
    <row r="260" spans="2:57" ht="21.75" customHeight="1" x14ac:dyDescent="0.45">
      <c r="B260" t="s">
        <v>115</v>
      </c>
      <c r="E260" s="31" t="s">
        <v>1686</v>
      </c>
      <c r="F260" t="str">
        <f>"Warengruppe&gt;&gt;"&amp;Migrationsartikel!V258&amp;"&gt;&gt;"&amp;Migrationsartikel!W258&amp;"&gt;&gt;"&amp;Migrationsartikel!X258</f>
        <v>Warengruppe&gt;&gt;Früchte und Gemüse&gt;&gt;Früchte und Gemüse&gt;&gt;Früchte</v>
      </c>
      <c r="J260" s="31" t="s">
        <v>125</v>
      </c>
      <c r="M260" s="31" t="s">
        <v>137</v>
      </c>
      <c r="P260" s="31">
        <f>Migrationsartikel!B258</f>
        <v>0</v>
      </c>
      <c r="R260" t="str">
        <f>Migrationsartikel!F258&amp;" "&amp;Migrationsartikel!G258&amp;" "&amp;Migrationsartikel!H258</f>
        <v>Fruchtbecher  200g</v>
      </c>
      <c r="S260" t="str">
        <f>Migrationsartikel!J258&amp;" "&amp;Migrationsartikel!K258&amp;" "&amp;Migrationsartikel!L258</f>
        <v>Gobelet de fruits  200g</v>
      </c>
      <c r="T260" t="str">
        <f>Migrationsartikel!N258&amp;" "&amp;Migrationsartikel!O258&amp;" "&amp;Migrationsartikel!P258</f>
        <v>Bicchiere di frutta  200g</v>
      </c>
      <c r="U260" t="str">
        <f>Migrationsartikel!F258</f>
        <v>Fruchtbecher</v>
      </c>
      <c r="V260" t="str">
        <f>Migrationsartikel!J258</f>
        <v>Gobelet de fruits</v>
      </c>
      <c r="W260" t="str">
        <f>Migrationsartikel!N258</f>
        <v>Bicchiere di frutta</v>
      </c>
      <c r="X260">
        <f>Migrationsartikel!G258</f>
        <v>0</v>
      </c>
      <c r="Y260">
        <f>Migrationsartikel!K258</f>
        <v>0</v>
      </c>
      <c r="Z260">
        <f>Migrationsartikel!O258</f>
        <v>0</v>
      </c>
      <c r="AA260" s="31" t="str">
        <f>Migrationsartikel!H258</f>
        <v>200g</v>
      </c>
      <c r="AB260" s="31" t="str">
        <f>Migrationsartikel!L258</f>
        <v>200g</v>
      </c>
      <c r="AC260" s="31" t="str">
        <f>Migrationsartikel!P258</f>
        <v>200g</v>
      </c>
      <c r="AD260" t="str">
        <f>Migrationsartikel!I258</f>
        <v>Fruchtbecher 200g</v>
      </c>
      <c r="AE260" t="str">
        <f>Migrationsartikel!M258</f>
        <v>Gobelet de fruits 200g</v>
      </c>
      <c r="AF260" t="str">
        <f>Migrationsartikel!Q258</f>
        <v>Bicchiere di frutta 200g</v>
      </c>
      <c r="AG260" s="45">
        <f>Migrationsartikel!R258</f>
        <v>0.2</v>
      </c>
      <c r="AH260" s="46" t="str">
        <f>Migrationsartikel!T258</f>
        <v>Gramm</v>
      </c>
      <c r="AI260" s="46" t="str">
        <f t="shared" si="9"/>
        <v>Gramm</v>
      </c>
      <c r="AJ260" s="46" t="s">
        <v>176</v>
      </c>
      <c r="AK260">
        <f>Migrationsartikel!S258</f>
        <v>100</v>
      </c>
      <c r="AL260">
        <f>Migrationsartikel!S258</f>
        <v>100</v>
      </c>
      <c r="AM260">
        <f>Migrationsartikel!S258</f>
        <v>100</v>
      </c>
      <c r="AN260" t="str">
        <f>Migrationsartikel!U258</f>
        <v>(PCE) Stück</v>
      </c>
      <c r="AO260" t="str">
        <f t="shared" si="10"/>
        <v>(PCE) Pièce</v>
      </c>
      <c r="AP260" t="str">
        <f t="shared" si="11"/>
        <v>(PCE) Pièce</v>
      </c>
      <c r="AQ260" s="31" t="s">
        <v>195</v>
      </c>
      <c r="AR260" s="47"/>
      <c r="AS260" s="47"/>
      <c r="AT260" s="31" t="s">
        <v>208</v>
      </c>
      <c r="AU260" s="47"/>
      <c r="AV260" s="47"/>
      <c r="AW260" t="str">
        <f>IF(Migrationsartikel!AB258="ja","true",FALSE)</f>
        <v>true</v>
      </c>
      <c r="AX260" t="str">
        <f>IF(Migrationsartikel!AC258="ja","true",FALSE)</f>
        <v>true</v>
      </c>
      <c r="AY260" t="str">
        <f>IF(Migrationsartikel!AD258="ja","true",FALSE)</f>
        <v>true</v>
      </c>
      <c r="AZ260" t="str">
        <f>IF(Migrationsartikel!AE258="ja","true",FALSE)</f>
        <v>true</v>
      </c>
      <c r="BA260" t="str">
        <f>IF(Migrationsartikel!AF258="ja","Denner Partner","")</f>
        <v/>
      </c>
      <c r="BB260" t="str">
        <f>IF(Migrationsartikel!AG258="ja","true","false")</f>
        <v>false</v>
      </c>
      <c r="BC260" t="s">
        <v>1923</v>
      </c>
      <c r="BD260" s="31" t="s">
        <v>235</v>
      </c>
      <c r="BE260" s="31" t="s">
        <v>233</v>
      </c>
    </row>
    <row r="261" spans="2:57" ht="21.75" customHeight="1" x14ac:dyDescent="0.45">
      <c r="B261" t="s">
        <v>115</v>
      </c>
      <c r="E261" s="31" t="s">
        <v>1687</v>
      </c>
      <c r="F261" t="str">
        <f>"Warengruppe&gt;&gt;"&amp;Migrationsartikel!V259&amp;"&gt;&gt;"&amp;Migrationsartikel!W259&amp;"&gt;&gt;"&amp;Migrationsartikel!X259</f>
        <v>Warengruppe&gt;&gt;Früchte und Gemüse&gt;&gt;Früchte und Gemüse&gt;&gt;Früchte</v>
      </c>
      <c r="J261" s="31" t="s">
        <v>125</v>
      </c>
      <c r="M261" s="31" t="s">
        <v>137</v>
      </c>
      <c r="P261" s="31">
        <f>Migrationsartikel!B259</f>
        <v>0</v>
      </c>
      <c r="R261" t="str">
        <f>Migrationsartikel!F259&amp;" "&amp;Migrationsartikel!G259&amp;" "&amp;Migrationsartikel!H259</f>
        <v xml:space="preserve">Früchtemix Äpfel/Orangen/Bananen </v>
      </c>
      <c r="S261" t="str">
        <f>Migrationsartikel!J259&amp;" "&amp;Migrationsartikel!K259&amp;" "&amp;Migrationsartikel!L259</f>
        <v xml:space="preserve">Mélange de fruits Pommes/oranges/bananes </v>
      </c>
      <c r="T261" t="str">
        <f>Migrationsartikel!N259&amp;" "&amp;Migrationsartikel!O259&amp;" "&amp;Migrationsartikel!P259</f>
        <v xml:space="preserve">Mix di frutta Mele/arance/banane </v>
      </c>
      <c r="U261" t="str">
        <f>Migrationsartikel!F259</f>
        <v>Früchtemix</v>
      </c>
      <c r="V261" t="str">
        <f>Migrationsartikel!J259</f>
        <v>Mélange de fruits</v>
      </c>
      <c r="W261" t="str">
        <f>Migrationsartikel!N259</f>
        <v>Mix di frutta</v>
      </c>
      <c r="X261" t="str">
        <f>Migrationsartikel!G259</f>
        <v>Äpfel/Orangen/Bananen</v>
      </c>
      <c r="Y261" t="str">
        <f>Migrationsartikel!K259</f>
        <v>Pommes/oranges/bananes</v>
      </c>
      <c r="Z261" t="str">
        <f>Migrationsartikel!O259</f>
        <v>Mele/arance/banane</v>
      </c>
      <c r="AA261" s="31">
        <f>Migrationsartikel!H259</f>
        <v>0</v>
      </c>
      <c r="AB261" s="31">
        <f>Migrationsartikel!L259</f>
        <v>0</v>
      </c>
      <c r="AC261" s="31">
        <f>Migrationsartikel!P259</f>
        <v>0</v>
      </c>
      <c r="AD261" t="str">
        <f>Migrationsartikel!I259</f>
        <v>Früchtemix Äpfel/Orange/Ban.</v>
      </c>
      <c r="AE261" t="str">
        <f>Migrationsartikel!M259</f>
        <v>Mélange fruits pom/oran/ban</v>
      </c>
      <c r="AF261" t="str">
        <f>Migrationsartikel!Q259</f>
        <v>Mix di frutta mele/aran./ban</v>
      </c>
      <c r="AG261" s="45">
        <f>Migrationsartikel!R259</f>
        <v>1</v>
      </c>
      <c r="AH261" s="46" t="str">
        <f>Migrationsartikel!T259</f>
        <v>Kilogramm</v>
      </c>
      <c r="AI261" s="46" t="str">
        <f t="shared" ref="AI261:AI324" si="12">IF(AH261="Gramm","Gramm",(IF(AH261="Centiliter","2",IF(AH261="Kilogramm","3",IF(AH261="Liter","5",IF(AH261="Milliliter","6",(IF(AH261="Stück","7","n/a"))))))))</f>
        <v>3</v>
      </c>
      <c r="AJ261" s="46" t="s">
        <v>176</v>
      </c>
      <c r="AK261">
        <f>Migrationsartikel!S259</f>
        <v>1</v>
      </c>
      <c r="AL261">
        <f>Migrationsartikel!S259</f>
        <v>1</v>
      </c>
      <c r="AM261">
        <f>Migrationsartikel!S259</f>
        <v>1</v>
      </c>
      <c r="AN261" t="str">
        <f>Migrationsartikel!U259</f>
        <v>(PCE) Stück</v>
      </c>
      <c r="AO261" t="str">
        <f t="shared" ref="AO261:AO324" si="13">IF(AN261="(PCE) Stück","(PCE) Pièce",(IF(AN261="(KGM) KG","(KGM) Kg","n/a")))</f>
        <v>(PCE) Pièce</v>
      </c>
      <c r="AP261" t="str">
        <f t="shared" ref="AP261:AP324" si="14">IF(AN261="(PCE) Stück","(PCE) Pièce",(IF(AN261="(KGM) KG","(KGM) KG","n/a")))</f>
        <v>(PCE) Pièce</v>
      </c>
      <c r="AQ261" s="31" t="s">
        <v>195</v>
      </c>
      <c r="AR261" s="47"/>
      <c r="AS261" s="47"/>
      <c r="AT261" s="31" t="s">
        <v>208</v>
      </c>
      <c r="AU261" s="47"/>
      <c r="AV261" s="47"/>
      <c r="AW261" t="str">
        <f>IF(Migrationsartikel!AB259="ja","true",FALSE)</f>
        <v>true</v>
      </c>
      <c r="AX261" t="str">
        <f>IF(Migrationsartikel!AC259="ja","true",FALSE)</f>
        <v>true</v>
      </c>
      <c r="AY261" t="str">
        <f>IF(Migrationsartikel!AD259="ja","true",FALSE)</f>
        <v>true</v>
      </c>
      <c r="AZ261" t="str">
        <f>IF(Migrationsartikel!AE259="ja","true",FALSE)</f>
        <v>true</v>
      </c>
      <c r="BA261" t="str">
        <f>IF(Migrationsartikel!AF259="ja","Denner Partner","")</f>
        <v/>
      </c>
      <c r="BB261" t="str">
        <f>IF(Migrationsartikel!AG259="ja","true","false")</f>
        <v>false</v>
      </c>
      <c r="BC261" t="s">
        <v>1923</v>
      </c>
      <c r="BD261" s="31" t="s">
        <v>235</v>
      </c>
      <c r="BE261" s="31" t="s">
        <v>233</v>
      </c>
    </row>
    <row r="262" spans="2:57" ht="21.75" customHeight="1" x14ac:dyDescent="0.45">
      <c r="B262" t="s">
        <v>115</v>
      </c>
      <c r="E262" s="31" t="s">
        <v>1688</v>
      </c>
      <c r="F262" t="str">
        <f>"Warengruppe&gt;&gt;"&amp;Migrationsartikel!V260&amp;"&gt;&gt;"&amp;Migrationsartikel!W260&amp;"&gt;&gt;"&amp;Migrationsartikel!X260</f>
        <v>Warengruppe&gt;&gt;Früchte und Gemüse&gt;&gt;Früchte und Gemüse&gt;&gt;Früchte</v>
      </c>
      <c r="J262" s="31" t="s">
        <v>125</v>
      </c>
      <c r="M262" s="31" t="s">
        <v>137</v>
      </c>
      <c r="P262" s="31">
        <f>Migrationsartikel!B260</f>
        <v>107</v>
      </c>
      <c r="R262" t="str">
        <f>Migrationsartikel!F260&amp;" "&amp;Migrationsartikel!G260&amp;" "&amp;Migrationsartikel!H260</f>
        <v xml:space="preserve">Äpfel Gala Offen Kl. 1 </v>
      </c>
      <c r="S262" t="str">
        <f>Migrationsartikel!J260&amp;" "&amp;Migrationsartikel!K260&amp;" "&amp;Migrationsartikel!L260</f>
        <v xml:space="preserve">Pommes Gala En vrac, cl. 1 </v>
      </c>
      <c r="T262" t="str">
        <f>Migrationsartikel!N260&amp;" "&amp;Migrationsartikel!O260&amp;" "&amp;Migrationsartikel!P260</f>
        <v xml:space="preserve">Mele Gala Cl. 1 vendita sfusa </v>
      </c>
      <c r="U262" t="str">
        <f>Migrationsartikel!F260</f>
        <v>Äpfel Gala</v>
      </c>
      <c r="V262" t="str">
        <f>Migrationsartikel!J260</f>
        <v>Pommes Gala</v>
      </c>
      <c r="W262" t="str">
        <f>Migrationsartikel!N260</f>
        <v>Mele Gala</v>
      </c>
      <c r="X262" t="str">
        <f>Migrationsartikel!G260</f>
        <v>Offen Kl. 1</v>
      </c>
      <c r="Y262" t="str">
        <f>Migrationsartikel!K260</f>
        <v>En vrac, cl. 1</v>
      </c>
      <c r="Z262" t="str">
        <f>Migrationsartikel!O260</f>
        <v>Cl. 1 vendita sfusa</v>
      </c>
      <c r="AA262" s="31">
        <f>Migrationsartikel!H260</f>
        <v>0</v>
      </c>
      <c r="AB262" s="31">
        <f>Migrationsartikel!L260</f>
        <v>0</v>
      </c>
      <c r="AC262" s="31">
        <f>Migrationsartikel!P260</f>
        <v>0</v>
      </c>
      <c r="AD262" t="str">
        <f>Migrationsartikel!I260</f>
        <v>Äpfel Gala Offen Kl. 1</v>
      </c>
      <c r="AE262" t="str">
        <f>Migrationsartikel!M260</f>
        <v>Pommes Gala cl. 1 en vrac</v>
      </c>
      <c r="AF262" t="str">
        <f>Migrationsartikel!Q260</f>
        <v>Mele Gala cl.1 vendita sfusa</v>
      </c>
      <c r="AG262" s="45">
        <f>Migrationsartikel!R260</f>
        <v>1</v>
      </c>
      <c r="AH262" s="46" t="str">
        <f>Migrationsartikel!T260</f>
        <v>Kilogramm</v>
      </c>
      <c r="AI262" s="46" t="str">
        <f t="shared" si="12"/>
        <v>3</v>
      </c>
      <c r="AJ262" s="46" t="s">
        <v>176</v>
      </c>
      <c r="AK262">
        <f>Migrationsartikel!S260</f>
        <v>1</v>
      </c>
      <c r="AL262">
        <f>Migrationsartikel!S260</f>
        <v>1</v>
      </c>
      <c r="AM262">
        <f>Migrationsartikel!S260</f>
        <v>1</v>
      </c>
      <c r="AN262" t="str">
        <f>Migrationsartikel!U260</f>
        <v>(KGM) KG</v>
      </c>
      <c r="AO262" t="str">
        <f t="shared" si="13"/>
        <v>(KGM) Kg</v>
      </c>
      <c r="AP262" t="str">
        <f t="shared" si="14"/>
        <v>(KGM) KG</v>
      </c>
      <c r="AQ262" s="31" t="s">
        <v>195</v>
      </c>
      <c r="AR262" s="47"/>
      <c r="AS262" s="47"/>
      <c r="AT262" s="31" t="s">
        <v>208</v>
      </c>
      <c r="AU262" s="47"/>
      <c r="AV262" s="47"/>
      <c r="AW262" t="str">
        <f>IF(Migrationsartikel!AB260="ja","true",FALSE)</f>
        <v>true</v>
      </c>
      <c r="AX262" t="str">
        <f>IF(Migrationsartikel!AC260="ja","true",FALSE)</f>
        <v>true</v>
      </c>
      <c r="AY262" t="str">
        <f>IF(Migrationsartikel!AD260="ja","true",FALSE)</f>
        <v>true</v>
      </c>
      <c r="AZ262" t="str">
        <f>IF(Migrationsartikel!AE260="ja","true",FALSE)</f>
        <v>true</v>
      </c>
      <c r="BA262" t="str">
        <f>IF(Migrationsartikel!AF260="ja","Denner Partner","")</f>
        <v/>
      </c>
      <c r="BB262" t="str">
        <f>IF(Migrationsartikel!AG260="ja","true","false")</f>
        <v>false</v>
      </c>
      <c r="BC262" t="s">
        <v>1923</v>
      </c>
      <c r="BD262" s="31" t="s">
        <v>235</v>
      </c>
      <c r="BE262" s="31" t="s">
        <v>233</v>
      </c>
    </row>
    <row r="263" spans="2:57" ht="21.75" customHeight="1" x14ac:dyDescent="0.45">
      <c r="B263" t="s">
        <v>115</v>
      </c>
      <c r="E263" s="31" t="s">
        <v>1689</v>
      </c>
      <c r="F263" t="str">
        <f>"Warengruppe&gt;&gt;"&amp;Migrationsartikel!V261&amp;"&gt;&gt;"&amp;Migrationsartikel!W261&amp;"&gt;&gt;"&amp;Migrationsartikel!X261</f>
        <v>Warengruppe&gt;&gt;Früchte und Gemüse&gt;&gt;Früchte und Gemüse&gt;&gt;Früchte</v>
      </c>
      <c r="J263" s="31" t="s">
        <v>125</v>
      </c>
      <c r="M263" s="31" t="s">
        <v>137</v>
      </c>
      <c r="P263" s="31">
        <f>Migrationsartikel!B261</f>
        <v>0</v>
      </c>
      <c r="R263" t="str">
        <f>Migrationsartikel!F261&amp;" "&amp;Migrationsartikel!G261&amp;" "&amp;Migrationsartikel!H261</f>
        <v xml:space="preserve">Äpfel Gala Kl. 1 gepackt </v>
      </c>
      <c r="S263" t="str">
        <f>Migrationsartikel!J261&amp;" "&amp;Migrationsartikel!K261&amp;" "&amp;Migrationsartikel!L261</f>
        <v xml:space="preserve">Pommes Gala Cl. 1 emballé </v>
      </c>
      <c r="T263" t="str">
        <f>Migrationsartikel!N261&amp;" "&amp;Migrationsartikel!O261&amp;" "&amp;Migrationsartikel!P261</f>
        <v xml:space="preserve">Mele Gala Cl. 1 confezionato </v>
      </c>
      <c r="U263" t="str">
        <f>Migrationsartikel!F261</f>
        <v>Äpfel Gala</v>
      </c>
      <c r="V263" t="str">
        <f>Migrationsartikel!J261</f>
        <v>Pommes Gala</v>
      </c>
      <c r="W263" t="str">
        <f>Migrationsartikel!N261</f>
        <v>Mele Gala</v>
      </c>
      <c r="X263" t="str">
        <f>Migrationsartikel!G261</f>
        <v>Kl. 1 gepackt</v>
      </c>
      <c r="Y263" t="str">
        <f>Migrationsartikel!K261</f>
        <v>Cl. 1 emballé</v>
      </c>
      <c r="Z263" t="str">
        <f>Migrationsartikel!O261</f>
        <v>Cl. 1 confezionato</v>
      </c>
      <c r="AA263" s="31">
        <f>Migrationsartikel!H261</f>
        <v>0</v>
      </c>
      <c r="AB263" s="31">
        <f>Migrationsartikel!L261</f>
        <v>0</v>
      </c>
      <c r="AC263" s="31">
        <f>Migrationsartikel!P261</f>
        <v>0</v>
      </c>
      <c r="AD263" t="str">
        <f>Migrationsartikel!I261</f>
        <v>Äpfel Gala Kl. 1 gepackt</v>
      </c>
      <c r="AE263" t="str">
        <f>Migrationsartikel!M261</f>
        <v>Pommes Gala cl. 1 emballé</v>
      </c>
      <c r="AF263" t="str">
        <f>Migrationsartikel!Q261</f>
        <v>Mele Gala cl. 1 confezionato</v>
      </c>
      <c r="AG263" s="45">
        <f>Migrationsartikel!R261</f>
        <v>1</v>
      </c>
      <c r="AH263" s="46" t="str">
        <f>Migrationsartikel!T261</f>
        <v>Kilogramm</v>
      </c>
      <c r="AI263" s="46" t="str">
        <f t="shared" si="12"/>
        <v>3</v>
      </c>
      <c r="AJ263" s="46" t="s">
        <v>176</v>
      </c>
      <c r="AK263">
        <f>Migrationsartikel!S261</f>
        <v>1</v>
      </c>
      <c r="AL263">
        <f>Migrationsartikel!S261</f>
        <v>1</v>
      </c>
      <c r="AM263">
        <f>Migrationsartikel!S261</f>
        <v>1</v>
      </c>
      <c r="AN263" t="str">
        <f>Migrationsartikel!U261</f>
        <v>(PCE) Stück</v>
      </c>
      <c r="AO263" t="str">
        <f t="shared" si="13"/>
        <v>(PCE) Pièce</v>
      </c>
      <c r="AP263" t="str">
        <f t="shared" si="14"/>
        <v>(PCE) Pièce</v>
      </c>
      <c r="AQ263" s="31" t="s">
        <v>195</v>
      </c>
      <c r="AR263" s="47"/>
      <c r="AS263" s="47"/>
      <c r="AT263" s="31" t="s">
        <v>208</v>
      </c>
      <c r="AU263" s="47"/>
      <c r="AV263" s="47"/>
      <c r="AW263" t="str">
        <f>IF(Migrationsartikel!AB261="ja","true",FALSE)</f>
        <v>true</v>
      </c>
      <c r="AX263" t="str">
        <f>IF(Migrationsartikel!AC261="ja","true",FALSE)</f>
        <v>true</v>
      </c>
      <c r="AY263" t="str">
        <f>IF(Migrationsartikel!AD261="ja","true",FALSE)</f>
        <v>true</v>
      </c>
      <c r="AZ263" t="str">
        <f>IF(Migrationsartikel!AE261="ja","true",FALSE)</f>
        <v>true</v>
      </c>
      <c r="BA263" t="str">
        <f>IF(Migrationsartikel!AF261="ja","Denner Partner","")</f>
        <v/>
      </c>
      <c r="BB263" t="str">
        <f>IF(Migrationsartikel!AG261="ja","true","false")</f>
        <v>false</v>
      </c>
      <c r="BC263" t="s">
        <v>1923</v>
      </c>
      <c r="BD263" s="31" t="s">
        <v>235</v>
      </c>
      <c r="BE263" s="31" t="s">
        <v>233</v>
      </c>
    </row>
    <row r="264" spans="2:57" ht="21.75" customHeight="1" x14ac:dyDescent="0.45">
      <c r="B264" t="s">
        <v>115</v>
      </c>
      <c r="E264" s="31" t="s">
        <v>1690</v>
      </c>
      <c r="F264" t="str">
        <f>"Warengruppe&gt;&gt;"&amp;Migrationsartikel!V262&amp;"&gt;&gt;"&amp;Migrationsartikel!W262&amp;"&gt;&gt;"&amp;Migrationsartikel!X262</f>
        <v>Warengruppe&gt;&gt;&gt;&gt;&gt;&gt;</v>
      </c>
      <c r="J264" s="31" t="s">
        <v>125</v>
      </c>
      <c r="M264" s="31" t="s">
        <v>137</v>
      </c>
      <c r="P264" s="31">
        <f>Migrationsartikel!B262</f>
        <v>0</v>
      </c>
      <c r="R264" t="str">
        <f>Migrationsartikel!F262&amp;" "&amp;Migrationsartikel!G262&amp;" "&amp;Migrationsartikel!H262</f>
        <v xml:space="preserve">  </v>
      </c>
      <c r="S264" t="str">
        <f>Migrationsartikel!J262&amp;" "&amp;Migrationsartikel!K262&amp;" "&amp;Migrationsartikel!L262</f>
        <v xml:space="preserve">  </v>
      </c>
      <c r="T264" t="str">
        <f>Migrationsartikel!N262&amp;" "&amp;Migrationsartikel!O262&amp;" "&amp;Migrationsartikel!P262</f>
        <v xml:space="preserve">  </v>
      </c>
      <c r="U264">
        <f>Migrationsartikel!F262</f>
        <v>0</v>
      </c>
      <c r="V264">
        <f>Migrationsartikel!J262</f>
        <v>0</v>
      </c>
      <c r="W264">
        <f>Migrationsartikel!N262</f>
        <v>0</v>
      </c>
      <c r="X264">
        <f>Migrationsartikel!G262</f>
        <v>0</v>
      </c>
      <c r="Y264">
        <f>Migrationsartikel!K262</f>
        <v>0</v>
      </c>
      <c r="Z264">
        <f>Migrationsartikel!O262</f>
        <v>0</v>
      </c>
      <c r="AA264" s="31">
        <f>Migrationsartikel!H262</f>
        <v>0</v>
      </c>
      <c r="AB264" s="31">
        <f>Migrationsartikel!L262</f>
        <v>0</v>
      </c>
      <c r="AC264" s="31">
        <f>Migrationsartikel!P262</f>
        <v>0</v>
      </c>
      <c r="AD264">
        <f>Migrationsartikel!I262</f>
        <v>0</v>
      </c>
      <c r="AE264">
        <f>Migrationsartikel!M262</f>
        <v>0</v>
      </c>
      <c r="AF264">
        <f>Migrationsartikel!Q262</f>
        <v>0</v>
      </c>
      <c r="AG264" s="45">
        <f>Migrationsartikel!R262</f>
        <v>0</v>
      </c>
      <c r="AH264" s="46">
        <f>Migrationsartikel!T262</f>
        <v>0</v>
      </c>
      <c r="AI264" s="46" t="str">
        <f t="shared" si="12"/>
        <v>n/a</v>
      </c>
      <c r="AJ264" s="46" t="s">
        <v>176</v>
      </c>
      <c r="AK264">
        <f>Migrationsartikel!S262</f>
        <v>0</v>
      </c>
      <c r="AL264">
        <f>Migrationsartikel!S262</f>
        <v>0</v>
      </c>
      <c r="AM264">
        <f>Migrationsartikel!S262</f>
        <v>0</v>
      </c>
      <c r="AN264">
        <f>Migrationsartikel!U262</f>
        <v>0</v>
      </c>
      <c r="AO264" t="str">
        <f t="shared" si="13"/>
        <v>n/a</v>
      </c>
      <c r="AP264" t="str">
        <f t="shared" si="14"/>
        <v>n/a</v>
      </c>
      <c r="AQ264" s="31" t="s">
        <v>195</v>
      </c>
      <c r="AR264" s="47"/>
      <c r="AS264" s="47"/>
      <c r="AT264" s="31" t="s">
        <v>208</v>
      </c>
      <c r="AU264" s="47"/>
      <c r="AV264" s="47"/>
      <c r="AW264" t="b">
        <f>IF(Migrationsartikel!AB262="ja","true",FALSE)</f>
        <v>0</v>
      </c>
      <c r="AX264" t="b">
        <f>IF(Migrationsartikel!AC262="ja","true",FALSE)</f>
        <v>0</v>
      </c>
      <c r="AY264" t="b">
        <f>IF(Migrationsartikel!AD262="ja","true",FALSE)</f>
        <v>0</v>
      </c>
      <c r="AZ264" t="b">
        <f>IF(Migrationsartikel!AE262="ja","true",FALSE)</f>
        <v>0</v>
      </c>
      <c r="BA264" t="str">
        <f>IF(Migrationsartikel!AF262="ja","Denner Partner","")</f>
        <v/>
      </c>
      <c r="BB264" t="str">
        <f>IF(Migrationsartikel!AG262="ja","true","false")</f>
        <v>false</v>
      </c>
      <c r="BC264" t="s">
        <v>1923</v>
      </c>
      <c r="BD264" s="31" t="s">
        <v>235</v>
      </c>
      <c r="BE264" s="31" t="s">
        <v>233</v>
      </c>
    </row>
    <row r="265" spans="2:57" ht="21.75" customHeight="1" x14ac:dyDescent="0.45">
      <c r="B265" t="s">
        <v>115</v>
      </c>
      <c r="E265" s="31" t="s">
        <v>1691</v>
      </c>
      <c r="F265" t="str">
        <f>"Warengruppe&gt;&gt;"&amp;Migrationsartikel!V263&amp;"&gt;&gt;"&amp;Migrationsartikel!W263&amp;"&gt;&gt;"&amp;Migrationsartikel!X263</f>
        <v>Warengruppe&gt;&gt;&gt;&gt;&gt;&gt;</v>
      </c>
      <c r="J265" s="31" t="s">
        <v>125</v>
      </c>
      <c r="M265" s="31" t="s">
        <v>137</v>
      </c>
      <c r="P265" s="31">
        <f>Migrationsartikel!B263</f>
        <v>0</v>
      </c>
      <c r="R265" t="str">
        <f>Migrationsartikel!F263&amp;" "&amp;Migrationsartikel!G263&amp;" "&amp;Migrationsartikel!H263</f>
        <v xml:space="preserve">  </v>
      </c>
      <c r="S265" t="str">
        <f>Migrationsartikel!J263&amp;" "&amp;Migrationsartikel!K263&amp;" "&amp;Migrationsartikel!L263</f>
        <v xml:space="preserve">  </v>
      </c>
      <c r="T265" t="str">
        <f>Migrationsartikel!N263&amp;" "&amp;Migrationsartikel!O263&amp;" "&amp;Migrationsartikel!P263</f>
        <v xml:space="preserve">  </v>
      </c>
      <c r="U265">
        <f>Migrationsartikel!F263</f>
        <v>0</v>
      </c>
      <c r="V265">
        <f>Migrationsartikel!J263</f>
        <v>0</v>
      </c>
      <c r="W265">
        <f>Migrationsartikel!N263</f>
        <v>0</v>
      </c>
      <c r="X265">
        <f>Migrationsartikel!G263</f>
        <v>0</v>
      </c>
      <c r="Y265">
        <f>Migrationsartikel!K263</f>
        <v>0</v>
      </c>
      <c r="Z265">
        <f>Migrationsartikel!O263</f>
        <v>0</v>
      </c>
      <c r="AA265" s="31">
        <f>Migrationsartikel!H263</f>
        <v>0</v>
      </c>
      <c r="AB265" s="31">
        <f>Migrationsartikel!L263</f>
        <v>0</v>
      </c>
      <c r="AC265" s="31">
        <f>Migrationsartikel!P263</f>
        <v>0</v>
      </c>
      <c r="AD265">
        <f>Migrationsartikel!I263</f>
        <v>0</v>
      </c>
      <c r="AE265">
        <f>Migrationsartikel!M263</f>
        <v>0</v>
      </c>
      <c r="AF265">
        <f>Migrationsartikel!Q263</f>
        <v>0</v>
      </c>
      <c r="AG265" s="45">
        <f>Migrationsartikel!R263</f>
        <v>0</v>
      </c>
      <c r="AH265" s="46">
        <f>Migrationsartikel!T263</f>
        <v>0</v>
      </c>
      <c r="AI265" s="46" t="str">
        <f t="shared" si="12"/>
        <v>n/a</v>
      </c>
      <c r="AJ265" s="46" t="s">
        <v>176</v>
      </c>
      <c r="AK265">
        <f>Migrationsartikel!S263</f>
        <v>0</v>
      </c>
      <c r="AL265">
        <f>Migrationsartikel!S263</f>
        <v>0</v>
      </c>
      <c r="AM265">
        <f>Migrationsartikel!S263</f>
        <v>0</v>
      </c>
      <c r="AN265">
        <f>Migrationsartikel!U263</f>
        <v>0</v>
      </c>
      <c r="AO265" t="str">
        <f t="shared" si="13"/>
        <v>n/a</v>
      </c>
      <c r="AP265" t="str">
        <f t="shared" si="14"/>
        <v>n/a</v>
      </c>
      <c r="AQ265" s="31" t="s">
        <v>195</v>
      </c>
      <c r="AR265" s="47"/>
      <c r="AS265" s="47"/>
      <c r="AT265" s="31" t="s">
        <v>208</v>
      </c>
      <c r="AU265" s="47"/>
      <c r="AV265" s="47"/>
      <c r="AW265" t="b">
        <f>IF(Migrationsartikel!AB263="ja","true",FALSE)</f>
        <v>0</v>
      </c>
      <c r="AX265" t="b">
        <f>IF(Migrationsartikel!AC263="ja","true",FALSE)</f>
        <v>0</v>
      </c>
      <c r="AY265" t="b">
        <f>IF(Migrationsartikel!AD263="ja","true",FALSE)</f>
        <v>0</v>
      </c>
      <c r="AZ265" t="b">
        <f>IF(Migrationsartikel!AE263="ja","true",FALSE)</f>
        <v>0</v>
      </c>
      <c r="BA265" t="str">
        <f>IF(Migrationsartikel!AF263="ja","Denner Partner","")</f>
        <v/>
      </c>
      <c r="BB265" t="str">
        <f>IF(Migrationsartikel!AG263="ja","true","false")</f>
        <v>false</v>
      </c>
      <c r="BC265" t="s">
        <v>1923</v>
      </c>
      <c r="BD265" s="31" t="s">
        <v>235</v>
      </c>
      <c r="BE265" s="31" t="s">
        <v>233</v>
      </c>
    </row>
    <row r="266" spans="2:57" ht="21.75" customHeight="1" x14ac:dyDescent="0.45">
      <c r="B266" t="s">
        <v>115</v>
      </c>
      <c r="E266" s="31" t="s">
        <v>1692</v>
      </c>
      <c r="F266" t="str">
        <f>"Warengruppe&gt;&gt;"&amp;Migrationsartikel!V264&amp;"&gt;&gt;"&amp;Migrationsartikel!W264&amp;"&gt;&gt;"&amp;Migrationsartikel!X264</f>
        <v>Warengruppe&gt;&gt;&gt;&gt;&gt;&gt;</v>
      </c>
      <c r="J266" s="31" t="s">
        <v>125</v>
      </c>
      <c r="M266" s="31" t="s">
        <v>137</v>
      </c>
      <c r="P266" s="31">
        <f>Migrationsartikel!B264</f>
        <v>0</v>
      </c>
      <c r="R266" t="str">
        <f>Migrationsartikel!F264&amp;" "&amp;Migrationsartikel!G264&amp;" "&amp;Migrationsartikel!H264</f>
        <v xml:space="preserve">  </v>
      </c>
      <c r="S266" t="str">
        <f>Migrationsartikel!J264&amp;" "&amp;Migrationsartikel!K264&amp;" "&amp;Migrationsartikel!L264</f>
        <v xml:space="preserve">  </v>
      </c>
      <c r="T266" t="str">
        <f>Migrationsartikel!N264&amp;" "&amp;Migrationsartikel!O264&amp;" "&amp;Migrationsartikel!P264</f>
        <v xml:space="preserve">  </v>
      </c>
      <c r="U266">
        <f>Migrationsartikel!F264</f>
        <v>0</v>
      </c>
      <c r="V266">
        <f>Migrationsartikel!J264</f>
        <v>0</v>
      </c>
      <c r="W266">
        <f>Migrationsartikel!N264</f>
        <v>0</v>
      </c>
      <c r="X266">
        <f>Migrationsartikel!G264</f>
        <v>0</v>
      </c>
      <c r="Y266">
        <f>Migrationsartikel!K264</f>
        <v>0</v>
      </c>
      <c r="Z266">
        <f>Migrationsartikel!O264</f>
        <v>0</v>
      </c>
      <c r="AA266" s="31">
        <f>Migrationsartikel!H264</f>
        <v>0</v>
      </c>
      <c r="AB266" s="31">
        <f>Migrationsartikel!L264</f>
        <v>0</v>
      </c>
      <c r="AC266" s="31">
        <f>Migrationsartikel!P264</f>
        <v>0</v>
      </c>
      <c r="AD266">
        <f>Migrationsartikel!I264</f>
        <v>0</v>
      </c>
      <c r="AE266">
        <f>Migrationsartikel!M264</f>
        <v>0</v>
      </c>
      <c r="AF266">
        <f>Migrationsartikel!Q264</f>
        <v>0</v>
      </c>
      <c r="AG266" s="45">
        <f>Migrationsartikel!R264</f>
        <v>0</v>
      </c>
      <c r="AH266" s="46">
        <f>Migrationsartikel!T264</f>
        <v>0</v>
      </c>
      <c r="AI266" s="46" t="str">
        <f t="shared" si="12"/>
        <v>n/a</v>
      </c>
      <c r="AJ266" s="46" t="s">
        <v>176</v>
      </c>
      <c r="AK266">
        <f>Migrationsartikel!S264</f>
        <v>0</v>
      </c>
      <c r="AL266">
        <f>Migrationsartikel!S264</f>
        <v>0</v>
      </c>
      <c r="AM266">
        <f>Migrationsartikel!S264</f>
        <v>0</v>
      </c>
      <c r="AN266">
        <f>Migrationsartikel!U264</f>
        <v>0</v>
      </c>
      <c r="AO266" t="str">
        <f t="shared" si="13"/>
        <v>n/a</v>
      </c>
      <c r="AP266" t="str">
        <f t="shared" si="14"/>
        <v>n/a</v>
      </c>
      <c r="AQ266" s="31" t="s">
        <v>195</v>
      </c>
      <c r="AR266" s="47"/>
      <c r="AS266" s="47"/>
      <c r="AT266" s="31" t="s">
        <v>208</v>
      </c>
      <c r="AU266" s="47"/>
      <c r="AV266" s="47"/>
      <c r="AW266" t="b">
        <f>IF(Migrationsartikel!AB264="ja","true",FALSE)</f>
        <v>0</v>
      </c>
      <c r="AX266" t="b">
        <f>IF(Migrationsartikel!AC264="ja","true",FALSE)</f>
        <v>0</v>
      </c>
      <c r="AY266" t="b">
        <f>IF(Migrationsartikel!AD264="ja","true",FALSE)</f>
        <v>0</v>
      </c>
      <c r="AZ266" t="b">
        <f>IF(Migrationsartikel!AE264="ja","true",FALSE)</f>
        <v>0</v>
      </c>
      <c r="BA266" t="str">
        <f>IF(Migrationsartikel!AF264="ja","Denner Partner","")</f>
        <v/>
      </c>
      <c r="BB266" t="str">
        <f>IF(Migrationsartikel!AG264="ja","true","false")</f>
        <v>false</v>
      </c>
      <c r="BC266" t="s">
        <v>1923</v>
      </c>
      <c r="BD266" s="31" t="s">
        <v>235</v>
      </c>
      <c r="BE266" s="31" t="s">
        <v>233</v>
      </c>
    </row>
    <row r="267" spans="2:57" ht="21.75" customHeight="1" x14ac:dyDescent="0.45">
      <c r="B267" t="s">
        <v>115</v>
      </c>
      <c r="E267" s="31" t="s">
        <v>1693</v>
      </c>
      <c r="F267" t="str">
        <f>"Warengruppe&gt;&gt;"&amp;Migrationsartikel!V265&amp;"&gt;&gt;"&amp;Migrationsartikel!W265&amp;"&gt;&gt;"&amp;Migrationsartikel!X265</f>
        <v>Warengruppe&gt;&gt;&gt;&gt;&gt;&gt;</v>
      </c>
      <c r="J267" s="31" t="s">
        <v>125</v>
      </c>
      <c r="M267" s="31" t="s">
        <v>137</v>
      </c>
      <c r="P267" s="31">
        <f>Migrationsartikel!B265</f>
        <v>0</v>
      </c>
      <c r="R267" t="str">
        <f>Migrationsartikel!F265&amp;" "&amp;Migrationsartikel!G265&amp;" "&amp;Migrationsartikel!H265</f>
        <v xml:space="preserve">  </v>
      </c>
      <c r="S267" t="str">
        <f>Migrationsartikel!J265&amp;" "&amp;Migrationsartikel!K265&amp;" "&amp;Migrationsartikel!L265</f>
        <v xml:space="preserve">  </v>
      </c>
      <c r="T267" t="str">
        <f>Migrationsartikel!N265&amp;" "&amp;Migrationsartikel!O265&amp;" "&amp;Migrationsartikel!P265</f>
        <v xml:space="preserve">  </v>
      </c>
      <c r="U267">
        <f>Migrationsartikel!F265</f>
        <v>0</v>
      </c>
      <c r="V267">
        <f>Migrationsartikel!J265</f>
        <v>0</v>
      </c>
      <c r="W267">
        <f>Migrationsartikel!N265</f>
        <v>0</v>
      </c>
      <c r="X267">
        <f>Migrationsartikel!G265</f>
        <v>0</v>
      </c>
      <c r="Y267">
        <f>Migrationsartikel!K265</f>
        <v>0</v>
      </c>
      <c r="Z267">
        <f>Migrationsartikel!O265</f>
        <v>0</v>
      </c>
      <c r="AA267" s="31">
        <f>Migrationsartikel!H265</f>
        <v>0</v>
      </c>
      <c r="AB267" s="31">
        <f>Migrationsartikel!L265</f>
        <v>0</v>
      </c>
      <c r="AC267" s="31">
        <f>Migrationsartikel!P265</f>
        <v>0</v>
      </c>
      <c r="AD267">
        <f>Migrationsartikel!I265</f>
        <v>0</v>
      </c>
      <c r="AE267">
        <f>Migrationsartikel!M265</f>
        <v>0</v>
      </c>
      <c r="AF267">
        <f>Migrationsartikel!Q265</f>
        <v>0</v>
      </c>
      <c r="AG267" s="45">
        <f>Migrationsartikel!R265</f>
        <v>0</v>
      </c>
      <c r="AH267" s="46">
        <f>Migrationsartikel!T265</f>
        <v>0</v>
      </c>
      <c r="AI267" s="46" t="str">
        <f t="shared" si="12"/>
        <v>n/a</v>
      </c>
      <c r="AJ267" s="46" t="s">
        <v>176</v>
      </c>
      <c r="AK267">
        <f>Migrationsartikel!S265</f>
        <v>0</v>
      </c>
      <c r="AL267">
        <f>Migrationsartikel!S265</f>
        <v>0</v>
      </c>
      <c r="AM267">
        <f>Migrationsartikel!S265</f>
        <v>0</v>
      </c>
      <c r="AN267">
        <f>Migrationsartikel!U265</f>
        <v>0</v>
      </c>
      <c r="AO267" t="str">
        <f t="shared" si="13"/>
        <v>n/a</v>
      </c>
      <c r="AP267" t="str">
        <f t="shared" si="14"/>
        <v>n/a</v>
      </c>
      <c r="AQ267" s="31" t="s">
        <v>195</v>
      </c>
      <c r="AR267" s="47"/>
      <c r="AS267" s="47"/>
      <c r="AT267" s="31" t="s">
        <v>208</v>
      </c>
      <c r="AU267" s="47"/>
      <c r="AV267" s="47"/>
      <c r="AW267" t="b">
        <f>IF(Migrationsartikel!AB265="ja","true",FALSE)</f>
        <v>0</v>
      </c>
      <c r="AX267" t="b">
        <f>IF(Migrationsartikel!AC265="ja","true",FALSE)</f>
        <v>0</v>
      </c>
      <c r="AY267" t="b">
        <f>IF(Migrationsartikel!AD265="ja","true",FALSE)</f>
        <v>0</v>
      </c>
      <c r="AZ267" t="b">
        <f>IF(Migrationsartikel!AE265="ja","true",FALSE)</f>
        <v>0</v>
      </c>
      <c r="BA267" t="str">
        <f>IF(Migrationsartikel!AF265="ja","Denner Partner","")</f>
        <v/>
      </c>
      <c r="BB267" t="str">
        <f>IF(Migrationsartikel!AG265="ja","true","false")</f>
        <v>false</v>
      </c>
      <c r="BC267" t="s">
        <v>1923</v>
      </c>
      <c r="BD267" s="31" t="s">
        <v>235</v>
      </c>
      <c r="BE267" s="31" t="s">
        <v>233</v>
      </c>
    </row>
    <row r="268" spans="2:57" ht="21.75" customHeight="1" x14ac:dyDescent="0.45">
      <c r="B268" t="s">
        <v>115</v>
      </c>
      <c r="E268" s="31" t="s">
        <v>1694</v>
      </c>
      <c r="F268" t="str">
        <f>"Warengruppe&gt;&gt;"&amp;Migrationsartikel!V266&amp;"&gt;&gt;"&amp;Migrationsartikel!W266&amp;"&gt;&gt;"&amp;Migrationsartikel!X266</f>
        <v>Warengruppe&gt;&gt;&gt;&gt;&gt;&gt;</v>
      </c>
      <c r="J268" s="31" t="s">
        <v>125</v>
      </c>
      <c r="M268" s="31" t="s">
        <v>137</v>
      </c>
      <c r="P268" s="31">
        <f>Migrationsartikel!B266</f>
        <v>0</v>
      </c>
      <c r="R268" t="str">
        <f>Migrationsartikel!F266&amp;" "&amp;Migrationsartikel!G266&amp;" "&amp;Migrationsartikel!H266</f>
        <v xml:space="preserve">  </v>
      </c>
      <c r="S268" t="str">
        <f>Migrationsartikel!J266&amp;" "&amp;Migrationsartikel!K266&amp;" "&amp;Migrationsartikel!L266</f>
        <v xml:space="preserve">  </v>
      </c>
      <c r="T268" t="str">
        <f>Migrationsartikel!N266&amp;" "&amp;Migrationsartikel!O266&amp;" "&amp;Migrationsartikel!P266</f>
        <v xml:space="preserve">  </v>
      </c>
      <c r="U268">
        <f>Migrationsartikel!F266</f>
        <v>0</v>
      </c>
      <c r="V268">
        <f>Migrationsartikel!J266</f>
        <v>0</v>
      </c>
      <c r="W268">
        <f>Migrationsartikel!N266</f>
        <v>0</v>
      </c>
      <c r="X268">
        <f>Migrationsartikel!G266</f>
        <v>0</v>
      </c>
      <c r="Y268">
        <f>Migrationsartikel!K266</f>
        <v>0</v>
      </c>
      <c r="Z268">
        <f>Migrationsartikel!O266</f>
        <v>0</v>
      </c>
      <c r="AA268" s="31">
        <f>Migrationsartikel!H266</f>
        <v>0</v>
      </c>
      <c r="AB268" s="31">
        <f>Migrationsartikel!L266</f>
        <v>0</v>
      </c>
      <c r="AC268" s="31">
        <f>Migrationsartikel!P266</f>
        <v>0</v>
      </c>
      <c r="AD268">
        <f>Migrationsartikel!I266</f>
        <v>0</v>
      </c>
      <c r="AE268">
        <f>Migrationsartikel!M266</f>
        <v>0</v>
      </c>
      <c r="AF268">
        <f>Migrationsartikel!Q266</f>
        <v>0</v>
      </c>
      <c r="AG268" s="45">
        <f>Migrationsartikel!R266</f>
        <v>0</v>
      </c>
      <c r="AH268" s="46">
        <f>Migrationsartikel!T266</f>
        <v>0</v>
      </c>
      <c r="AI268" s="46" t="str">
        <f t="shared" si="12"/>
        <v>n/a</v>
      </c>
      <c r="AJ268" s="46" t="s">
        <v>176</v>
      </c>
      <c r="AK268">
        <f>Migrationsartikel!S266</f>
        <v>0</v>
      </c>
      <c r="AL268">
        <f>Migrationsartikel!S266</f>
        <v>0</v>
      </c>
      <c r="AM268">
        <f>Migrationsartikel!S266</f>
        <v>0</v>
      </c>
      <c r="AN268">
        <f>Migrationsartikel!U266</f>
        <v>0</v>
      </c>
      <c r="AO268" t="str">
        <f t="shared" si="13"/>
        <v>n/a</v>
      </c>
      <c r="AP268" t="str">
        <f t="shared" si="14"/>
        <v>n/a</v>
      </c>
      <c r="AQ268" s="31" t="s">
        <v>195</v>
      </c>
      <c r="AR268" s="47"/>
      <c r="AS268" s="47"/>
      <c r="AT268" s="31" t="s">
        <v>208</v>
      </c>
      <c r="AU268" s="47"/>
      <c r="AV268" s="47"/>
      <c r="AW268" t="b">
        <f>IF(Migrationsartikel!AB266="ja","true",FALSE)</f>
        <v>0</v>
      </c>
      <c r="AX268" t="b">
        <f>IF(Migrationsartikel!AC266="ja","true",FALSE)</f>
        <v>0</v>
      </c>
      <c r="AY268" t="b">
        <f>IF(Migrationsartikel!AD266="ja","true",FALSE)</f>
        <v>0</v>
      </c>
      <c r="AZ268" t="b">
        <f>IF(Migrationsartikel!AE266="ja","true",FALSE)</f>
        <v>0</v>
      </c>
      <c r="BA268" t="str">
        <f>IF(Migrationsartikel!AF266="ja","Denner Partner","")</f>
        <v/>
      </c>
      <c r="BB268" t="str">
        <f>IF(Migrationsartikel!AG266="ja","true","false")</f>
        <v>false</v>
      </c>
      <c r="BC268" t="s">
        <v>1923</v>
      </c>
      <c r="BD268" s="31" t="s">
        <v>235</v>
      </c>
      <c r="BE268" s="31" t="s">
        <v>233</v>
      </c>
    </row>
    <row r="269" spans="2:57" ht="21.75" customHeight="1" x14ac:dyDescent="0.45">
      <c r="B269" t="s">
        <v>115</v>
      </c>
      <c r="E269" s="31" t="s">
        <v>1695</v>
      </c>
      <c r="F269" t="str">
        <f>"Warengruppe&gt;&gt;"&amp;Migrationsartikel!V267&amp;"&gt;&gt;"&amp;Migrationsartikel!W267&amp;"&gt;&gt;"&amp;Migrationsartikel!X267</f>
        <v>Warengruppe&gt;&gt;&gt;&gt;&gt;&gt;</v>
      </c>
      <c r="J269" s="31" t="s">
        <v>125</v>
      </c>
      <c r="M269" s="31" t="s">
        <v>137</v>
      </c>
      <c r="P269" s="31">
        <f>Migrationsartikel!B267</f>
        <v>0</v>
      </c>
      <c r="R269" t="str">
        <f>Migrationsartikel!F267&amp;" "&amp;Migrationsartikel!G267&amp;" "&amp;Migrationsartikel!H267</f>
        <v xml:space="preserve">  </v>
      </c>
      <c r="S269" t="str">
        <f>Migrationsartikel!J267&amp;" "&amp;Migrationsartikel!K267&amp;" "&amp;Migrationsartikel!L267</f>
        <v xml:space="preserve">  </v>
      </c>
      <c r="T269" t="str">
        <f>Migrationsartikel!N267&amp;" "&amp;Migrationsartikel!O267&amp;" "&amp;Migrationsartikel!P267</f>
        <v xml:space="preserve">  </v>
      </c>
      <c r="U269">
        <f>Migrationsartikel!F267</f>
        <v>0</v>
      </c>
      <c r="V269">
        <f>Migrationsartikel!J267</f>
        <v>0</v>
      </c>
      <c r="W269">
        <f>Migrationsartikel!N267</f>
        <v>0</v>
      </c>
      <c r="X269">
        <f>Migrationsartikel!G267</f>
        <v>0</v>
      </c>
      <c r="Y269">
        <f>Migrationsartikel!K267</f>
        <v>0</v>
      </c>
      <c r="Z269">
        <f>Migrationsartikel!O267</f>
        <v>0</v>
      </c>
      <c r="AA269" s="31">
        <f>Migrationsartikel!H267</f>
        <v>0</v>
      </c>
      <c r="AB269" s="31">
        <f>Migrationsartikel!L267</f>
        <v>0</v>
      </c>
      <c r="AC269" s="31">
        <f>Migrationsartikel!P267</f>
        <v>0</v>
      </c>
      <c r="AD269">
        <f>Migrationsartikel!I267</f>
        <v>0</v>
      </c>
      <c r="AE269">
        <f>Migrationsartikel!M267</f>
        <v>0</v>
      </c>
      <c r="AF269">
        <f>Migrationsartikel!Q267</f>
        <v>0</v>
      </c>
      <c r="AG269" s="45">
        <f>Migrationsartikel!R267</f>
        <v>0</v>
      </c>
      <c r="AH269" s="46">
        <f>Migrationsartikel!T267</f>
        <v>0</v>
      </c>
      <c r="AI269" s="46" t="str">
        <f t="shared" si="12"/>
        <v>n/a</v>
      </c>
      <c r="AJ269" s="46" t="s">
        <v>176</v>
      </c>
      <c r="AK269">
        <f>Migrationsartikel!S267</f>
        <v>0</v>
      </c>
      <c r="AL269">
        <f>Migrationsartikel!S267</f>
        <v>0</v>
      </c>
      <c r="AM269">
        <f>Migrationsartikel!S267</f>
        <v>0</v>
      </c>
      <c r="AN269">
        <f>Migrationsartikel!U267</f>
        <v>0</v>
      </c>
      <c r="AO269" t="str">
        <f t="shared" si="13"/>
        <v>n/a</v>
      </c>
      <c r="AP269" t="str">
        <f t="shared" si="14"/>
        <v>n/a</v>
      </c>
      <c r="AQ269" s="31" t="s">
        <v>195</v>
      </c>
      <c r="AR269" s="47"/>
      <c r="AS269" s="47"/>
      <c r="AT269" s="31" t="s">
        <v>208</v>
      </c>
      <c r="AU269" s="47"/>
      <c r="AV269" s="47"/>
      <c r="AW269" t="b">
        <f>IF(Migrationsartikel!AB267="ja","true",FALSE)</f>
        <v>0</v>
      </c>
      <c r="AX269" t="b">
        <f>IF(Migrationsartikel!AC267="ja","true",FALSE)</f>
        <v>0</v>
      </c>
      <c r="AY269" t="b">
        <f>IF(Migrationsartikel!AD267="ja","true",FALSE)</f>
        <v>0</v>
      </c>
      <c r="AZ269" t="b">
        <f>IF(Migrationsartikel!AE267="ja","true",FALSE)</f>
        <v>0</v>
      </c>
      <c r="BA269" t="str">
        <f>IF(Migrationsartikel!AF267="ja","Denner Partner","")</f>
        <v/>
      </c>
      <c r="BB269" t="str">
        <f>IF(Migrationsartikel!AG267="ja","true","false")</f>
        <v>false</v>
      </c>
      <c r="BC269" t="s">
        <v>1923</v>
      </c>
      <c r="BD269" s="31" t="s">
        <v>235</v>
      </c>
      <c r="BE269" s="31" t="s">
        <v>233</v>
      </c>
    </row>
    <row r="270" spans="2:57" ht="21.75" customHeight="1" x14ac:dyDescent="0.45">
      <c r="B270" t="s">
        <v>115</v>
      </c>
      <c r="E270" s="31" t="s">
        <v>1696</v>
      </c>
      <c r="F270" t="str">
        <f>"Warengruppe&gt;&gt;"&amp;Migrationsartikel!V268&amp;"&gt;&gt;"&amp;Migrationsartikel!W268&amp;"&gt;&gt;"&amp;Migrationsartikel!X268</f>
        <v>Warengruppe&gt;&gt;&gt;&gt;&gt;&gt;</v>
      </c>
      <c r="J270" s="31" t="s">
        <v>125</v>
      </c>
      <c r="M270" s="31" t="s">
        <v>137</v>
      </c>
      <c r="P270" s="31">
        <f>Migrationsartikel!B268</f>
        <v>0</v>
      </c>
      <c r="R270" t="str">
        <f>Migrationsartikel!F268&amp;" "&amp;Migrationsartikel!G268&amp;" "&amp;Migrationsartikel!H268</f>
        <v xml:space="preserve">  </v>
      </c>
      <c r="S270" t="str">
        <f>Migrationsartikel!J268&amp;" "&amp;Migrationsartikel!K268&amp;" "&amp;Migrationsartikel!L268</f>
        <v xml:space="preserve">  </v>
      </c>
      <c r="T270" t="str">
        <f>Migrationsartikel!N268&amp;" "&amp;Migrationsartikel!O268&amp;" "&amp;Migrationsartikel!P268</f>
        <v xml:space="preserve">  </v>
      </c>
      <c r="U270">
        <f>Migrationsartikel!F268</f>
        <v>0</v>
      </c>
      <c r="V270">
        <f>Migrationsartikel!J268</f>
        <v>0</v>
      </c>
      <c r="W270">
        <f>Migrationsartikel!N268</f>
        <v>0</v>
      </c>
      <c r="X270">
        <f>Migrationsartikel!G268</f>
        <v>0</v>
      </c>
      <c r="Y270">
        <f>Migrationsartikel!K268</f>
        <v>0</v>
      </c>
      <c r="Z270">
        <f>Migrationsartikel!O268</f>
        <v>0</v>
      </c>
      <c r="AA270" s="31">
        <f>Migrationsartikel!H268</f>
        <v>0</v>
      </c>
      <c r="AB270" s="31">
        <f>Migrationsartikel!L268</f>
        <v>0</v>
      </c>
      <c r="AC270" s="31">
        <f>Migrationsartikel!P268</f>
        <v>0</v>
      </c>
      <c r="AD270">
        <f>Migrationsartikel!I268</f>
        <v>0</v>
      </c>
      <c r="AE270">
        <f>Migrationsartikel!M268</f>
        <v>0</v>
      </c>
      <c r="AF270">
        <f>Migrationsartikel!Q268</f>
        <v>0</v>
      </c>
      <c r="AG270" s="45">
        <f>Migrationsartikel!R268</f>
        <v>0</v>
      </c>
      <c r="AH270" s="46">
        <f>Migrationsartikel!T268</f>
        <v>0</v>
      </c>
      <c r="AI270" s="46" t="str">
        <f t="shared" si="12"/>
        <v>n/a</v>
      </c>
      <c r="AJ270" s="46" t="s">
        <v>176</v>
      </c>
      <c r="AK270">
        <f>Migrationsartikel!S268</f>
        <v>0</v>
      </c>
      <c r="AL270">
        <f>Migrationsartikel!S268</f>
        <v>0</v>
      </c>
      <c r="AM270">
        <f>Migrationsartikel!S268</f>
        <v>0</v>
      </c>
      <c r="AN270">
        <f>Migrationsartikel!U268</f>
        <v>0</v>
      </c>
      <c r="AO270" t="str">
        <f t="shared" si="13"/>
        <v>n/a</v>
      </c>
      <c r="AP270" t="str">
        <f t="shared" si="14"/>
        <v>n/a</v>
      </c>
      <c r="AQ270" s="31" t="s">
        <v>195</v>
      </c>
      <c r="AR270" s="47"/>
      <c r="AS270" s="47"/>
      <c r="AT270" s="31" t="s">
        <v>208</v>
      </c>
      <c r="AU270" s="47"/>
      <c r="AV270" s="47"/>
      <c r="AW270" t="b">
        <f>IF(Migrationsartikel!AB268="ja","true",FALSE)</f>
        <v>0</v>
      </c>
      <c r="AX270" t="b">
        <f>IF(Migrationsartikel!AC268="ja","true",FALSE)</f>
        <v>0</v>
      </c>
      <c r="AY270" t="b">
        <f>IF(Migrationsartikel!AD268="ja","true",FALSE)</f>
        <v>0</v>
      </c>
      <c r="AZ270" t="b">
        <f>IF(Migrationsartikel!AE268="ja","true",FALSE)</f>
        <v>0</v>
      </c>
      <c r="BA270" t="str">
        <f>IF(Migrationsartikel!AF268="ja","Denner Partner","")</f>
        <v/>
      </c>
      <c r="BB270" t="str">
        <f>IF(Migrationsartikel!AG268="ja","true","false")</f>
        <v>false</v>
      </c>
      <c r="BC270" t="s">
        <v>1923</v>
      </c>
      <c r="BD270" s="31" t="s">
        <v>235</v>
      </c>
      <c r="BE270" s="31" t="s">
        <v>233</v>
      </c>
    </row>
    <row r="271" spans="2:57" ht="21.75" customHeight="1" x14ac:dyDescent="0.45">
      <c r="B271" t="s">
        <v>115</v>
      </c>
      <c r="E271" s="31" t="s">
        <v>1697</v>
      </c>
      <c r="F271" t="str">
        <f>"Warengruppe&gt;&gt;"&amp;Migrationsartikel!V269&amp;"&gt;&gt;"&amp;Migrationsartikel!W269&amp;"&gt;&gt;"&amp;Migrationsartikel!X269</f>
        <v>Warengruppe&gt;&gt;&gt;&gt;&gt;&gt;</v>
      </c>
      <c r="J271" s="31" t="s">
        <v>125</v>
      </c>
      <c r="M271" s="31" t="s">
        <v>137</v>
      </c>
      <c r="P271" s="31">
        <f>Migrationsartikel!B269</f>
        <v>0</v>
      </c>
      <c r="R271" t="str">
        <f>Migrationsartikel!F269&amp;" "&amp;Migrationsartikel!G269&amp;" "&amp;Migrationsartikel!H269</f>
        <v xml:space="preserve">  </v>
      </c>
      <c r="S271" t="str">
        <f>Migrationsartikel!J269&amp;" "&amp;Migrationsartikel!K269&amp;" "&amp;Migrationsartikel!L269</f>
        <v xml:space="preserve">  </v>
      </c>
      <c r="T271" t="str">
        <f>Migrationsartikel!N269&amp;" "&amp;Migrationsartikel!O269&amp;" "&amp;Migrationsartikel!P269</f>
        <v xml:space="preserve">  </v>
      </c>
      <c r="U271">
        <f>Migrationsartikel!F269</f>
        <v>0</v>
      </c>
      <c r="V271">
        <f>Migrationsartikel!J269</f>
        <v>0</v>
      </c>
      <c r="W271">
        <f>Migrationsartikel!N269</f>
        <v>0</v>
      </c>
      <c r="X271">
        <f>Migrationsartikel!G269</f>
        <v>0</v>
      </c>
      <c r="Y271">
        <f>Migrationsartikel!K269</f>
        <v>0</v>
      </c>
      <c r="Z271">
        <f>Migrationsartikel!O269</f>
        <v>0</v>
      </c>
      <c r="AA271" s="31">
        <f>Migrationsartikel!H269</f>
        <v>0</v>
      </c>
      <c r="AB271" s="31">
        <f>Migrationsartikel!L269</f>
        <v>0</v>
      </c>
      <c r="AC271" s="31">
        <f>Migrationsartikel!P269</f>
        <v>0</v>
      </c>
      <c r="AD271">
        <f>Migrationsartikel!I269</f>
        <v>0</v>
      </c>
      <c r="AE271">
        <f>Migrationsartikel!M269</f>
        <v>0</v>
      </c>
      <c r="AF271">
        <f>Migrationsartikel!Q269</f>
        <v>0</v>
      </c>
      <c r="AG271" s="45">
        <f>Migrationsartikel!R269</f>
        <v>0</v>
      </c>
      <c r="AH271" s="46">
        <f>Migrationsartikel!T269</f>
        <v>0</v>
      </c>
      <c r="AI271" s="46" t="str">
        <f t="shared" si="12"/>
        <v>n/a</v>
      </c>
      <c r="AJ271" s="46" t="s">
        <v>176</v>
      </c>
      <c r="AK271">
        <f>Migrationsartikel!S269</f>
        <v>0</v>
      </c>
      <c r="AL271">
        <f>Migrationsartikel!S269</f>
        <v>0</v>
      </c>
      <c r="AM271">
        <f>Migrationsartikel!S269</f>
        <v>0</v>
      </c>
      <c r="AN271">
        <f>Migrationsartikel!U269</f>
        <v>0</v>
      </c>
      <c r="AO271" t="str">
        <f t="shared" si="13"/>
        <v>n/a</v>
      </c>
      <c r="AP271" t="str">
        <f t="shared" si="14"/>
        <v>n/a</v>
      </c>
      <c r="AQ271" s="31" t="s">
        <v>195</v>
      </c>
      <c r="AR271" s="47"/>
      <c r="AS271" s="47"/>
      <c r="AT271" s="31" t="s">
        <v>208</v>
      </c>
      <c r="AU271" s="47"/>
      <c r="AV271" s="47"/>
      <c r="AW271" t="b">
        <f>IF(Migrationsartikel!AB269="ja","true",FALSE)</f>
        <v>0</v>
      </c>
      <c r="AX271" t="b">
        <f>IF(Migrationsartikel!AC269="ja","true",FALSE)</f>
        <v>0</v>
      </c>
      <c r="AY271" t="b">
        <f>IF(Migrationsartikel!AD269="ja","true",FALSE)</f>
        <v>0</v>
      </c>
      <c r="AZ271" t="b">
        <f>IF(Migrationsartikel!AE269="ja","true",FALSE)</f>
        <v>0</v>
      </c>
      <c r="BA271" t="str">
        <f>IF(Migrationsartikel!AF269="ja","Denner Partner","")</f>
        <v/>
      </c>
      <c r="BB271" t="str">
        <f>IF(Migrationsartikel!AG269="ja","true","false")</f>
        <v>false</v>
      </c>
      <c r="BC271" t="s">
        <v>1923</v>
      </c>
      <c r="BD271" s="31" t="s">
        <v>235</v>
      </c>
      <c r="BE271" s="31" t="s">
        <v>233</v>
      </c>
    </row>
    <row r="272" spans="2:57" ht="21.75" customHeight="1" x14ac:dyDescent="0.45">
      <c r="B272" t="s">
        <v>115</v>
      </c>
      <c r="E272" s="31" t="s">
        <v>1698</v>
      </c>
      <c r="F272" t="str">
        <f>"Warengruppe&gt;&gt;"&amp;Migrationsartikel!V270&amp;"&gt;&gt;"&amp;Migrationsartikel!W270&amp;"&gt;&gt;"&amp;Migrationsartikel!X270</f>
        <v>Warengruppe&gt;&gt;&gt;&gt;&gt;&gt;</v>
      </c>
      <c r="J272" s="31" t="s">
        <v>125</v>
      </c>
      <c r="M272" s="31" t="s">
        <v>137</v>
      </c>
      <c r="P272" s="31">
        <f>Migrationsartikel!B270</f>
        <v>0</v>
      </c>
      <c r="R272" t="str">
        <f>Migrationsartikel!F270&amp;" "&amp;Migrationsartikel!G270&amp;" "&amp;Migrationsartikel!H270</f>
        <v xml:space="preserve">  </v>
      </c>
      <c r="S272" t="str">
        <f>Migrationsartikel!J270&amp;" "&amp;Migrationsartikel!K270&amp;" "&amp;Migrationsartikel!L270</f>
        <v xml:space="preserve">  </v>
      </c>
      <c r="T272" t="str">
        <f>Migrationsartikel!N270&amp;" "&amp;Migrationsartikel!O270&amp;" "&amp;Migrationsartikel!P270</f>
        <v xml:space="preserve">  </v>
      </c>
      <c r="U272">
        <f>Migrationsartikel!F270</f>
        <v>0</v>
      </c>
      <c r="V272">
        <f>Migrationsartikel!J270</f>
        <v>0</v>
      </c>
      <c r="W272">
        <f>Migrationsartikel!N270</f>
        <v>0</v>
      </c>
      <c r="X272">
        <f>Migrationsartikel!G270</f>
        <v>0</v>
      </c>
      <c r="Y272">
        <f>Migrationsartikel!K270</f>
        <v>0</v>
      </c>
      <c r="Z272">
        <f>Migrationsartikel!O270</f>
        <v>0</v>
      </c>
      <c r="AA272" s="31">
        <f>Migrationsartikel!H270</f>
        <v>0</v>
      </c>
      <c r="AB272" s="31">
        <f>Migrationsartikel!L270</f>
        <v>0</v>
      </c>
      <c r="AC272" s="31">
        <f>Migrationsartikel!P270</f>
        <v>0</v>
      </c>
      <c r="AD272">
        <f>Migrationsartikel!I270</f>
        <v>0</v>
      </c>
      <c r="AE272">
        <f>Migrationsartikel!M270</f>
        <v>0</v>
      </c>
      <c r="AF272">
        <f>Migrationsartikel!Q270</f>
        <v>0</v>
      </c>
      <c r="AG272" s="45">
        <f>Migrationsartikel!R270</f>
        <v>0</v>
      </c>
      <c r="AH272" s="46">
        <f>Migrationsartikel!T270</f>
        <v>0</v>
      </c>
      <c r="AI272" s="46" t="str">
        <f t="shared" si="12"/>
        <v>n/a</v>
      </c>
      <c r="AJ272" s="46" t="s">
        <v>176</v>
      </c>
      <c r="AK272">
        <f>Migrationsartikel!S270</f>
        <v>0</v>
      </c>
      <c r="AL272">
        <f>Migrationsartikel!S270</f>
        <v>0</v>
      </c>
      <c r="AM272">
        <f>Migrationsartikel!S270</f>
        <v>0</v>
      </c>
      <c r="AN272">
        <f>Migrationsartikel!U270</f>
        <v>0</v>
      </c>
      <c r="AO272" t="str">
        <f t="shared" si="13"/>
        <v>n/a</v>
      </c>
      <c r="AP272" t="str">
        <f t="shared" si="14"/>
        <v>n/a</v>
      </c>
      <c r="AQ272" s="31" t="s">
        <v>195</v>
      </c>
      <c r="AR272" s="47"/>
      <c r="AS272" s="47"/>
      <c r="AT272" s="31" t="s">
        <v>208</v>
      </c>
      <c r="AU272" s="47"/>
      <c r="AV272" s="47"/>
      <c r="AW272" t="b">
        <f>IF(Migrationsartikel!AB270="ja","true",FALSE)</f>
        <v>0</v>
      </c>
      <c r="AX272" t="b">
        <f>IF(Migrationsartikel!AC270="ja","true",FALSE)</f>
        <v>0</v>
      </c>
      <c r="AY272" t="b">
        <f>IF(Migrationsartikel!AD270="ja","true",FALSE)</f>
        <v>0</v>
      </c>
      <c r="AZ272" t="b">
        <f>IF(Migrationsartikel!AE270="ja","true",FALSE)</f>
        <v>0</v>
      </c>
      <c r="BA272" t="str">
        <f>IF(Migrationsartikel!AF270="ja","Denner Partner","")</f>
        <v/>
      </c>
      <c r="BB272" t="str">
        <f>IF(Migrationsartikel!AG270="ja","true","false")</f>
        <v>false</v>
      </c>
      <c r="BC272" t="s">
        <v>1923</v>
      </c>
      <c r="BD272" s="31" t="s">
        <v>235</v>
      </c>
      <c r="BE272" s="31" t="s">
        <v>233</v>
      </c>
    </row>
    <row r="273" spans="2:57" ht="21.75" customHeight="1" x14ac:dyDescent="0.45">
      <c r="B273" t="s">
        <v>115</v>
      </c>
      <c r="E273" s="31" t="s">
        <v>1699</v>
      </c>
      <c r="F273" t="str">
        <f>"Warengruppe&gt;&gt;"&amp;Migrationsartikel!V271&amp;"&gt;&gt;"&amp;Migrationsartikel!W271&amp;"&gt;&gt;"&amp;Migrationsartikel!X271</f>
        <v>Warengruppe&gt;&gt;&gt;&gt;&gt;&gt;</v>
      </c>
      <c r="J273" s="31" t="s">
        <v>125</v>
      </c>
      <c r="M273" s="31" t="s">
        <v>137</v>
      </c>
      <c r="P273" s="31">
        <f>Migrationsartikel!B271</f>
        <v>0</v>
      </c>
      <c r="R273" t="str">
        <f>Migrationsartikel!F271&amp;" "&amp;Migrationsartikel!G271&amp;" "&amp;Migrationsartikel!H271</f>
        <v xml:space="preserve">  </v>
      </c>
      <c r="S273" t="str">
        <f>Migrationsartikel!J271&amp;" "&amp;Migrationsartikel!K271&amp;" "&amp;Migrationsartikel!L271</f>
        <v xml:space="preserve">  </v>
      </c>
      <c r="T273" t="str">
        <f>Migrationsartikel!N271&amp;" "&amp;Migrationsartikel!O271&amp;" "&amp;Migrationsartikel!P271</f>
        <v xml:space="preserve">  </v>
      </c>
      <c r="U273">
        <f>Migrationsartikel!F271</f>
        <v>0</v>
      </c>
      <c r="V273">
        <f>Migrationsartikel!J271</f>
        <v>0</v>
      </c>
      <c r="W273">
        <f>Migrationsartikel!N271</f>
        <v>0</v>
      </c>
      <c r="X273">
        <f>Migrationsartikel!G271</f>
        <v>0</v>
      </c>
      <c r="Y273">
        <f>Migrationsartikel!K271</f>
        <v>0</v>
      </c>
      <c r="Z273">
        <f>Migrationsartikel!O271</f>
        <v>0</v>
      </c>
      <c r="AA273" s="31">
        <f>Migrationsartikel!H271</f>
        <v>0</v>
      </c>
      <c r="AB273" s="31">
        <f>Migrationsartikel!L271</f>
        <v>0</v>
      </c>
      <c r="AC273" s="31">
        <f>Migrationsartikel!P271</f>
        <v>0</v>
      </c>
      <c r="AD273">
        <f>Migrationsartikel!I271</f>
        <v>0</v>
      </c>
      <c r="AE273">
        <f>Migrationsartikel!M271</f>
        <v>0</v>
      </c>
      <c r="AF273">
        <f>Migrationsartikel!Q271</f>
        <v>0</v>
      </c>
      <c r="AG273" s="45">
        <f>Migrationsartikel!R271</f>
        <v>0</v>
      </c>
      <c r="AH273" s="46">
        <f>Migrationsartikel!T271</f>
        <v>0</v>
      </c>
      <c r="AI273" s="46" t="str">
        <f t="shared" si="12"/>
        <v>n/a</v>
      </c>
      <c r="AJ273" s="46" t="s">
        <v>176</v>
      </c>
      <c r="AK273">
        <f>Migrationsartikel!S271</f>
        <v>0</v>
      </c>
      <c r="AL273">
        <f>Migrationsartikel!S271</f>
        <v>0</v>
      </c>
      <c r="AM273">
        <f>Migrationsartikel!S271</f>
        <v>0</v>
      </c>
      <c r="AN273">
        <f>Migrationsartikel!U271</f>
        <v>0</v>
      </c>
      <c r="AO273" t="str">
        <f t="shared" si="13"/>
        <v>n/a</v>
      </c>
      <c r="AP273" t="str">
        <f t="shared" si="14"/>
        <v>n/a</v>
      </c>
      <c r="AQ273" s="31" t="s">
        <v>195</v>
      </c>
      <c r="AR273" s="47"/>
      <c r="AS273" s="47"/>
      <c r="AT273" s="31" t="s">
        <v>208</v>
      </c>
      <c r="AU273" s="47"/>
      <c r="AV273" s="47"/>
      <c r="AW273" t="b">
        <f>IF(Migrationsartikel!AB271="ja","true",FALSE)</f>
        <v>0</v>
      </c>
      <c r="AX273" t="b">
        <f>IF(Migrationsartikel!AC271="ja","true",FALSE)</f>
        <v>0</v>
      </c>
      <c r="AY273" t="b">
        <f>IF(Migrationsartikel!AD271="ja","true",FALSE)</f>
        <v>0</v>
      </c>
      <c r="AZ273" t="b">
        <f>IF(Migrationsartikel!AE271="ja","true",FALSE)</f>
        <v>0</v>
      </c>
      <c r="BA273" t="str">
        <f>IF(Migrationsartikel!AF271="ja","Denner Partner","")</f>
        <v/>
      </c>
      <c r="BB273" t="str">
        <f>IF(Migrationsartikel!AG271="ja","true","false")</f>
        <v>false</v>
      </c>
      <c r="BC273" t="s">
        <v>1923</v>
      </c>
      <c r="BD273" s="31" t="s">
        <v>235</v>
      </c>
      <c r="BE273" s="31" t="s">
        <v>233</v>
      </c>
    </row>
    <row r="274" spans="2:57" ht="21.75" customHeight="1" x14ac:dyDescent="0.45">
      <c r="B274" t="s">
        <v>115</v>
      </c>
      <c r="E274" s="31" t="s">
        <v>1700</v>
      </c>
      <c r="F274" t="str">
        <f>"Warengruppe&gt;&gt;"&amp;Migrationsartikel!V272&amp;"&gt;&gt;"&amp;Migrationsartikel!W272&amp;"&gt;&gt;"&amp;Migrationsartikel!X272</f>
        <v>Warengruppe&gt;&gt;&gt;&gt;&gt;&gt;</v>
      </c>
      <c r="J274" s="31" t="s">
        <v>125</v>
      </c>
      <c r="M274" s="31" t="s">
        <v>137</v>
      </c>
      <c r="P274" s="31">
        <f>Migrationsartikel!B272</f>
        <v>0</v>
      </c>
      <c r="R274" t="str">
        <f>Migrationsartikel!F272&amp;" "&amp;Migrationsartikel!G272&amp;" "&amp;Migrationsartikel!H272</f>
        <v xml:space="preserve">  </v>
      </c>
      <c r="S274" t="str">
        <f>Migrationsartikel!J272&amp;" "&amp;Migrationsartikel!K272&amp;" "&amp;Migrationsartikel!L272</f>
        <v xml:space="preserve">  </v>
      </c>
      <c r="T274" t="str">
        <f>Migrationsartikel!N272&amp;" "&amp;Migrationsartikel!O272&amp;" "&amp;Migrationsartikel!P272</f>
        <v xml:space="preserve">  </v>
      </c>
      <c r="U274">
        <f>Migrationsartikel!F272</f>
        <v>0</v>
      </c>
      <c r="V274">
        <f>Migrationsartikel!J272</f>
        <v>0</v>
      </c>
      <c r="W274">
        <f>Migrationsartikel!N272</f>
        <v>0</v>
      </c>
      <c r="X274">
        <f>Migrationsartikel!G272</f>
        <v>0</v>
      </c>
      <c r="Y274">
        <f>Migrationsartikel!K272</f>
        <v>0</v>
      </c>
      <c r="Z274">
        <f>Migrationsartikel!O272</f>
        <v>0</v>
      </c>
      <c r="AA274" s="31">
        <f>Migrationsartikel!H272</f>
        <v>0</v>
      </c>
      <c r="AB274" s="31">
        <f>Migrationsartikel!L272</f>
        <v>0</v>
      </c>
      <c r="AC274" s="31">
        <f>Migrationsartikel!P272</f>
        <v>0</v>
      </c>
      <c r="AD274">
        <f>Migrationsartikel!I272</f>
        <v>0</v>
      </c>
      <c r="AE274">
        <f>Migrationsartikel!M272</f>
        <v>0</v>
      </c>
      <c r="AF274">
        <f>Migrationsartikel!Q272</f>
        <v>0</v>
      </c>
      <c r="AG274" s="45">
        <f>Migrationsartikel!R272</f>
        <v>0</v>
      </c>
      <c r="AH274" s="46">
        <f>Migrationsartikel!T272</f>
        <v>0</v>
      </c>
      <c r="AI274" s="46" t="str">
        <f t="shared" si="12"/>
        <v>n/a</v>
      </c>
      <c r="AJ274" s="46" t="s">
        <v>176</v>
      </c>
      <c r="AK274">
        <f>Migrationsartikel!S272</f>
        <v>0</v>
      </c>
      <c r="AL274">
        <f>Migrationsartikel!S272</f>
        <v>0</v>
      </c>
      <c r="AM274">
        <f>Migrationsartikel!S272</f>
        <v>0</v>
      </c>
      <c r="AN274">
        <f>Migrationsartikel!U272</f>
        <v>0</v>
      </c>
      <c r="AO274" t="str">
        <f t="shared" si="13"/>
        <v>n/a</v>
      </c>
      <c r="AP274" t="str">
        <f t="shared" si="14"/>
        <v>n/a</v>
      </c>
      <c r="AQ274" s="31" t="s">
        <v>195</v>
      </c>
      <c r="AR274" s="47"/>
      <c r="AS274" s="47"/>
      <c r="AT274" s="31" t="s">
        <v>208</v>
      </c>
      <c r="AU274" s="47"/>
      <c r="AV274" s="47"/>
      <c r="AW274" t="b">
        <f>IF(Migrationsartikel!AB272="ja","true",FALSE)</f>
        <v>0</v>
      </c>
      <c r="AX274" t="b">
        <f>IF(Migrationsartikel!AC272="ja","true",FALSE)</f>
        <v>0</v>
      </c>
      <c r="AY274" t="b">
        <f>IF(Migrationsartikel!AD272="ja","true",FALSE)</f>
        <v>0</v>
      </c>
      <c r="AZ274" t="b">
        <f>IF(Migrationsartikel!AE272="ja","true",FALSE)</f>
        <v>0</v>
      </c>
      <c r="BA274" t="str">
        <f>IF(Migrationsartikel!AF272="ja","Denner Partner","")</f>
        <v/>
      </c>
      <c r="BB274" t="str">
        <f>IF(Migrationsartikel!AG272="ja","true","false")</f>
        <v>false</v>
      </c>
      <c r="BC274" t="s">
        <v>1923</v>
      </c>
      <c r="BD274" s="31" t="s">
        <v>235</v>
      </c>
      <c r="BE274" s="31" t="s">
        <v>233</v>
      </c>
    </row>
    <row r="275" spans="2:57" ht="21.75" customHeight="1" x14ac:dyDescent="0.45">
      <c r="B275" t="s">
        <v>115</v>
      </c>
      <c r="E275" s="31" t="s">
        <v>1701</v>
      </c>
      <c r="F275" t="str">
        <f>"Warengruppe&gt;&gt;"&amp;Migrationsartikel!V273&amp;"&gt;&gt;"&amp;Migrationsartikel!W273&amp;"&gt;&gt;"&amp;Migrationsartikel!X273</f>
        <v>Warengruppe&gt;&gt;&gt;&gt;&gt;&gt;</v>
      </c>
      <c r="J275" s="31" t="s">
        <v>125</v>
      </c>
      <c r="M275" s="31" t="s">
        <v>137</v>
      </c>
      <c r="P275" s="31">
        <f>Migrationsartikel!B273</f>
        <v>0</v>
      </c>
      <c r="R275" t="str">
        <f>Migrationsartikel!F273&amp;" "&amp;Migrationsartikel!G273&amp;" "&amp;Migrationsartikel!H273</f>
        <v xml:space="preserve">  </v>
      </c>
      <c r="S275" t="str">
        <f>Migrationsartikel!J273&amp;" "&amp;Migrationsartikel!K273&amp;" "&amp;Migrationsartikel!L273</f>
        <v xml:space="preserve">  </v>
      </c>
      <c r="T275" t="str">
        <f>Migrationsartikel!N273&amp;" "&amp;Migrationsartikel!O273&amp;" "&amp;Migrationsartikel!P273</f>
        <v xml:space="preserve">  </v>
      </c>
      <c r="U275">
        <f>Migrationsartikel!F273</f>
        <v>0</v>
      </c>
      <c r="V275">
        <f>Migrationsartikel!J273</f>
        <v>0</v>
      </c>
      <c r="W275">
        <f>Migrationsartikel!N273</f>
        <v>0</v>
      </c>
      <c r="X275">
        <f>Migrationsartikel!G273</f>
        <v>0</v>
      </c>
      <c r="Y275">
        <f>Migrationsartikel!K273</f>
        <v>0</v>
      </c>
      <c r="Z275">
        <f>Migrationsartikel!O273</f>
        <v>0</v>
      </c>
      <c r="AA275" s="31">
        <f>Migrationsartikel!H273</f>
        <v>0</v>
      </c>
      <c r="AB275" s="31">
        <f>Migrationsartikel!L273</f>
        <v>0</v>
      </c>
      <c r="AC275" s="31">
        <f>Migrationsartikel!P273</f>
        <v>0</v>
      </c>
      <c r="AD275">
        <f>Migrationsartikel!I273</f>
        <v>0</v>
      </c>
      <c r="AE275">
        <f>Migrationsartikel!M273</f>
        <v>0</v>
      </c>
      <c r="AF275">
        <f>Migrationsartikel!Q273</f>
        <v>0</v>
      </c>
      <c r="AG275" s="45">
        <f>Migrationsartikel!R273</f>
        <v>0</v>
      </c>
      <c r="AH275" s="46">
        <f>Migrationsartikel!T273</f>
        <v>0</v>
      </c>
      <c r="AI275" s="46" t="str">
        <f t="shared" si="12"/>
        <v>n/a</v>
      </c>
      <c r="AJ275" s="46" t="s">
        <v>176</v>
      </c>
      <c r="AK275">
        <f>Migrationsartikel!S273</f>
        <v>0</v>
      </c>
      <c r="AL275">
        <f>Migrationsartikel!S273</f>
        <v>0</v>
      </c>
      <c r="AM275">
        <f>Migrationsartikel!S273</f>
        <v>0</v>
      </c>
      <c r="AN275">
        <f>Migrationsartikel!U273</f>
        <v>0</v>
      </c>
      <c r="AO275" t="str">
        <f t="shared" si="13"/>
        <v>n/a</v>
      </c>
      <c r="AP275" t="str">
        <f t="shared" si="14"/>
        <v>n/a</v>
      </c>
      <c r="AQ275" s="31" t="s">
        <v>195</v>
      </c>
      <c r="AR275" s="47"/>
      <c r="AS275" s="47"/>
      <c r="AT275" s="31" t="s">
        <v>208</v>
      </c>
      <c r="AU275" s="47"/>
      <c r="AV275" s="47"/>
      <c r="AW275" t="b">
        <f>IF(Migrationsartikel!AB273="ja","true",FALSE)</f>
        <v>0</v>
      </c>
      <c r="AX275" t="b">
        <f>IF(Migrationsartikel!AC273="ja","true",FALSE)</f>
        <v>0</v>
      </c>
      <c r="AY275" t="b">
        <f>IF(Migrationsartikel!AD273="ja","true",FALSE)</f>
        <v>0</v>
      </c>
      <c r="AZ275" t="b">
        <f>IF(Migrationsartikel!AE273="ja","true",FALSE)</f>
        <v>0</v>
      </c>
      <c r="BA275" t="str">
        <f>IF(Migrationsartikel!AF273="ja","Denner Partner","")</f>
        <v/>
      </c>
      <c r="BB275" t="str">
        <f>IF(Migrationsartikel!AG273="ja","true","false")</f>
        <v>false</v>
      </c>
      <c r="BC275" t="s">
        <v>1923</v>
      </c>
      <c r="BD275" s="31" t="s">
        <v>235</v>
      </c>
      <c r="BE275" s="31" t="s">
        <v>233</v>
      </c>
    </row>
    <row r="276" spans="2:57" ht="21.75" customHeight="1" x14ac:dyDescent="0.45">
      <c r="B276" t="s">
        <v>115</v>
      </c>
      <c r="E276" s="31" t="s">
        <v>1702</v>
      </c>
      <c r="F276" t="str">
        <f>"Warengruppe&gt;&gt;"&amp;Migrationsartikel!V274&amp;"&gt;&gt;"&amp;Migrationsartikel!W274&amp;"&gt;&gt;"&amp;Migrationsartikel!X274</f>
        <v>Warengruppe&gt;&gt;&gt;&gt;&gt;&gt;</v>
      </c>
      <c r="J276" s="31" t="s">
        <v>125</v>
      </c>
      <c r="M276" s="31" t="s">
        <v>137</v>
      </c>
      <c r="P276" s="31">
        <f>Migrationsartikel!B274</f>
        <v>0</v>
      </c>
      <c r="R276" t="str">
        <f>Migrationsartikel!F274&amp;" "&amp;Migrationsartikel!G274&amp;" "&amp;Migrationsartikel!H274</f>
        <v xml:space="preserve">  </v>
      </c>
      <c r="S276" t="str">
        <f>Migrationsartikel!J274&amp;" "&amp;Migrationsartikel!K274&amp;" "&amp;Migrationsartikel!L274</f>
        <v xml:space="preserve">  </v>
      </c>
      <c r="T276" t="str">
        <f>Migrationsartikel!N274&amp;" "&amp;Migrationsartikel!O274&amp;" "&amp;Migrationsartikel!P274</f>
        <v xml:space="preserve">  </v>
      </c>
      <c r="U276">
        <f>Migrationsartikel!F274</f>
        <v>0</v>
      </c>
      <c r="V276">
        <f>Migrationsartikel!J274</f>
        <v>0</v>
      </c>
      <c r="W276">
        <f>Migrationsartikel!N274</f>
        <v>0</v>
      </c>
      <c r="X276">
        <f>Migrationsartikel!G274</f>
        <v>0</v>
      </c>
      <c r="Y276">
        <f>Migrationsartikel!K274</f>
        <v>0</v>
      </c>
      <c r="Z276">
        <f>Migrationsartikel!O274</f>
        <v>0</v>
      </c>
      <c r="AA276" s="31">
        <f>Migrationsartikel!H274</f>
        <v>0</v>
      </c>
      <c r="AB276" s="31">
        <f>Migrationsartikel!L274</f>
        <v>0</v>
      </c>
      <c r="AC276" s="31">
        <f>Migrationsartikel!P274</f>
        <v>0</v>
      </c>
      <c r="AD276">
        <f>Migrationsartikel!I274</f>
        <v>0</v>
      </c>
      <c r="AE276">
        <f>Migrationsartikel!M274</f>
        <v>0</v>
      </c>
      <c r="AF276">
        <f>Migrationsartikel!Q274</f>
        <v>0</v>
      </c>
      <c r="AG276" s="45">
        <f>Migrationsartikel!R274</f>
        <v>0</v>
      </c>
      <c r="AH276" s="46">
        <f>Migrationsartikel!T274</f>
        <v>0</v>
      </c>
      <c r="AI276" s="46" t="str">
        <f t="shared" si="12"/>
        <v>n/a</v>
      </c>
      <c r="AJ276" s="46" t="s">
        <v>176</v>
      </c>
      <c r="AK276">
        <f>Migrationsartikel!S274</f>
        <v>0</v>
      </c>
      <c r="AL276">
        <f>Migrationsartikel!S274</f>
        <v>0</v>
      </c>
      <c r="AM276">
        <f>Migrationsartikel!S274</f>
        <v>0</v>
      </c>
      <c r="AN276">
        <f>Migrationsartikel!U274</f>
        <v>0</v>
      </c>
      <c r="AO276" t="str">
        <f t="shared" si="13"/>
        <v>n/a</v>
      </c>
      <c r="AP276" t="str">
        <f t="shared" si="14"/>
        <v>n/a</v>
      </c>
      <c r="AQ276" s="31" t="s">
        <v>195</v>
      </c>
      <c r="AR276" s="47"/>
      <c r="AS276" s="47"/>
      <c r="AT276" s="31" t="s">
        <v>208</v>
      </c>
      <c r="AU276" s="47"/>
      <c r="AV276" s="47"/>
      <c r="AW276" t="b">
        <f>IF(Migrationsartikel!AB274="ja","true",FALSE)</f>
        <v>0</v>
      </c>
      <c r="AX276" t="b">
        <f>IF(Migrationsartikel!AC274="ja","true",FALSE)</f>
        <v>0</v>
      </c>
      <c r="AY276" t="b">
        <f>IF(Migrationsartikel!AD274="ja","true",FALSE)</f>
        <v>0</v>
      </c>
      <c r="AZ276" t="b">
        <f>IF(Migrationsartikel!AE274="ja","true",FALSE)</f>
        <v>0</v>
      </c>
      <c r="BA276" t="str">
        <f>IF(Migrationsartikel!AF274="ja","Denner Partner","")</f>
        <v/>
      </c>
      <c r="BB276" t="str">
        <f>IF(Migrationsartikel!AG274="ja","true","false")</f>
        <v>false</v>
      </c>
      <c r="BC276" t="s">
        <v>1923</v>
      </c>
      <c r="BD276" s="31" t="s">
        <v>235</v>
      </c>
      <c r="BE276" s="31" t="s">
        <v>233</v>
      </c>
    </row>
    <row r="277" spans="2:57" ht="21.75" customHeight="1" x14ac:dyDescent="0.45">
      <c r="B277" t="s">
        <v>115</v>
      </c>
      <c r="E277" s="31" t="s">
        <v>1703</v>
      </c>
      <c r="F277" t="str">
        <f>"Warengruppe&gt;&gt;"&amp;Migrationsartikel!V275&amp;"&gt;&gt;"&amp;Migrationsartikel!W275&amp;"&gt;&gt;"&amp;Migrationsartikel!X275</f>
        <v>Warengruppe&gt;&gt;&gt;&gt;&gt;&gt;</v>
      </c>
      <c r="J277" s="31" t="s">
        <v>125</v>
      </c>
      <c r="M277" s="31" t="s">
        <v>137</v>
      </c>
      <c r="P277" s="31">
        <f>Migrationsartikel!B275</f>
        <v>0</v>
      </c>
      <c r="R277" t="str">
        <f>Migrationsartikel!F275&amp;" "&amp;Migrationsartikel!G275&amp;" "&amp;Migrationsartikel!H275</f>
        <v xml:space="preserve">  </v>
      </c>
      <c r="S277" t="str">
        <f>Migrationsartikel!J275&amp;" "&amp;Migrationsartikel!K275&amp;" "&amp;Migrationsartikel!L275</f>
        <v xml:space="preserve">  </v>
      </c>
      <c r="T277" t="str">
        <f>Migrationsartikel!N275&amp;" "&amp;Migrationsartikel!O275&amp;" "&amp;Migrationsartikel!P275</f>
        <v xml:space="preserve">  </v>
      </c>
      <c r="U277">
        <f>Migrationsartikel!F275</f>
        <v>0</v>
      </c>
      <c r="V277">
        <f>Migrationsartikel!J275</f>
        <v>0</v>
      </c>
      <c r="W277">
        <f>Migrationsartikel!N275</f>
        <v>0</v>
      </c>
      <c r="X277">
        <f>Migrationsartikel!G275</f>
        <v>0</v>
      </c>
      <c r="Y277">
        <f>Migrationsartikel!K275</f>
        <v>0</v>
      </c>
      <c r="Z277">
        <f>Migrationsartikel!O275</f>
        <v>0</v>
      </c>
      <c r="AA277" s="31">
        <f>Migrationsartikel!H275</f>
        <v>0</v>
      </c>
      <c r="AB277" s="31">
        <f>Migrationsartikel!L275</f>
        <v>0</v>
      </c>
      <c r="AC277" s="31">
        <f>Migrationsartikel!P275</f>
        <v>0</v>
      </c>
      <c r="AD277">
        <f>Migrationsartikel!I275</f>
        <v>0</v>
      </c>
      <c r="AE277">
        <f>Migrationsartikel!M275</f>
        <v>0</v>
      </c>
      <c r="AF277">
        <f>Migrationsartikel!Q275</f>
        <v>0</v>
      </c>
      <c r="AG277" s="45">
        <f>Migrationsartikel!R275</f>
        <v>0</v>
      </c>
      <c r="AH277" s="46">
        <f>Migrationsartikel!T275</f>
        <v>0</v>
      </c>
      <c r="AI277" s="46" t="str">
        <f t="shared" si="12"/>
        <v>n/a</v>
      </c>
      <c r="AJ277" s="46" t="s">
        <v>176</v>
      </c>
      <c r="AK277">
        <f>Migrationsartikel!S275</f>
        <v>0</v>
      </c>
      <c r="AL277">
        <f>Migrationsartikel!S275</f>
        <v>0</v>
      </c>
      <c r="AM277">
        <f>Migrationsartikel!S275</f>
        <v>0</v>
      </c>
      <c r="AN277">
        <f>Migrationsartikel!U275</f>
        <v>0</v>
      </c>
      <c r="AO277" t="str">
        <f t="shared" si="13"/>
        <v>n/a</v>
      </c>
      <c r="AP277" t="str">
        <f t="shared" si="14"/>
        <v>n/a</v>
      </c>
      <c r="AQ277" s="31" t="s">
        <v>195</v>
      </c>
      <c r="AR277" s="47"/>
      <c r="AS277" s="47"/>
      <c r="AT277" s="31" t="s">
        <v>208</v>
      </c>
      <c r="AU277" s="47"/>
      <c r="AV277" s="47"/>
      <c r="AW277" t="b">
        <f>IF(Migrationsartikel!AB275="ja","true",FALSE)</f>
        <v>0</v>
      </c>
      <c r="AX277" t="b">
        <f>IF(Migrationsartikel!AC275="ja","true",FALSE)</f>
        <v>0</v>
      </c>
      <c r="AY277" t="b">
        <f>IF(Migrationsartikel!AD275="ja","true",FALSE)</f>
        <v>0</v>
      </c>
      <c r="AZ277" t="b">
        <f>IF(Migrationsartikel!AE275="ja","true",FALSE)</f>
        <v>0</v>
      </c>
      <c r="BA277" t="str">
        <f>IF(Migrationsartikel!AF275="ja","Denner Partner","")</f>
        <v/>
      </c>
      <c r="BB277" t="str">
        <f>IF(Migrationsartikel!AG275="ja","true","false")</f>
        <v>false</v>
      </c>
      <c r="BC277" t="s">
        <v>1923</v>
      </c>
      <c r="BD277" s="31" t="s">
        <v>235</v>
      </c>
      <c r="BE277" s="31" t="s">
        <v>233</v>
      </c>
    </row>
    <row r="278" spans="2:57" ht="21.75" customHeight="1" x14ac:dyDescent="0.45">
      <c r="B278" t="s">
        <v>115</v>
      </c>
      <c r="E278" s="31" t="s">
        <v>1704</v>
      </c>
      <c r="F278" t="str">
        <f>"Warengruppe&gt;&gt;"&amp;Migrationsartikel!V276&amp;"&gt;&gt;"&amp;Migrationsartikel!W276&amp;"&gt;&gt;"&amp;Migrationsartikel!X276</f>
        <v>Warengruppe&gt;&gt;&gt;&gt;&gt;&gt;</v>
      </c>
      <c r="J278" s="31" t="s">
        <v>125</v>
      </c>
      <c r="M278" s="31" t="s">
        <v>137</v>
      </c>
      <c r="P278" s="31">
        <f>Migrationsartikel!B276</f>
        <v>0</v>
      </c>
      <c r="R278" t="str">
        <f>Migrationsartikel!F276&amp;" "&amp;Migrationsartikel!G276&amp;" "&amp;Migrationsartikel!H276</f>
        <v xml:space="preserve">  </v>
      </c>
      <c r="S278" t="str">
        <f>Migrationsartikel!J276&amp;" "&amp;Migrationsartikel!K276&amp;" "&amp;Migrationsartikel!L276</f>
        <v xml:space="preserve">  </v>
      </c>
      <c r="T278" t="str">
        <f>Migrationsartikel!N276&amp;" "&amp;Migrationsartikel!O276&amp;" "&amp;Migrationsartikel!P276</f>
        <v xml:space="preserve">  </v>
      </c>
      <c r="U278">
        <f>Migrationsartikel!F276</f>
        <v>0</v>
      </c>
      <c r="V278">
        <f>Migrationsartikel!J276</f>
        <v>0</v>
      </c>
      <c r="W278">
        <f>Migrationsartikel!N276</f>
        <v>0</v>
      </c>
      <c r="X278">
        <f>Migrationsartikel!G276</f>
        <v>0</v>
      </c>
      <c r="Y278">
        <f>Migrationsartikel!K276</f>
        <v>0</v>
      </c>
      <c r="Z278">
        <f>Migrationsartikel!O276</f>
        <v>0</v>
      </c>
      <c r="AA278" s="31">
        <f>Migrationsartikel!H276</f>
        <v>0</v>
      </c>
      <c r="AB278" s="31">
        <f>Migrationsartikel!L276</f>
        <v>0</v>
      </c>
      <c r="AC278" s="31">
        <f>Migrationsartikel!P276</f>
        <v>0</v>
      </c>
      <c r="AD278">
        <f>Migrationsartikel!I276</f>
        <v>0</v>
      </c>
      <c r="AE278">
        <f>Migrationsartikel!M276</f>
        <v>0</v>
      </c>
      <c r="AF278">
        <f>Migrationsartikel!Q276</f>
        <v>0</v>
      </c>
      <c r="AG278" s="45">
        <f>Migrationsartikel!R276</f>
        <v>0</v>
      </c>
      <c r="AH278" s="46">
        <f>Migrationsartikel!T276</f>
        <v>0</v>
      </c>
      <c r="AI278" s="46" t="str">
        <f t="shared" si="12"/>
        <v>n/a</v>
      </c>
      <c r="AJ278" s="46" t="s">
        <v>176</v>
      </c>
      <c r="AK278">
        <f>Migrationsartikel!S276</f>
        <v>0</v>
      </c>
      <c r="AL278">
        <f>Migrationsartikel!S276</f>
        <v>0</v>
      </c>
      <c r="AM278">
        <f>Migrationsartikel!S276</f>
        <v>0</v>
      </c>
      <c r="AN278">
        <f>Migrationsartikel!U276</f>
        <v>0</v>
      </c>
      <c r="AO278" t="str">
        <f t="shared" si="13"/>
        <v>n/a</v>
      </c>
      <c r="AP278" t="str">
        <f t="shared" si="14"/>
        <v>n/a</v>
      </c>
      <c r="AQ278" s="31" t="s">
        <v>195</v>
      </c>
      <c r="AR278" s="47"/>
      <c r="AS278" s="47"/>
      <c r="AT278" s="31" t="s">
        <v>208</v>
      </c>
      <c r="AU278" s="47"/>
      <c r="AV278" s="47"/>
      <c r="AW278" t="b">
        <f>IF(Migrationsartikel!AB276="ja","true",FALSE)</f>
        <v>0</v>
      </c>
      <c r="AX278" t="b">
        <f>IF(Migrationsartikel!AC276="ja","true",FALSE)</f>
        <v>0</v>
      </c>
      <c r="AY278" t="b">
        <f>IF(Migrationsartikel!AD276="ja","true",FALSE)</f>
        <v>0</v>
      </c>
      <c r="AZ278" t="b">
        <f>IF(Migrationsartikel!AE276="ja","true",FALSE)</f>
        <v>0</v>
      </c>
      <c r="BA278" t="str">
        <f>IF(Migrationsartikel!AF276="ja","Denner Partner","")</f>
        <v/>
      </c>
      <c r="BB278" t="str">
        <f>IF(Migrationsartikel!AG276="ja","true","false")</f>
        <v>false</v>
      </c>
      <c r="BC278" t="s">
        <v>1923</v>
      </c>
      <c r="BD278" s="31" t="s">
        <v>235</v>
      </c>
      <c r="BE278" s="31" t="s">
        <v>233</v>
      </c>
    </row>
    <row r="279" spans="2:57" ht="21.75" customHeight="1" x14ac:dyDescent="0.45">
      <c r="B279" t="s">
        <v>115</v>
      </c>
      <c r="E279" s="31" t="s">
        <v>1705</v>
      </c>
      <c r="F279" t="str">
        <f>"Warengruppe&gt;&gt;"&amp;Migrationsartikel!V277&amp;"&gt;&gt;"&amp;Migrationsartikel!W277&amp;"&gt;&gt;"&amp;Migrationsartikel!X277</f>
        <v>Warengruppe&gt;&gt;&gt;&gt;&gt;&gt;</v>
      </c>
      <c r="J279" s="31" t="s">
        <v>125</v>
      </c>
      <c r="M279" s="31" t="s">
        <v>137</v>
      </c>
      <c r="P279" s="31">
        <f>Migrationsartikel!B277</f>
        <v>0</v>
      </c>
      <c r="R279" t="str">
        <f>Migrationsartikel!F277&amp;" "&amp;Migrationsartikel!G277&amp;" "&amp;Migrationsartikel!H277</f>
        <v xml:space="preserve">  </v>
      </c>
      <c r="S279" t="str">
        <f>Migrationsartikel!J277&amp;" "&amp;Migrationsartikel!K277&amp;" "&amp;Migrationsartikel!L277</f>
        <v xml:space="preserve">  </v>
      </c>
      <c r="T279" t="str">
        <f>Migrationsartikel!N277&amp;" "&amp;Migrationsartikel!O277&amp;" "&amp;Migrationsartikel!P277</f>
        <v xml:space="preserve">  </v>
      </c>
      <c r="U279">
        <f>Migrationsartikel!F277</f>
        <v>0</v>
      </c>
      <c r="V279">
        <f>Migrationsartikel!J277</f>
        <v>0</v>
      </c>
      <c r="W279">
        <f>Migrationsartikel!N277</f>
        <v>0</v>
      </c>
      <c r="X279">
        <f>Migrationsartikel!G277</f>
        <v>0</v>
      </c>
      <c r="Y279">
        <f>Migrationsartikel!K277</f>
        <v>0</v>
      </c>
      <c r="Z279">
        <f>Migrationsartikel!O277</f>
        <v>0</v>
      </c>
      <c r="AA279" s="31">
        <f>Migrationsartikel!H277</f>
        <v>0</v>
      </c>
      <c r="AB279" s="31">
        <f>Migrationsartikel!L277</f>
        <v>0</v>
      </c>
      <c r="AC279" s="31">
        <f>Migrationsartikel!P277</f>
        <v>0</v>
      </c>
      <c r="AD279">
        <f>Migrationsartikel!I277</f>
        <v>0</v>
      </c>
      <c r="AE279">
        <f>Migrationsartikel!M277</f>
        <v>0</v>
      </c>
      <c r="AF279">
        <f>Migrationsartikel!Q277</f>
        <v>0</v>
      </c>
      <c r="AG279" s="45">
        <f>Migrationsartikel!R277</f>
        <v>0</v>
      </c>
      <c r="AH279" s="46">
        <f>Migrationsartikel!T277</f>
        <v>0</v>
      </c>
      <c r="AI279" s="46" t="str">
        <f t="shared" si="12"/>
        <v>n/a</v>
      </c>
      <c r="AJ279" s="46" t="s">
        <v>176</v>
      </c>
      <c r="AK279">
        <f>Migrationsartikel!S277</f>
        <v>0</v>
      </c>
      <c r="AL279">
        <f>Migrationsartikel!S277</f>
        <v>0</v>
      </c>
      <c r="AM279">
        <f>Migrationsartikel!S277</f>
        <v>0</v>
      </c>
      <c r="AN279">
        <f>Migrationsartikel!U277</f>
        <v>0</v>
      </c>
      <c r="AO279" t="str">
        <f t="shared" si="13"/>
        <v>n/a</v>
      </c>
      <c r="AP279" t="str">
        <f t="shared" si="14"/>
        <v>n/a</v>
      </c>
      <c r="AQ279" s="31" t="s">
        <v>195</v>
      </c>
      <c r="AR279" s="47"/>
      <c r="AS279" s="47"/>
      <c r="AT279" s="31" t="s">
        <v>208</v>
      </c>
      <c r="AU279" s="47"/>
      <c r="AV279" s="47"/>
      <c r="AW279" t="b">
        <f>IF(Migrationsartikel!AB277="ja","true",FALSE)</f>
        <v>0</v>
      </c>
      <c r="AX279" t="b">
        <f>IF(Migrationsartikel!AC277="ja","true",FALSE)</f>
        <v>0</v>
      </c>
      <c r="AY279" t="b">
        <f>IF(Migrationsartikel!AD277="ja","true",FALSE)</f>
        <v>0</v>
      </c>
      <c r="AZ279" t="b">
        <f>IF(Migrationsartikel!AE277="ja","true",FALSE)</f>
        <v>0</v>
      </c>
      <c r="BA279" t="str">
        <f>IF(Migrationsartikel!AF277="ja","Denner Partner","")</f>
        <v/>
      </c>
      <c r="BB279" t="str">
        <f>IF(Migrationsartikel!AG277="ja","true","false")</f>
        <v>false</v>
      </c>
      <c r="BC279" t="s">
        <v>1923</v>
      </c>
      <c r="BD279" s="31" t="s">
        <v>235</v>
      </c>
      <c r="BE279" s="31" t="s">
        <v>233</v>
      </c>
    </row>
    <row r="280" spans="2:57" ht="21.75" customHeight="1" x14ac:dyDescent="0.45">
      <c r="B280" t="s">
        <v>115</v>
      </c>
      <c r="E280" s="31" t="s">
        <v>1706</v>
      </c>
      <c r="F280" t="str">
        <f>"Warengruppe&gt;&gt;"&amp;Migrationsartikel!V278&amp;"&gt;&gt;"&amp;Migrationsartikel!W278&amp;"&gt;&gt;"&amp;Migrationsartikel!X278</f>
        <v>Warengruppe&gt;&gt;&gt;&gt;&gt;&gt;</v>
      </c>
      <c r="J280" s="31" t="s">
        <v>125</v>
      </c>
      <c r="M280" s="31" t="s">
        <v>137</v>
      </c>
      <c r="P280" s="31">
        <f>Migrationsartikel!B278</f>
        <v>0</v>
      </c>
      <c r="R280" t="str">
        <f>Migrationsartikel!F278&amp;" "&amp;Migrationsartikel!G278&amp;" "&amp;Migrationsartikel!H278</f>
        <v xml:space="preserve">  </v>
      </c>
      <c r="S280" t="str">
        <f>Migrationsartikel!J278&amp;" "&amp;Migrationsartikel!K278&amp;" "&amp;Migrationsartikel!L278</f>
        <v xml:space="preserve">  </v>
      </c>
      <c r="T280" t="str">
        <f>Migrationsartikel!N278&amp;" "&amp;Migrationsartikel!O278&amp;" "&amp;Migrationsartikel!P278</f>
        <v xml:space="preserve">  </v>
      </c>
      <c r="U280">
        <f>Migrationsartikel!F278</f>
        <v>0</v>
      </c>
      <c r="V280">
        <f>Migrationsartikel!J278</f>
        <v>0</v>
      </c>
      <c r="W280">
        <f>Migrationsartikel!N278</f>
        <v>0</v>
      </c>
      <c r="X280">
        <f>Migrationsartikel!G278</f>
        <v>0</v>
      </c>
      <c r="Y280">
        <f>Migrationsartikel!K278</f>
        <v>0</v>
      </c>
      <c r="Z280">
        <f>Migrationsartikel!O278</f>
        <v>0</v>
      </c>
      <c r="AA280" s="31">
        <f>Migrationsartikel!H278</f>
        <v>0</v>
      </c>
      <c r="AB280" s="31">
        <f>Migrationsartikel!L278</f>
        <v>0</v>
      </c>
      <c r="AC280" s="31">
        <f>Migrationsartikel!P278</f>
        <v>0</v>
      </c>
      <c r="AD280">
        <f>Migrationsartikel!I278</f>
        <v>0</v>
      </c>
      <c r="AE280">
        <f>Migrationsartikel!M278</f>
        <v>0</v>
      </c>
      <c r="AF280">
        <f>Migrationsartikel!Q278</f>
        <v>0</v>
      </c>
      <c r="AG280" s="45">
        <f>Migrationsartikel!R278</f>
        <v>0</v>
      </c>
      <c r="AH280" s="46">
        <f>Migrationsartikel!T278</f>
        <v>0</v>
      </c>
      <c r="AI280" s="46" t="str">
        <f t="shared" si="12"/>
        <v>n/a</v>
      </c>
      <c r="AJ280" s="46" t="s">
        <v>176</v>
      </c>
      <c r="AK280">
        <f>Migrationsartikel!S278</f>
        <v>0</v>
      </c>
      <c r="AL280">
        <f>Migrationsartikel!S278</f>
        <v>0</v>
      </c>
      <c r="AM280">
        <f>Migrationsartikel!S278</f>
        <v>0</v>
      </c>
      <c r="AN280">
        <f>Migrationsartikel!U278</f>
        <v>0</v>
      </c>
      <c r="AO280" t="str">
        <f t="shared" si="13"/>
        <v>n/a</v>
      </c>
      <c r="AP280" t="str">
        <f t="shared" si="14"/>
        <v>n/a</v>
      </c>
      <c r="AQ280" s="31" t="s">
        <v>195</v>
      </c>
      <c r="AR280" s="47"/>
      <c r="AS280" s="47"/>
      <c r="AT280" s="31" t="s">
        <v>208</v>
      </c>
      <c r="AU280" s="47"/>
      <c r="AV280" s="47"/>
      <c r="AW280" t="b">
        <f>IF(Migrationsartikel!AB278="ja","true",FALSE)</f>
        <v>0</v>
      </c>
      <c r="AX280" t="b">
        <f>IF(Migrationsartikel!AC278="ja","true",FALSE)</f>
        <v>0</v>
      </c>
      <c r="AY280" t="b">
        <f>IF(Migrationsartikel!AD278="ja","true",FALSE)</f>
        <v>0</v>
      </c>
      <c r="AZ280" t="b">
        <f>IF(Migrationsartikel!AE278="ja","true",FALSE)</f>
        <v>0</v>
      </c>
      <c r="BA280" t="str">
        <f>IF(Migrationsartikel!AF278="ja","Denner Partner","")</f>
        <v/>
      </c>
      <c r="BB280" t="str">
        <f>IF(Migrationsartikel!AG278="ja","true","false")</f>
        <v>false</v>
      </c>
      <c r="BC280" t="s">
        <v>1923</v>
      </c>
      <c r="BD280" s="31" t="s">
        <v>235</v>
      </c>
      <c r="BE280" s="31" t="s">
        <v>233</v>
      </c>
    </row>
    <row r="281" spans="2:57" ht="21.75" customHeight="1" x14ac:dyDescent="0.45">
      <c r="B281" t="s">
        <v>115</v>
      </c>
      <c r="E281" s="31" t="s">
        <v>1707</v>
      </c>
      <c r="F281" t="str">
        <f>"Warengruppe&gt;&gt;"&amp;Migrationsartikel!V279&amp;"&gt;&gt;"&amp;Migrationsartikel!W279&amp;"&gt;&gt;"&amp;Migrationsartikel!X279</f>
        <v>Warengruppe&gt;&gt;&gt;&gt;&gt;&gt;</v>
      </c>
      <c r="J281" s="31" t="s">
        <v>125</v>
      </c>
      <c r="M281" s="31" t="s">
        <v>137</v>
      </c>
      <c r="P281" s="31">
        <f>Migrationsartikel!B279</f>
        <v>0</v>
      </c>
      <c r="R281" t="str">
        <f>Migrationsartikel!F279&amp;" "&amp;Migrationsartikel!G279&amp;" "&amp;Migrationsartikel!H279</f>
        <v xml:space="preserve">  </v>
      </c>
      <c r="S281" t="str">
        <f>Migrationsartikel!J279&amp;" "&amp;Migrationsartikel!K279&amp;" "&amp;Migrationsartikel!L279</f>
        <v xml:space="preserve">  </v>
      </c>
      <c r="T281" t="str">
        <f>Migrationsartikel!N279&amp;" "&amp;Migrationsartikel!O279&amp;" "&amp;Migrationsartikel!P279</f>
        <v xml:space="preserve">  </v>
      </c>
      <c r="U281">
        <f>Migrationsartikel!F279</f>
        <v>0</v>
      </c>
      <c r="V281">
        <f>Migrationsartikel!J279</f>
        <v>0</v>
      </c>
      <c r="W281">
        <f>Migrationsartikel!N279</f>
        <v>0</v>
      </c>
      <c r="X281">
        <f>Migrationsartikel!G279</f>
        <v>0</v>
      </c>
      <c r="Y281">
        <f>Migrationsartikel!K279</f>
        <v>0</v>
      </c>
      <c r="Z281">
        <f>Migrationsartikel!O279</f>
        <v>0</v>
      </c>
      <c r="AA281" s="31">
        <f>Migrationsartikel!H279</f>
        <v>0</v>
      </c>
      <c r="AB281" s="31">
        <f>Migrationsartikel!L279</f>
        <v>0</v>
      </c>
      <c r="AC281" s="31">
        <f>Migrationsartikel!P279</f>
        <v>0</v>
      </c>
      <c r="AD281">
        <f>Migrationsartikel!I279</f>
        <v>0</v>
      </c>
      <c r="AE281">
        <f>Migrationsartikel!M279</f>
        <v>0</v>
      </c>
      <c r="AF281">
        <f>Migrationsartikel!Q279</f>
        <v>0</v>
      </c>
      <c r="AG281" s="45">
        <f>Migrationsartikel!R279</f>
        <v>0</v>
      </c>
      <c r="AH281" s="46">
        <f>Migrationsartikel!T279</f>
        <v>0</v>
      </c>
      <c r="AI281" s="46" t="str">
        <f t="shared" si="12"/>
        <v>n/a</v>
      </c>
      <c r="AJ281" s="46" t="s">
        <v>176</v>
      </c>
      <c r="AK281">
        <f>Migrationsartikel!S279</f>
        <v>0</v>
      </c>
      <c r="AL281">
        <f>Migrationsartikel!S279</f>
        <v>0</v>
      </c>
      <c r="AM281">
        <f>Migrationsartikel!S279</f>
        <v>0</v>
      </c>
      <c r="AN281">
        <f>Migrationsartikel!U279</f>
        <v>0</v>
      </c>
      <c r="AO281" t="str">
        <f t="shared" si="13"/>
        <v>n/a</v>
      </c>
      <c r="AP281" t="str">
        <f t="shared" si="14"/>
        <v>n/a</v>
      </c>
      <c r="AQ281" s="31" t="s">
        <v>195</v>
      </c>
      <c r="AR281" s="47"/>
      <c r="AS281" s="47"/>
      <c r="AT281" s="31" t="s">
        <v>208</v>
      </c>
      <c r="AU281" s="47"/>
      <c r="AV281" s="47"/>
      <c r="AW281" t="b">
        <f>IF(Migrationsartikel!AB279="ja","true",FALSE)</f>
        <v>0</v>
      </c>
      <c r="AX281" t="b">
        <f>IF(Migrationsartikel!AC279="ja","true",FALSE)</f>
        <v>0</v>
      </c>
      <c r="AY281" t="b">
        <f>IF(Migrationsartikel!AD279="ja","true",FALSE)</f>
        <v>0</v>
      </c>
      <c r="AZ281" t="b">
        <f>IF(Migrationsartikel!AE279="ja","true",FALSE)</f>
        <v>0</v>
      </c>
      <c r="BA281" t="str">
        <f>IF(Migrationsartikel!AF279="ja","Denner Partner","")</f>
        <v/>
      </c>
      <c r="BB281" t="str">
        <f>IF(Migrationsartikel!AG279="ja","true","false")</f>
        <v>false</v>
      </c>
      <c r="BC281" t="s">
        <v>1923</v>
      </c>
      <c r="BD281" s="31" t="s">
        <v>235</v>
      </c>
      <c r="BE281" s="31" t="s">
        <v>233</v>
      </c>
    </row>
    <row r="282" spans="2:57" ht="21.75" customHeight="1" x14ac:dyDescent="0.45">
      <c r="B282" t="s">
        <v>115</v>
      </c>
      <c r="E282" s="31" t="s">
        <v>1708</v>
      </c>
      <c r="F282" t="str">
        <f>"Warengruppe&gt;&gt;"&amp;Migrationsartikel!V280&amp;"&gt;&gt;"&amp;Migrationsartikel!W280&amp;"&gt;&gt;"&amp;Migrationsartikel!X280</f>
        <v>Warengruppe&gt;&gt;&gt;&gt;&gt;&gt;</v>
      </c>
      <c r="J282" s="31" t="s">
        <v>125</v>
      </c>
      <c r="M282" s="31" t="s">
        <v>137</v>
      </c>
      <c r="P282" s="31">
        <f>Migrationsartikel!B280</f>
        <v>0</v>
      </c>
      <c r="R282" t="str">
        <f>Migrationsartikel!F280&amp;" "&amp;Migrationsartikel!G280&amp;" "&amp;Migrationsartikel!H280</f>
        <v xml:space="preserve">  </v>
      </c>
      <c r="S282" t="str">
        <f>Migrationsartikel!J280&amp;" "&amp;Migrationsartikel!K280&amp;" "&amp;Migrationsartikel!L280</f>
        <v xml:space="preserve">  </v>
      </c>
      <c r="T282" t="str">
        <f>Migrationsartikel!N280&amp;" "&amp;Migrationsartikel!O280&amp;" "&amp;Migrationsartikel!P280</f>
        <v xml:space="preserve">  </v>
      </c>
      <c r="U282">
        <f>Migrationsartikel!F280</f>
        <v>0</v>
      </c>
      <c r="V282">
        <f>Migrationsartikel!J280</f>
        <v>0</v>
      </c>
      <c r="W282">
        <f>Migrationsartikel!N280</f>
        <v>0</v>
      </c>
      <c r="X282">
        <f>Migrationsartikel!G280</f>
        <v>0</v>
      </c>
      <c r="Y282">
        <f>Migrationsartikel!K280</f>
        <v>0</v>
      </c>
      <c r="Z282">
        <f>Migrationsartikel!O280</f>
        <v>0</v>
      </c>
      <c r="AA282" s="31">
        <f>Migrationsartikel!H280</f>
        <v>0</v>
      </c>
      <c r="AB282" s="31">
        <f>Migrationsartikel!L280</f>
        <v>0</v>
      </c>
      <c r="AC282" s="31">
        <f>Migrationsartikel!P280</f>
        <v>0</v>
      </c>
      <c r="AD282">
        <f>Migrationsartikel!I280</f>
        <v>0</v>
      </c>
      <c r="AE282">
        <f>Migrationsartikel!M280</f>
        <v>0</v>
      </c>
      <c r="AF282">
        <f>Migrationsartikel!Q280</f>
        <v>0</v>
      </c>
      <c r="AG282" s="45">
        <f>Migrationsartikel!R280</f>
        <v>0</v>
      </c>
      <c r="AH282" s="46">
        <f>Migrationsartikel!T280</f>
        <v>0</v>
      </c>
      <c r="AI282" s="46" t="str">
        <f t="shared" si="12"/>
        <v>n/a</v>
      </c>
      <c r="AJ282" s="46" t="s">
        <v>176</v>
      </c>
      <c r="AK282">
        <f>Migrationsartikel!S280</f>
        <v>0</v>
      </c>
      <c r="AL282">
        <f>Migrationsartikel!S280</f>
        <v>0</v>
      </c>
      <c r="AM282">
        <f>Migrationsartikel!S280</f>
        <v>0</v>
      </c>
      <c r="AN282">
        <f>Migrationsartikel!U280</f>
        <v>0</v>
      </c>
      <c r="AO282" t="str">
        <f t="shared" si="13"/>
        <v>n/a</v>
      </c>
      <c r="AP282" t="str">
        <f t="shared" si="14"/>
        <v>n/a</v>
      </c>
      <c r="AQ282" s="31" t="s">
        <v>195</v>
      </c>
      <c r="AR282" s="47"/>
      <c r="AS282" s="47"/>
      <c r="AT282" s="31" t="s">
        <v>208</v>
      </c>
      <c r="AU282" s="47"/>
      <c r="AV282" s="47"/>
      <c r="AW282" t="b">
        <f>IF(Migrationsartikel!AB280="ja","true",FALSE)</f>
        <v>0</v>
      </c>
      <c r="AX282" t="b">
        <f>IF(Migrationsartikel!AC280="ja","true",FALSE)</f>
        <v>0</v>
      </c>
      <c r="AY282" t="b">
        <f>IF(Migrationsartikel!AD280="ja","true",FALSE)</f>
        <v>0</v>
      </c>
      <c r="AZ282" t="b">
        <f>IF(Migrationsartikel!AE280="ja","true",FALSE)</f>
        <v>0</v>
      </c>
      <c r="BA282" t="str">
        <f>IF(Migrationsartikel!AF280="ja","Denner Partner","")</f>
        <v/>
      </c>
      <c r="BB282" t="str">
        <f>IF(Migrationsartikel!AG280="ja","true","false")</f>
        <v>false</v>
      </c>
      <c r="BC282" t="s">
        <v>1923</v>
      </c>
      <c r="BD282" s="31" t="s">
        <v>235</v>
      </c>
      <c r="BE282" s="31" t="s">
        <v>233</v>
      </c>
    </row>
    <row r="283" spans="2:57" ht="21.75" customHeight="1" x14ac:dyDescent="0.45">
      <c r="B283" t="s">
        <v>115</v>
      </c>
      <c r="E283" s="31" t="s">
        <v>1709</v>
      </c>
      <c r="F283" t="str">
        <f>"Warengruppe&gt;&gt;"&amp;Migrationsartikel!V281&amp;"&gt;&gt;"&amp;Migrationsartikel!W281&amp;"&gt;&gt;"&amp;Migrationsartikel!X281</f>
        <v>Warengruppe&gt;&gt;&gt;&gt;&gt;&gt;</v>
      </c>
      <c r="J283" s="31" t="s">
        <v>125</v>
      </c>
      <c r="M283" s="31" t="s">
        <v>137</v>
      </c>
      <c r="P283" s="31">
        <f>Migrationsartikel!B281</f>
        <v>0</v>
      </c>
      <c r="R283" t="str">
        <f>Migrationsartikel!F281&amp;" "&amp;Migrationsartikel!G281&amp;" "&amp;Migrationsartikel!H281</f>
        <v xml:space="preserve">  </v>
      </c>
      <c r="S283" t="str">
        <f>Migrationsartikel!J281&amp;" "&amp;Migrationsartikel!K281&amp;" "&amp;Migrationsartikel!L281</f>
        <v xml:space="preserve">  </v>
      </c>
      <c r="T283" t="str">
        <f>Migrationsartikel!N281&amp;" "&amp;Migrationsartikel!O281&amp;" "&amp;Migrationsartikel!P281</f>
        <v xml:space="preserve">  </v>
      </c>
      <c r="U283">
        <f>Migrationsartikel!F281</f>
        <v>0</v>
      </c>
      <c r="V283">
        <f>Migrationsartikel!J281</f>
        <v>0</v>
      </c>
      <c r="W283">
        <f>Migrationsartikel!N281</f>
        <v>0</v>
      </c>
      <c r="X283">
        <f>Migrationsartikel!G281</f>
        <v>0</v>
      </c>
      <c r="Y283">
        <f>Migrationsartikel!K281</f>
        <v>0</v>
      </c>
      <c r="Z283">
        <f>Migrationsartikel!O281</f>
        <v>0</v>
      </c>
      <c r="AA283" s="31">
        <f>Migrationsartikel!H281</f>
        <v>0</v>
      </c>
      <c r="AB283" s="31">
        <f>Migrationsartikel!L281</f>
        <v>0</v>
      </c>
      <c r="AC283" s="31">
        <f>Migrationsartikel!P281</f>
        <v>0</v>
      </c>
      <c r="AD283">
        <f>Migrationsartikel!I281</f>
        <v>0</v>
      </c>
      <c r="AE283">
        <f>Migrationsartikel!M281</f>
        <v>0</v>
      </c>
      <c r="AF283">
        <f>Migrationsartikel!Q281</f>
        <v>0</v>
      </c>
      <c r="AG283" s="45">
        <f>Migrationsartikel!R281</f>
        <v>0</v>
      </c>
      <c r="AH283" s="46">
        <f>Migrationsartikel!T281</f>
        <v>0</v>
      </c>
      <c r="AI283" s="46" t="str">
        <f t="shared" si="12"/>
        <v>n/a</v>
      </c>
      <c r="AJ283" s="46" t="s">
        <v>176</v>
      </c>
      <c r="AK283">
        <f>Migrationsartikel!S281</f>
        <v>0</v>
      </c>
      <c r="AL283">
        <f>Migrationsartikel!S281</f>
        <v>0</v>
      </c>
      <c r="AM283">
        <f>Migrationsartikel!S281</f>
        <v>0</v>
      </c>
      <c r="AN283">
        <f>Migrationsartikel!U281</f>
        <v>0</v>
      </c>
      <c r="AO283" t="str">
        <f t="shared" si="13"/>
        <v>n/a</v>
      </c>
      <c r="AP283" t="str">
        <f t="shared" si="14"/>
        <v>n/a</v>
      </c>
      <c r="AQ283" s="31" t="s">
        <v>195</v>
      </c>
      <c r="AR283" s="47"/>
      <c r="AS283" s="47"/>
      <c r="AT283" s="31" t="s">
        <v>208</v>
      </c>
      <c r="AU283" s="47"/>
      <c r="AV283" s="47"/>
      <c r="AW283" t="b">
        <f>IF(Migrationsartikel!AB281="ja","true",FALSE)</f>
        <v>0</v>
      </c>
      <c r="AX283" t="b">
        <f>IF(Migrationsartikel!AC281="ja","true",FALSE)</f>
        <v>0</v>
      </c>
      <c r="AY283" t="b">
        <f>IF(Migrationsartikel!AD281="ja","true",FALSE)</f>
        <v>0</v>
      </c>
      <c r="AZ283" t="b">
        <f>IF(Migrationsartikel!AE281="ja","true",FALSE)</f>
        <v>0</v>
      </c>
      <c r="BA283" t="str">
        <f>IF(Migrationsartikel!AF281="ja","Denner Partner","")</f>
        <v/>
      </c>
      <c r="BB283" t="str">
        <f>IF(Migrationsartikel!AG281="ja","true","false")</f>
        <v>false</v>
      </c>
      <c r="BC283" t="s">
        <v>1923</v>
      </c>
      <c r="BD283" s="31" t="s">
        <v>235</v>
      </c>
      <c r="BE283" s="31" t="s">
        <v>233</v>
      </c>
    </row>
    <row r="284" spans="2:57" ht="21.75" customHeight="1" x14ac:dyDescent="0.45">
      <c r="B284" t="s">
        <v>115</v>
      </c>
      <c r="E284" s="31" t="s">
        <v>1710</v>
      </c>
      <c r="F284" t="str">
        <f>"Warengruppe&gt;&gt;"&amp;Migrationsartikel!V282&amp;"&gt;&gt;"&amp;Migrationsartikel!W282&amp;"&gt;&gt;"&amp;Migrationsartikel!X282</f>
        <v>Warengruppe&gt;&gt;&gt;&gt;&gt;&gt;</v>
      </c>
      <c r="J284" s="31" t="s">
        <v>125</v>
      </c>
      <c r="M284" s="31" t="s">
        <v>137</v>
      </c>
      <c r="P284" s="31">
        <f>Migrationsartikel!B282</f>
        <v>0</v>
      </c>
      <c r="R284" t="str">
        <f>Migrationsartikel!F282&amp;" "&amp;Migrationsartikel!G282&amp;" "&amp;Migrationsartikel!H282</f>
        <v xml:space="preserve">  </v>
      </c>
      <c r="S284" t="str">
        <f>Migrationsartikel!J282&amp;" "&amp;Migrationsartikel!K282&amp;" "&amp;Migrationsartikel!L282</f>
        <v xml:space="preserve">  </v>
      </c>
      <c r="T284" t="str">
        <f>Migrationsartikel!N282&amp;" "&amp;Migrationsartikel!O282&amp;" "&amp;Migrationsartikel!P282</f>
        <v xml:space="preserve">  </v>
      </c>
      <c r="U284">
        <f>Migrationsartikel!F282</f>
        <v>0</v>
      </c>
      <c r="V284">
        <f>Migrationsartikel!J282</f>
        <v>0</v>
      </c>
      <c r="W284">
        <f>Migrationsartikel!N282</f>
        <v>0</v>
      </c>
      <c r="X284">
        <f>Migrationsartikel!G282</f>
        <v>0</v>
      </c>
      <c r="Y284">
        <f>Migrationsartikel!K282</f>
        <v>0</v>
      </c>
      <c r="Z284">
        <f>Migrationsartikel!O282</f>
        <v>0</v>
      </c>
      <c r="AA284" s="31">
        <f>Migrationsartikel!H282</f>
        <v>0</v>
      </c>
      <c r="AB284" s="31">
        <f>Migrationsartikel!L282</f>
        <v>0</v>
      </c>
      <c r="AC284" s="31">
        <f>Migrationsartikel!P282</f>
        <v>0</v>
      </c>
      <c r="AD284">
        <f>Migrationsartikel!I282</f>
        <v>0</v>
      </c>
      <c r="AE284">
        <f>Migrationsartikel!M282</f>
        <v>0</v>
      </c>
      <c r="AF284">
        <f>Migrationsartikel!Q282</f>
        <v>0</v>
      </c>
      <c r="AG284" s="45">
        <f>Migrationsartikel!R282</f>
        <v>0</v>
      </c>
      <c r="AH284" s="46">
        <f>Migrationsartikel!T282</f>
        <v>0</v>
      </c>
      <c r="AI284" s="46" t="str">
        <f t="shared" si="12"/>
        <v>n/a</v>
      </c>
      <c r="AJ284" s="46" t="s">
        <v>176</v>
      </c>
      <c r="AK284">
        <f>Migrationsartikel!S282</f>
        <v>0</v>
      </c>
      <c r="AL284">
        <f>Migrationsartikel!S282</f>
        <v>0</v>
      </c>
      <c r="AM284">
        <f>Migrationsartikel!S282</f>
        <v>0</v>
      </c>
      <c r="AN284">
        <f>Migrationsartikel!U282</f>
        <v>0</v>
      </c>
      <c r="AO284" t="str">
        <f t="shared" si="13"/>
        <v>n/a</v>
      </c>
      <c r="AP284" t="str">
        <f t="shared" si="14"/>
        <v>n/a</v>
      </c>
      <c r="AQ284" s="31" t="s">
        <v>195</v>
      </c>
      <c r="AR284" s="47"/>
      <c r="AS284" s="47"/>
      <c r="AT284" s="31" t="s">
        <v>208</v>
      </c>
      <c r="AU284" s="47"/>
      <c r="AV284" s="47"/>
      <c r="AW284" t="b">
        <f>IF(Migrationsartikel!AB282="ja","true",FALSE)</f>
        <v>0</v>
      </c>
      <c r="AX284" t="b">
        <f>IF(Migrationsartikel!AC282="ja","true",FALSE)</f>
        <v>0</v>
      </c>
      <c r="AY284" t="b">
        <f>IF(Migrationsartikel!AD282="ja","true",FALSE)</f>
        <v>0</v>
      </c>
      <c r="AZ284" t="b">
        <f>IF(Migrationsartikel!AE282="ja","true",FALSE)</f>
        <v>0</v>
      </c>
      <c r="BA284" t="str">
        <f>IF(Migrationsartikel!AF282="ja","Denner Partner","")</f>
        <v/>
      </c>
      <c r="BB284" t="str">
        <f>IF(Migrationsartikel!AG282="ja","true","false")</f>
        <v>false</v>
      </c>
      <c r="BC284" t="s">
        <v>1923</v>
      </c>
      <c r="BD284" s="31" t="s">
        <v>235</v>
      </c>
      <c r="BE284" s="31" t="s">
        <v>233</v>
      </c>
    </row>
    <row r="285" spans="2:57" ht="21.75" customHeight="1" x14ac:dyDescent="0.45">
      <c r="B285" t="s">
        <v>115</v>
      </c>
      <c r="E285" s="31" t="s">
        <v>1711</v>
      </c>
      <c r="F285" t="str">
        <f>"Warengruppe&gt;&gt;"&amp;Migrationsartikel!V283&amp;"&gt;&gt;"&amp;Migrationsartikel!W283&amp;"&gt;&gt;"&amp;Migrationsartikel!X283</f>
        <v>Warengruppe&gt;&gt;&gt;&gt;&gt;&gt;</v>
      </c>
      <c r="J285" s="31" t="s">
        <v>125</v>
      </c>
      <c r="M285" s="31" t="s">
        <v>137</v>
      </c>
      <c r="P285" s="31">
        <f>Migrationsartikel!B283</f>
        <v>0</v>
      </c>
      <c r="R285" t="str">
        <f>Migrationsartikel!F283&amp;" "&amp;Migrationsartikel!G283&amp;" "&amp;Migrationsartikel!H283</f>
        <v xml:space="preserve">  </v>
      </c>
      <c r="S285" t="str">
        <f>Migrationsartikel!J283&amp;" "&amp;Migrationsartikel!K283&amp;" "&amp;Migrationsartikel!L283</f>
        <v xml:space="preserve">  </v>
      </c>
      <c r="T285" t="str">
        <f>Migrationsartikel!N283&amp;" "&amp;Migrationsartikel!O283&amp;" "&amp;Migrationsartikel!P283</f>
        <v xml:space="preserve">  </v>
      </c>
      <c r="U285">
        <f>Migrationsartikel!F283</f>
        <v>0</v>
      </c>
      <c r="V285">
        <f>Migrationsartikel!J283</f>
        <v>0</v>
      </c>
      <c r="W285">
        <f>Migrationsartikel!N283</f>
        <v>0</v>
      </c>
      <c r="X285">
        <f>Migrationsartikel!G283</f>
        <v>0</v>
      </c>
      <c r="Y285">
        <f>Migrationsartikel!K283</f>
        <v>0</v>
      </c>
      <c r="Z285">
        <f>Migrationsartikel!O283</f>
        <v>0</v>
      </c>
      <c r="AA285" s="31">
        <f>Migrationsartikel!H283</f>
        <v>0</v>
      </c>
      <c r="AB285" s="31">
        <f>Migrationsartikel!L283</f>
        <v>0</v>
      </c>
      <c r="AC285" s="31">
        <f>Migrationsartikel!P283</f>
        <v>0</v>
      </c>
      <c r="AD285">
        <f>Migrationsartikel!I283</f>
        <v>0</v>
      </c>
      <c r="AE285">
        <f>Migrationsartikel!M283</f>
        <v>0</v>
      </c>
      <c r="AF285">
        <f>Migrationsartikel!Q283</f>
        <v>0</v>
      </c>
      <c r="AG285" s="45">
        <f>Migrationsartikel!R283</f>
        <v>0</v>
      </c>
      <c r="AH285" s="46">
        <f>Migrationsartikel!T283</f>
        <v>0</v>
      </c>
      <c r="AI285" s="46" t="str">
        <f t="shared" si="12"/>
        <v>n/a</v>
      </c>
      <c r="AJ285" s="46" t="s">
        <v>176</v>
      </c>
      <c r="AK285">
        <f>Migrationsartikel!S283</f>
        <v>0</v>
      </c>
      <c r="AL285">
        <f>Migrationsartikel!S283</f>
        <v>0</v>
      </c>
      <c r="AM285">
        <f>Migrationsartikel!S283</f>
        <v>0</v>
      </c>
      <c r="AN285">
        <f>Migrationsartikel!U283</f>
        <v>0</v>
      </c>
      <c r="AO285" t="str">
        <f t="shared" si="13"/>
        <v>n/a</v>
      </c>
      <c r="AP285" t="str">
        <f t="shared" si="14"/>
        <v>n/a</v>
      </c>
      <c r="AQ285" s="31" t="s">
        <v>195</v>
      </c>
      <c r="AR285" s="47"/>
      <c r="AS285" s="47"/>
      <c r="AT285" s="31" t="s">
        <v>208</v>
      </c>
      <c r="AU285" s="47"/>
      <c r="AV285" s="47"/>
      <c r="AW285" t="b">
        <f>IF(Migrationsartikel!AB283="ja","true",FALSE)</f>
        <v>0</v>
      </c>
      <c r="AX285" t="b">
        <f>IF(Migrationsartikel!AC283="ja","true",FALSE)</f>
        <v>0</v>
      </c>
      <c r="AY285" t="b">
        <f>IF(Migrationsartikel!AD283="ja","true",FALSE)</f>
        <v>0</v>
      </c>
      <c r="AZ285" t="b">
        <f>IF(Migrationsartikel!AE283="ja","true",FALSE)</f>
        <v>0</v>
      </c>
      <c r="BA285" t="str">
        <f>IF(Migrationsartikel!AF283="ja","Denner Partner","")</f>
        <v/>
      </c>
      <c r="BB285" t="str">
        <f>IF(Migrationsartikel!AG283="ja","true","false")</f>
        <v>false</v>
      </c>
      <c r="BC285" t="s">
        <v>1923</v>
      </c>
      <c r="BD285" s="31" t="s">
        <v>235</v>
      </c>
      <c r="BE285" s="31" t="s">
        <v>233</v>
      </c>
    </row>
    <row r="286" spans="2:57" ht="21.75" customHeight="1" x14ac:dyDescent="0.45">
      <c r="B286" t="s">
        <v>115</v>
      </c>
      <c r="E286" s="31" t="s">
        <v>1712</v>
      </c>
      <c r="F286" t="str">
        <f>"Warengruppe&gt;&gt;"&amp;Migrationsartikel!V284&amp;"&gt;&gt;"&amp;Migrationsartikel!W284&amp;"&gt;&gt;"&amp;Migrationsartikel!X284</f>
        <v>Warengruppe&gt;&gt;&gt;&gt;&gt;&gt;</v>
      </c>
      <c r="J286" s="31" t="s">
        <v>125</v>
      </c>
      <c r="M286" s="31" t="s">
        <v>137</v>
      </c>
      <c r="P286" s="31">
        <f>Migrationsartikel!B284</f>
        <v>0</v>
      </c>
      <c r="R286" t="str">
        <f>Migrationsartikel!F284&amp;" "&amp;Migrationsartikel!G284&amp;" "&amp;Migrationsartikel!H284</f>
        <v xml:space="preserve">  </v>
      </c>
      <c r="S286" t="str">
        <f>Migrationsartikel!J284&amp;" "&amp;Migrationsartikel!K284&amp;" "&amp;Migrationsartikel!L284</f>
        <v xml:space="preserve">  </v>
      </c>
      <c r="T286" t="str">
        <f>Migrationsartikel!N284&amp;" "&amp;Migrationsartikel!O284&amp;" "&amp;Migrationsartikel!P284</f>
        <v xml:space="preserve">  </v>
      </c>
      <c r="U286">
        <f>Migrationsartikel!F284</f>
        <v>0</v>
      </c>
      <c r="V286">
        <f>Migrationsartikel!J284</f>
        <v>0</v>
      </c>
      <c r="W286">
        <f>Migrationsartikel!N284</f>
        <v>0</v>
      </c>
      <c r="X286">
        <f>Migrationsartikel!G284</f>
        <v>0</v>
      </c>
      <c r="Y286">
        <f>Migrationsartikel!K284</f>
        <v>0</v>
      </c>
      <c r="Z286">
        <f>Migrationsartikel!O284</f>
        <v>0</v>
      </c>
      <c r="AA286" s="31">
        <f>Migrationsartikel!H284</f>
        <v>0</v>
      </c>
      <c r="AB286" s="31">
        <f>Migrationsartikel!L284</f>
        <v>0</v>
      </c>
      <c r="AC286" s="31">
        <f>Migrationsartikel!P284</f>
        <v>0</v>
      </c>
      <c r="AD286">
        <f>Migrationsartikel!I284</f>
        <v>0</v>
      </c>
      <c r="AE286">
        <f>Migrationsartikel!M284</f>
        <v>0</v>
      </c>
      <c r="AF286">
        <f>Migrationsartikel!Q284</f>
        <v>0</v>
      </c>
      <c r="AG286" s="45">
        <f>Migrationsartikel!R284</f>
        <v>0</v>
      </c>
      <c r="AH286" s="46">
        <f>Migrationsartikel!T284</f>
        <v>0</v>
      </c>
      <c r="AI286" s="46" t="str">
        <f t="shared" si="12"/>
        <v>n/a</v>
      </c>
      <c r="AJ286" s="46" t="s">
        <v>176</v>
      </c>
      <c r="AK286">
        <f>Migrationsartikel!S284</f>
        <v>0</v>
      </c>
      <c r="AL286">
        <f>Migrationsartikel!S284</f>
        <v>0</v>
      </c>
      <c r="AM286">
        <f>Migrationsartikel!S284</f>
        <v>0</v>
      </c>
      <c r="AN286">
        <f>Migrationsartikel!U284</f>
        <v>0</v>
      </c>
      <c r="AO286" t="str">
        <f t="shared" si="13"/>
        <v>n/a</v>
      </c>
      <c r="AP286" t="str">
        <f t="shared" si="14"/>
        <v>n/a</v>
      </c>
      <c r="AQ286" s="31" t="s">
        <v>195</v>
      </c>
      <c r="AR286" s="47"/>
      <c r="AS286" s="47"/>
      <c r="AT286" s="31" t="s">
        <v>208</v>
      </c>
      <c r="AU286" s="47"/>
      <c r="AV286" s="47"/>
      <c r="AW286" t="b">
        <f>IF(Migrationsartikel!AB284="ja","true",FALSE)</f>
        <v>0</v>
      </c>
      <c r="AX286" t="b">
        <f>IF(Migrationsartikel!AC284="ja","true",FALSE)</f>
        <v>0</v>
      </c>
      <c r="AY286" t="b">
        <f>IF(Migrationsartikel!AD284="ja","true",FALSE)</f>
        <v>0</v>
      </c>
      <c r="AZ286" t="b">
        <f>IF(Migrationsartikel!AE284="ja","true",FALSE)</f>
        <v>0</v>
      </c>
      <c r="BA286" t="str">
        <f>IF(Migrationsartikel!AF284="ja","Denner Partner","")</f>
        <v/>
      </c>
      <c r="BB286" t="str">
        <f>IF(Migrationsartikel!AG284="ja","true","false")</f>
        <v>false</v>
      </c>
      <c r="BC286" t="s">
        <v>1923</v>
      </c>
      <c r="BD286" s="31" t="s">
        <v>235</v>
      </c>
      <c r="BE286" s="31" t="s">
        <v>233</v>
      </c>
    </row>
    <row r="287" spans="2:57" ht="21.75" customHeight="1" x14ac:dyDescent="0.45">
      <c r="B287" t="s">
        <v>115</v>
      </c>
      <c r="E287" s="31" t="s">
        <v>1713</v>
      </c>
      <c r="F287" t="str">
        <f>"Warengruppe&gt;&gt;"&amp;Migrationsartikel!V285&amp;"&gt;&gt;"&amp;Migrationsartikel!W285&amp;"&gt;&gt;"&amp;Migrationsartikel!X285</f>
        <v>Warengruppe&gt;&gt;&gt;&gt;&gt;&gt;</v>
      </c>
      <c r="J287" s="31" t="s">
        <v>125</v>
      </c>
      <c r="M287" s="31" t="s">
        <v>137</v>
      </c>
      <c r="P287" s="31">
        <f>Migrationsartikel!B285</f>
        <v>0</v>
      </c>
      <c r="R287" t="str">
        <f>Migrationsartikel!F285&amp;" "&amp;Migrationsartikel!G285&amp;" "&amp;Migrationsartikel!H285</f>
        <v xml:space="preserve">  </v>
      </c>
      <c r="S287" t="str">
        <f>Migrationsartikel!J285&amp;" "&amp;Migrationsartikel!K285&amp;" "&amp;Migrationsartikel!L285</f>
        <v xml:space="preserve">  </v>
      </c>
      <c r="T287" t="str">
        <f>Migrationsartikel!N285&amp;" "&amp;Migrationsartikel!O285&amp;" "&amp;Migrationsartikel!P285</f>
        <v xml:space="preserve">  </v>
      </c>
      <c r="U287">
        <f>Migrationsartikel!F285</f>
        <v>0</v>
      </c>
      <c r="V287">
        <f>Migrationsartikel!J285</f>
        <v>0</v>
      </c>
      <c r="W287">
        <f>Migrationsartikel!N285</f>
        <v>0</v>
      </c>
      <c r="X287">
        <f>Migrationsartikel!G285</f>
        <v>0</v>
      </c>
      <c r="Y287">
        <f>Migrationsartikel!K285</f>
        <v>0</v>
      </c>
      <c r="Z287">
        <f>Migrationsartikel!O285</f>
        <v>0</v>
      </c>
      <c r="AA287" s="31">
        <f>Migrationsartikel!H285</f>
        <v>0</v>
      </c>
      <c r="AB287" s="31">
        <f>Migrationsartikel!L285</f>
        <v>0</v>
      </c>
      <c r="AC287" s="31">
        <f>Migrationsartikel!P285</f>
        <v>0</v>
      </c>
      <c r="AD287">
        <f>Migrationsartikel!I285</f>
        <v>0</v>
      </c>
      <c r="AE287">
        <f>Migrationsartikel!M285</f>
        <v>0</v>
      </c>
      <c r="AF287">
        <f>Migrationsartikel!Q285</f>
        <v>0</v>
      </c>
      <c r="AG287" s="45">
        <f>Migrationsartikel!R285</f>
        <v>0</v>
      </c>
      <c r="AH287" s="46">
        <f>Migrationsartikel!T285</f>
        <v>0</v>
      </c>
      <c r="AI287" s="46" t="str">
        <f t="shared" si="12"/>
        <v>n/a</v>
      </c>
      <c r="AJ287" s="46" t="s">
        <v>176</v>
      </c>
      <c r="AK287">
        <f>Migrationsartikel!S285</f>
        <v>0</v>
      </c>
      <c r="AL287">
        <f>Migrationsartikel!S285</f>
        <v>0</v>
      </c>
      <c r="AM287">
        <f>Migrationsartikel!S285</f>
        <v>0</v>
      </c>
      <c r="AN287">
        <f>Migrationsartikel!U285</f>
        <v>0</v>
      </c>
      <c r="AO287" t="str">
        <f t="shared" si="13"/>
        <v>n/a</v>
      </c>
      <c r="AP287" t="str">
        <f t="shared" si="14"/>
        <v>n/a</v>
      </c>
      <c r="AQ287" s="31" t="s">
        <v>195</v>
      </c>
      <c r="AR287" s="47"/>
      <c r="AS287" s="47"/>
      <c r="AT287" s="31" t="s">
        <v>208</v>
      </c>
      <c r="AU287" s="47"/>
      <c r="AV287" s="47"/>
      <c r="AW287" t="b">
        <f>IF(Migrationsartikel!AB285="ja","true",FALSE)</f>
        <v>0</v>
      </c>
      <c r="AX287" t="b">
        <f>IF(Migrationsartikel!AC285="ja","true",FALSE)</f>
        <v>0</v>
      </c>
      <c r="AY287" t="b">
        <f>IF(Migrationsartikel!AD285="ja","true",FALSE)</f>
        <v>0</v>
      </c>
      <c r="AZ287" t="b">
        <f>IF(Migrationsartikel!AE285="ja","true",FALSE)</f>
        <v>0</v>
      </c>
      <c r="BA287" t="str">
        <f>IF(Migrationsartikel!AF285="ja","Denner Partner","")</f>
        <v/>
      </c>
      <c r="BB287" t="str">
        <f>IF(Migrationsartikel!AG285="ja","true","false")</f>
        <v>false</v>
      </c>
      <c r="BC287" t="s">
        <v>1923</v>
      </c>
      <c r="BD287" s="31" t="s">
        <v>235</v>
      </c>
      <c r="BE287" s="31" t="s">
        <v>233</v>
      </c>
    </row>
    <row r="288" spans="2:57" ht="21.75" customHeight="1" x14ac:dyDescent="0.45">
      <c r="B288" t="s">
        <v>115</v>
      </c>
      <c r="E288" s="31" t="s">
        <v>1714</v>
      </c>
      <c r="F288" t="str">
        <f>"Warengruppe&gt;&gt;"&amp;Migrationsartikel!V286&amp;"&gt;&gt;"&amp;Migrationsartikel!W286&amp;"&gt;&gt;"&amp;Migrationsartikel!X286</f>
        <v>Warengruppe&gt;&gt;&gt;&gt;&gt;&gt;</v>
      </c>
      <c r="J288" s="31" t="s">
        <v>125</v>
      </c>
      <c r="M288" s="31" t="s">
        <v>137</v>
      </c>
      <c r="P288" s="31">
        <f>Migrationsartikel!B286</f>
        <v>0</v>
      </c>
      <c r="R288" t="str">
        <f>Migrationsartikel!F286&amp;" "&amp;Migrationsartikel!G286&amp;" "&amp;Migrationsartikel!H286</f>
        <v xml:space="preserve">  </v>
      </c>
      <c r="S288" t="str">
        <f>Migrationsartikel!J286&amp;" "&amp;Migrationsartikel!K286&amp;" "&amp;Migrationsartikel!L286</f>
        <v xml:space="preserve">  </v>
      </c>
      <c r="T288" t="str">
        <f>Migrationsartikel!N286&amp;" "&amp;Migrationsartikel!O286&amp;" "&amp;Migrationsartikel!P286</f>
        <v xml:space="preserve">  </v>
      </c>
      <c r="U288">
        <f>Migrationsartikel!F286</f>
        <v>0</v>
      </c>
      <c r="V288">
        <f>Migrationsartikel!J286</f>
        <v>0</v>
      </c>
      <c r="W288">
        <f>Migrationsartikel!N286</f>
        <v>0</v>
      </c>
      <c r="X288">
        <f>Migrationsartikel!G286</f>
        <v>0</v>
      </c>
      <c r="Y288">
        <f>Migrationsartikel!K286</f>
        <v>0</v>
      </c>
      <c r="Z288">
        <f>Migrationsartikel!O286</f>
        <v>0</v>
      </c>
      <c r="AA288" s="31">
        <f>Migrationsartikel!H286</f>
        <v>0</v>
      </c>
      <c r="AB288" s="31">
        <f>Migrationsartikel!L286</f>
        <v>0</v>
      </c>
      <c r="AC288" s="31">
        <f>Migrationsartikel!P286</f>
        <v>0</v>
      </c>
      <c r="AD288">
        <f>Migrationsartikel!I286</f>
        <v>0</v>
      </c>
      <c r="AE288">
        <f>Migrationsartikel!M286</f>
        <v>0</v>
      </c>
      <c r="AF288">
        <f>Migrationsartikel!Q286</f>
        <v>0</v>
      </c>
      <c r="AG288" s="45">
        <f>Migrationsartikel!R286</f>
        <v>0</v>
      </c>
      <c r="AH288" s="46">
        <f>Migrationsartikel!T286</f>
        <v>0</v>
      </c>
      <c r="AI288" s="46" t="str">
        <f t="shared" si="12"/>
        <v>n/a</v>
      </c>
      <c r="AJ288" s="46" t="s">
        <v>176</v>
      </c>
      <c r="AK288">
        <f>Migrationsartikel!S286</f>
        <v>0</v>
      </c>
      <c r="AL288">
        <f>Migrationsartikel!S286</f>
        <v>0</v>
      </c>
      <c r="AM288">
        <f>Migrationsartikel!S286</f>
        <v>0</v>
      </c>
      <c r="AN288">
        <f>Migrationsartikel!U286</f>
        <v>0</v>
      </c>
      <c r="AO288" t="str">
        <f t="shared" si="13"/>
        <v>n/a</v>
      </c>
      <c r="AP288" t="str">
        <f t="shared" si="14"/>
        <v>n/a</v>
      </c>
      <c r="AQ288" s="31" t="s">
        <v>195</v>
      </c>
      <c r="AR288" s="47"/>
      <c r="AS288" s="47"/>
      <c r="AT288" s="31" t="s">
        <v>208</v>
      </c>
      <c r="AU288" s="47"/>
      <c r="AV288" s="47"/>
      <c r="AW288" t="b">
        <f>IF(Migrationsartikel!AB286="ja","true",FALSE)</f>
        <v>0</v>
      </c>
      <c r="AX288" t="b">
        <f>IF(Migrationsartikel!AC286="ja","true",FALSE)</f>
        <v>0</v>
      </c>
      <c r="AY288" t="b">
        <f>IF(Migrationsartikel!AD286="ja","true",FALSE)</f>
        <v>0</v>
      </c>
      <c r="AZ288" t="b">
        <f>IF(Migrationsartikel!AE286="ja","true",FALSE)</f>
        <v>0</v>
      </c>
      <c r="BA288" t="str">
        <f>IF(Migrationsartikel!AF286="ja","Denner Partner","")</f>
        <v/>
      </c>
      <c r="BB288" t="str">
        <f>IF(Migrationsartikel!AG286="ja","true","false")</f>
        <v>false</v>
      </c>
      <c r="BC288" t="s">
        <v>1923</v>
      </c>
      <c r="BD288" s="31" t="s">
        <v>235</v>
      </c>
      <c r="BE288" s="31" t="s">
        <v>233</v>
      </c>
    </row>
    <row r="289" spans="2:57" ht="21.75" customHeight="1" x14ac:dyDescent="0.45">
      <c r="B289" t="s">
        <v>115</v>
      </c>
      <c r="E289" s="31" t="s">
        <v>1715</v>
      </c>
      <c r="F289" t="str">
        <f>"Warengruppe&gt;&gt;"&amp;Migrationsartikel!V287&amp;"&gt;&gt;"&amp;Migrationsartikel!W287&amp;"&gt;&gt;"&amp;Migrationsartikel!X287</f>
        <v>Warengruppe&gt;&gt;&gt;&gt;&gt;&gt;</v>
      </c>
      <c r="J289" s="31" t="s">
        <v>125</v>
      </c>
      <c r="M289" s="31" t="s">
        <v>137</v>
      </c>
      <c r="P289" s="31">
        <f>Migrationsartikel!B287</f>
        <v>0</v>
      </c>
      <c r="R289" t="str">
        <f>Migrationsartikel!F287&amp;" "&amp;Migrationsartikel!G287&amp;" "&amp;Migrationsartikel!H287</f>
        <v xml:space="preserve">  </v>
      </c>
      <c r="S289" t="str">
        <f>Migrationsartikel!J287&amp;" "&amp;Migrationsartikel!K287&amp;" "&amp;Migrationsartikel!L287</f>
        <v xml:space="preserve">  </v>
      </c>
      <c r="T289" t="str">
        <f>Migrationsartikel!N287&amp;" "&amp;Migrationsartikel!O287&amp;" "&amp;Migrationsartikel!P287</f>
        <v xml:space="preserve">  </v>
      </c>
      <c r="U289">
        <f>Migrationsartikel!F287</f>
        <v>0</v>
      </c>
      <c r="V289">
        <f>Migrationsartikel!J287</f>
        <v>0</v>
      </c>
      <c r="W289">
        <f>Migrationsartikel!N287</f>
        <v>0</v>
      </c>
      <c r="X289">
        <f>Migrationsartikel!G287</f>
        <v>0</v>
      </c>
      <c r="Y289">
        <f>Migrationsartikel!K287</f>
        <v>0</v>
      </c>
      <c r="Z289">
        <f>Migrationsartikel!O287</f>
        <v>0</v>
      </c>
      <c r="AA289" s="31">
        <f>Migrationsartikel!H287</f>
        <v>0</v>
      </c>
      <c r="AB289" s="31">
        <f>Migrationsartikel!L287</f>
        <v>0</v>
      </c>
      <c r="AC289" s="31">
        <f>Migrationsartikel!P287</f>
        <v>0</v>
      </c>
      <c r="AD289">
        <f>Migrationsartikel!I287</f>
        <v>0</v>
      </c>
      <c r="AE289">
        <f>Migrationsartikel!M287</f>
        <v>0</v>
      </c>
      <c r="AF289">
        <f>Migrationsartikel!Q287</f>
        <v>0</v>
      </c>
      <c r="AG289" s="45">
        <f>Migrationsartikel!R287</f>
        <v>0</v>
      </c>
      <c r="AH289" s="46">
        <f>Migrationsartikel!T287</f>
        <v>0</v>
      </c>
      <c r="AI289" s="46" t="str">
        <f t="shared" si="12"/>
        <v>n/a</v>
      </c>
      <c r="AJ289" s="46" t="s">
        <v>176</v>
      </c>
      <c r="AK289">
        <f>Migrationsartikel!S287</f>
        <v>0</v>
      </c>
      <c r="AL289">
        <f>Migrationsartikel!S287</f>
        <v>0</v>
      </c>
      <c r="AM289">
        <f>Migrationsartikel!S287</f>
        <v>0</v>
      </c>
      <c r="AN289">
        <f>Migrationsartikel!U287</f>
        <v>0</v>
      </c>
      <c r="AO289" t="str">
        <f t="shared" si="13"/>
        <v>n/a</v>
      </c>
      <c r="AP289" t="str">
        <f t="shared" si="14"/>
        <v>n/a</v>
      </c>
      <c r="AQ289" s="31" t="s">
        <v>195</v>
      </c>
      <c r="AR289" s="47"/>
      <c r="AS289" s="47"/>
      <c r="AT289" s="31" t="s">
        <v>208</v>
      </c>
      <c r="AU289" s="47"/>
      <c r="AV289" s="47"/>
      <c r="AW289" t="b">
        <f>IF(Migrationsartikel!AB287="ja","true",FALSE)</f>
        <v>0</v>
      </c>
      <c r="AX289" t="b">
        <f>IF(Migrationsartikel!AC287="ja","true",FALSE)</f>
        <v>0</v>
      </c>
      <c r="AY289" t="b">
        <f>IF(Migrationsartikel!AD287="ja","true",FALSE)</f>
        <v>0</v>
      </c>
      <c r="AZ289" t="b">
        <f>IF(Migrationsartikel!AE287="ja","true",FALSE)</f>
        <v>0</v>
      </c>
      <c r="BA289" t="str">
        <f>IF(Migrationsartikel!AF287="ja","Denner Partner","")</f>
        <v/>
      </c>
      <c r="BB289" t="str">
        <f>IF(Migrationsartikel!AG287="ja","true","false")</f>
        <v>false</v>
      </c>
      <c r="BC289" t="s">
        <v>1923</v>
      </c>
      <c r="BD289" s="31" t="s">
        <v>235</v>
      </c>
      <c r="BE289" s="31" t="s">
        <v>233</v>
      </c>
    </row>
    <row r="290" spans="2:57" ht="21.75" customHeight="1" x14ac:dyDescent="0.45">
      <c r="B290" t="s">
        <v>115</v>
      </c>
      <c r="E290" s="31" t="s">
        <v>1716</v>
      </c>
      <c r="F290" t="str">
        <f>"Warengruppe&gt;&gt;"&amp;Migrationsartikel!V288&amp;"&gt;&gt;"&amp;Migrationsartikel!W288&amp;"&gt;&gt;"&amp;Migrationsartikel!X288</f>
        <v>Warengruppe&gt;&gt;&gt;&gt;&gt;&gt;</v>
      </c>
      <c r="J290" s="31" t="s">
        <v>125</v>
      </c>
      <c r="M290" s="31" t="s">
        <v>137</v>
      </c>
      <c r="P290" s="31">
        <f>Migrationsartikel!B288</f>
        <v>0</v>
      </c>
      <c r="R290" t="str">
        <f>Migrationsartikel!F288&amp;" "&amp;Migrationsartikel!G288&amp;" "&amp;Migrationsartikel!H288</f>
        <v xml:space="preserve">  </v>
      </c>
      <c r="S290" t="str">
        <f>Migrationsartikel!J288&amp;" "&amp;Migrationsartikel!K288&amp;" "&amp;Migrationsartikel!L288</f>
        <v xml:space="preserve">  </v>
      </c>
      <c r="T290" t="str">
        <f>Migrationsartikel!N288&amp;" "&amp;Migrationsartikel!O288&amp;" "&amp;Migrationsartikel!P288</f>
        <v xml:space="preserve">  </v>
      </c>
      <c r="U290">
        <f>Migrationsartikel!F288</f>
        <v>0</v>
      </c>
      <c r="V290">
        <f>Migrationsartikel!J288</f>
        <v>0</v>
      </c>
      <c r="W290">
        <f>Migrationsartikel!N288</f>
        <v>0</v>
      </c>
      <c r="X290">
        <f>Migrationsartikel!G288</f>
        <v>0</v>
      </c>
      <c r="Y290">
        <f>Migrationsartikel!K288</f>
        <v>0</v>
      </c>
      <c r="Z290">
        <f>Migrationsartikel!O288</f>
        <v>0</v>
      </c>
      <c r="AA290" s="31">
        <f>Migrationsartikel!H288</f>
        <v>0</v>
      </c>
      <c r="AB290" s="31">
        <f>Migrationsartikel!L288</f>
        <v>0</v>
      </c>
      <c r="AC290" s="31">
        <f>Migrationsartikel!P288</f>
        <v>0</v>
      </c>
      <c r="AD290">
        <f>Migrationsartikel!I288</f>
        <v>0</v>
      </c>
      <c r="AE290">
        <f>Migrationsartikel!M288</f>
        <v>0</v>
      </c>
      <c r="AF290">
        <f>Migrationsartikel!Q288</f>
        <v>0</v>
      </c>
      <c r="AG290" s="45">
        <f>Migrationsartikel!R288</f>
        <v>0</v>
      </c>
      <c r="AH290" s="46">
        <f>Migrationsartikel!T288</f>
        <v>0</v>
      </c>
      <c r="AI290" s="46" t="str">
        <f t="shared" si="12"/>
        <v>n/a</v>
      </c>
      <c r="AJ290" s="46" t="s">
        <v>176</v>
      </c>
      <c r="AK290">
        <f>Migrationsartikel!S288</f>
        <v>0</v>
      </c>
      <c r="AL290">
        <f>Migrationsartikel!S288</f>
        <v>0</v>
      </c>
      <c r="AM290">
        <f>Migrationsartikel!S288</f>
        <v>0</v>
      </c>
      <c r="AN290">
        <f>Migrationsartikel!U288</f>
        <v>0</v>
      </c>
      <c r="AO290" t="str">
        <f t="shared" si="13"/>
        <v>n/a</v>
      </c>
      <c r="AP290" t="str">
        <f t="shared" si="14"/>
        <v>n/a</v>
      </c>
      <c r="AQ290" s="31" t="s">
        <v>195</v>
      </c>
      <c r="AR290" s="47"/>
      <c r="AS290" s="47"/>
      <c r="AT290" s="31" t="s">
        <v>208</v>
      </c>
      <c r="AU290" s="47"/>
      <c r="AV290" s="47"/>
      <c r="AW290" t="b">
        <f>IF(Migrationsartikel!AB288="ja","true",FALSE)</f>
        <v>0</v>
      </c>
      <c r="AX290" t="b">
        <f>IF(Migrationsartikel!AC288="ja","true",FALSE)</f>
        <v>0</v>
      </c>
      <c r="AY290" t="b">
        <f>IF(Migrationsartikel!AD288="ja","true",FALSE)</f>
        <v>0</v>
      </c>
      <c r="AZ290" t="b">
        <f>IF(Migrationsartikel!AE288="ja","true",FALSE)</f>
        <v>0</v>
      </c>
      <c r="BA290" t="str">
        <f>IF(Migrationsartikel!AF288="ja","Denner Partner","")</f>
        <v/>
      </c>
      <c r="BB290" t="str">
        <f>IF(Migrationsartikel!AG288="ja","true","false")</f>
        <v>false</v>
      </c>
      <c r="BC290" t="s">
        <v>1923</v>
      </c>
      <c r="BD290" s="31" t="s">
        <v>235</v>
      </c>
      <c r="BE290" s="31" t="s">
        <v>233</v>
      </c>
    </row>
    <row r="291" spans="2:57" ht="21.75" customHeight="1" x14ac:dyDescent="0.45">
      <c r="B291" t="s">
        <v>115</v>
      </c>
      <c r="E291" s="31" t="s">
        <v>1717</v>
      </c>
      <c r="F291" t="str">
        <f>"Warengruppe&gt;&gt;"&amp;Migrationsartikel!V289&amp;"&gt;&gt;"&amp;Migrationsartikel!W289&amp;"&gt;&gt;"&amp;Migrationsartikel!X289</f>
        <v>Warengruppe&gt;&gt;&gt;&gt;&gt;&gt;</v>
      </c>
      <c r="J291" s="31" t="s">
        <v>125</v>
      </c>
      <c r="M291" s="31" t="s">
        <v>137</v>
      </c>
      <c r="P291" s="31">
        <f>Migrationsartikel!B289</f>
        <v>0</v>
      </c>
      <c r="R291" t="str">
        <f>Migrationsartikel!F289&amp;" "&amp;Migrationsartikel!G289&amp;" "&amp;Migrationsartikel!H289</f>
        <v xml:space="preserve">  </v>
      </c>
      <c r="S291" t="str">
        <f>Migrationsartikel!J289&amp;" "&amp;Migrationsartikel!K289&amp;" "&amp;Migrationsartikel!L289</f>
        <v xml:space="preserve">  </v>
      </c>
      <c r="T291" t="str">
        <f>Migrationsartikel!N289&amp;" "&amp;Migrationsartikel!O289&amp;" "&amp;Migrationsartikel!P289</f>
        <v xml:space="preserve">  </v>
      </c>
      <c r="U291">
        <f>Migrationsartikel!F289</f>
        <v>0</v>
      </c>
      <c r="V291">
        <f>Migrationsartikel!J289</f>
        <v>0</v>
      </c>
      <c r="W291">
        <f>Migrationsartikel!N289</f>
        <v>0</v>
      </c>
      <c r="X291">
        <f>Migrationsartikel!G289</f>
        <v>0</v>
      </c>
      <c r="Y291">
        <f>Migrationsartikel!K289</f>
        <v>0</v>
      </c>
      <c r="Z291">
        <f>Migrationsartikel!O289</f>
        <v>0</v>
      </c>
      <c r="AA291" s="31">
        <f>Migrationsartikel!H289</f>
        <v>0</v>
      </c>
      <c r="AB291" s="31">
        <f>Migrationsartikel!L289</f>
        <v>0</v>
      </c>
      <c r="AC291" s="31">
        <f>Migrationsartikel!P289</f>
        <v>0</v>
      </c>
      <c r="AD291">
        <f>Migrationsartikel!I289</f>
        <v>0</v>
      </c>
      <c r="AE291">
        <f>Migrationsartikel!M289</f>
        <v>0</v>
      </c>
      <c r="AF291">
        <f>Migrationsartikel!Q289</f>
        <v>0</v>
      </c>
      <c r="AG291" s="45">
        <f>Migrationsartikel!R289</f>
        <v>0</v>
      </c>
      <c r="AH291" s="46">
        <f>Migrationsartikel!T289</f>
        <v>0</v>
      </c>
      <c r="AI291" s="46" t="str">
        <f t="shared" si="12"/>
        <v>n/a</v>
      </c>
      <c r="AJ291" s="46" t="s">
        <v>176</v>
      </c>
      <c r="AK291">
        <f>Migrationsartikel!S289</f>
        <v>0</v>
      </c>
      <c r="AL291">
        <f>Migrationsartikel!S289</f>
        <v>0</v>
      </c>
      <c r="AM291">
        <f>Migrationsartikel!S289</f>
        <v>0</v>
      </c>
      <c r="AN291">
        <f>Migrationsartikel!U289</f>
        <v>0</v>
      </c>
      <c r="AO291" t="str">
        <f t="shared" si="13"/>
        <v>n/a</v>
      </c>
      <c r="AP291" t="str">
        <f t="shared" si="14"/>
        <v>n/a</v>
      </c>
      <c r="AQ291" s="31" t="s">
        <v>195</v>
      </c>
      <c r="AR291" s="47"/>
      <c r="AS291" s="47"/>
      <c r="AT291" s="31" t="s">
        <v>208</v>
      </c>
      <c r="AU291" s="47"/>
      <c r="AV291" s="47"/>
      <c r="AW291" t="b">
        <f>IF(Migrationsartikel!AB289="ja","true",FALSE)</f>
        <v>0</v>
      </c>
      <c r="AX291" t="b">
        <f>IF(Migrationsartikel!AC289="ja","true",FALSE)</f>
        <v>0</v>
      </c>
      <c r="AY291" t="b">
        <f>IF(Migrationsartikel!AD289="ja","true",FALSE)</f>
        <v>0</v>
      </c>
      <c r="AZ291" t="b">
        <f>IF(Migrationsartikel!AE289="ja","true",FALSE)</f>
        <v>0</v>
      </c>
      <c r="BA291" t="str">
        <f>IF(Migrationsartikel!AF289="ja","Denner Partner","")</f>
        <v/>
      </c>
      <c r="BB291" t="str">
        <f>IF(Migrationsartikel!AG289="ja","true","false")</f>
        <v>false</v>
      </c>
      <c r="BC291" t="s">
        <v>1923</v>
      </c>
      <c r="BD291" s="31" t="s">
        <v>235</v>
      </c>
      <c r="BE291" s="31" t="s">
        <v>233</v>
      </c>
    </row>
    <row r="292" spans="2:57" ht="21.75" customHeight="1" x14ac:dyDescent="0.45">
      <c r="B292" t="s">
        <v>115</v>
      </c>
      <c r="E292" s="31" t="s">
        <v>1718</v>
      </c>
      <c r="F292" t="str">
        <f>"Warengruppe&gt;&gt;"&amp;Migrationsartikel!V290&amp;"&gt;&gt;"&amp;Migrationsartikel!W290&amp;"&gt;&gt;"&amp;Migrationsartikel!X290</f>
        <v>Warengruppe&gt;&gt;&gt;&gt;&gt;&gt;</v>
      </c>
      <c r="J292" s="31" t="s">
        <v>125</v>
      </c>
      <c r="M292" s="31" t="s">
        <v>137</v>
      </c>
      <c r="P292" s="31">
        <f>Migrationsartikel!B290</f>
        <v>0</v>
      </c>
      <c r="R292" t="str">
        <f>Migrationsartikel!F290&amp;" "&amp;Migrationsartikel!G290&amp;" "&amp;Migrationsartikel!H290</f>
        <v xml:space="preserve">  </v>
      </c>
      <c r="S292" t="str">
        <f>Migrationsartikel!J290&amp;" "&amp;Migrationsartikel!K290&amp;" "&amp;Migrationsartikel!L290</f>
        <v xml:space="preserve">  </v>
      </c>
      <c r="T292" t="str">
        <f>Migrationsartikel!N290&amp;" "&amp;Migrationsartikel!O290&amp;" "&amp;Migrationsartikel!P290</f>
        <v xml:space="preserve">  </v>
      </c>
      <c r="U292">
        <f>Migrationsartikel!F290</f>
        <v>0</v>
      </c>
      <c r="V292">
        <f>Migrationsartikel!J290</f>
        <v>0</v>
      </c>
      <c r="W292">
        <f>Migrationsartikel!N290</f>
        <v>0</v>
      </c>
      <c r="X292">
        <f>Migrationsartikel!G290</f>
        <v>0</v>
      </c>
      <c r="Y292">
        <f>Migrationsartikel!K290</f>
        <v>0</v>
      </c>
      <c r="Z292">
        <f>Migrationsartikel!O290</f>
        <v>0</v>
      </c>
      <c r="AA292" s="31">
        <f>Migrationsartikel!H290</f>
        <v>0</v>
      </c>
      <c r="AB292" s="31">
        <f>Migrationsartikel!L290</f>
        <v>0</v>
      </c>
      <c r="AC292" s="31">
        <f>Migrationsartikel!P290</f>
        <v>0</v>
      </c>
      <c r="AD292">
        <f>Migrationsartikel!I290</f>
        <v>0</v>
      </c>
      <c r="AE292">
        <f>Migrationsartikel!M290</f>
        <v>0</v>
      </c>
      <c r="AF292">
        <f>Migrationsartikel!Q290</f>
        <v>0</v>
      </c>
      <c r="AG292" s="45">
        <f>Migrationsartikel!R290</f>
        <v>0</v>
      </c>
      <c r="AH292" s="46">
        <f>Migrationsartikel!T290</f>
        <v>0</v>
      </c>
      <c r="AI292" s="46" t="str">
        <f t="shared" si="12"/>
        <v>n/a</v>
      </c>
      <c r="AJ292" s="46" t="s">
        <v>176</v>
      </c>
      <c r="AK292">
        <f>Migrationsartikel!S290</f>
        <v>0</v>
      </c>
      <c r="AL292">
        <f>Migrationsartikel!S290</f>
        <v>0</v>
      </c>
      <c r="AM292">
        <f>Migrationsartikel!S290</f>
        <v>0</v>
      </c>
      <c r="AN292">
        <f>Migrationsartikel!U290</f>
        <v>0</v>
      </c>
      <c r="AO292" t="str">
        <f t="shared" si="13"/>
        <v>n/a</v>
      </c>
      <c r="AP292" t="str">
        <f t="shared" si="14"/>
        <v>n/a</v>
      </c>
      <c r="AQ292" s="31" t="s">
        <v>195</v>
      </c>
      <c r="AR292" s="47"/>
      <c r="AS292" s="47"/>
      <c r="AT292" s="31" t="s">
        <v>208</v>
      </c>
      <c r="AU292" s="47"/>
      <c r="AV292" s="47"/>
      <c r="AW292" t="b">
        <f>IF(Migrationsartikel!AB290="ja","true",FALSE)</f>
        <v>0</v>
      </c>
      <c r="AX292" t="b">
        <f>IF(Migrationsartikel!AC290="ja","true",FALSE)</f>
        <v>0</v>
      </c>
      <c r="AY292" t="b">
        <f>IF(Migrationsartikel!AD290="ja","true",FALSE)</f>
        <v>0</v>
      </c>
      <c r="AZ292" t="b">
        <f>IF(Migrationsartikel!AE290="ja","true",FALSE)</f>
        <v>0</v>
      </c>
      <c r="BA292" t="str">
        <f>IF(Migrationsartikel!AF290="ja","Denner Partner","")</f>
        <v/>
      </c>
      <c r="BB292" t="str">
        <f>IF(Migrationsartikel!AG290="ja","true","false")</f>
        <v>false</v>
      </c>
      <c r="BC292" t="s">
        <v>1923</v>
      </c>
      <c r="BD292" s="31" t="s">
        <v>235</v>
      </c>
      <c r="BE292" s="31" t="s">
        <v>233</v>
      </c>
    </row>
    <row r="293" spans="2:57" ht="21.75" customHeight="1" x14ac:dyDescent="0.45">
      <c r="B293" t="s">
        <v>115</v>
      </c>
      <c r="E293" s="31" t="s">
        <v>1719</v>
      </c>
      <c r="F293" t="str">
        <f>"Warengruppe&gt;&gt;"&amp;Migrationsartikel!V291&amp;"&gt;&gt;"&amp;Migrationsartikel!W291&amp;"&gt;&gt;"&amp;Migrationsartikel!X291</f>
        <v>Warengruppe&gt;&gt;&gt;&gt;&gt;&gt;</v>
      </c>
      <c r="J293" s="31" t="s">
        <v>125</v>
      </c>
      <c r="M293" s="31" t="s">
        <v>137</v>
      </c>
      <c r="P293" s="31">
        <f>Migrationsartikel!B291</f>
        <v>0</v>
      </c>
      <c r="R293" t="str">
        <f>Migrationsartikel!F291&amp;" "&amp;Migrationsartikel!G291&amp;" "&amp;Migrationsartikel!H291</f>
        <v xml:space="preserve">  </v>
      </c>
      <c r="S293" t="str">
        <f>Migrationsartikel!J291&amp;" "&amp;Migrationsartikel!K291&amp;" "&amp;Migrationsartikel!L291</f>
        <v xml:space="preserve">  </v>
      </c>
      <c r="T293" t="str">
        <f>Migrationsartikel!N291&amp;" "&amp;Migrationsartikel!O291&amp;" "&amp;Migrationsartikel!P291</f>
        <v xml:space="preserve">  </v>
      </c>
      <c r="U293">
        <f>Migrationsartikel!F291</f>
        <v>0</v>
      </c>
      <c r="V293">
        <f>Migrationsartikel!J291</f>
        <v>0</v>
      </c>
      <c r="W293">
        <f>Migrationsartikel!N291</f>
        <v>0</v>
      </c>
      <c r="X293">
        <f>Migrationsartikel!G291</f>
        <v>0</v>
      </c>
      <c r="Y293">
        <f>Migrationsartikel!K291</f>
        <v>0</v>
      </c>
      <c r="Z293">
        <f>Migrationsartikel!O291</f>
        <v>0</v>
      </c>
      <c r="AA293" s="31">
        <f>Migrationsartikel!H291</f>
        <v>0</v>
      </c>
      <c r="AB293" s="31">
        <f>Migrationsartikel!L291</f>
        <v>0</v>
      </c>
      <c r="AC293" s="31">
        <f>Migrationsartikel!P291</f>
        <v>0</v>
      </c>
      <c r="AD293">
        <f>Migrationsartikel!I291</f>
        <v>0</v>
      </c>
      <c r="AE293">
        <f>Migrationsartikel!M291</f>
        <v>0</v>
      </c>
      <c r="AF293">
        <f>Migrationsartikel!Q291</f>
        <v>0</v>
      </c>
      <c r="AG293" s="45">
        <f>Migrationsartikel!R291</f>
        <v>0</v>
      </c>
      <c r="AH293" s="46">
        <f>Migrationsartikel!T291</f>
        <v>0</v>
      </c>
      <c r="AI293" s="46" t="str">
        <f t="shared" si="12"/>
        <v>n/a</v>
      </c>
      <c r="AJ293" s="46" t="s">
        <v>176</v>
      </c>
      <c r="AK293">
        <f>Migrationsartikel!S291</f>
        <v>0</v>
      </c>
      <c r="AL293">
        <f>Migrationsartikel!S291</f>
        <v>0</v>
      </c>
      <c r="AM293">
        <f>Migrationsartikel!S291</f>
        <v>0</v>
      </c>
      <c r="AN293">
        <f>Migrationsartikel!U291</f>
        <v>0</v>
      </c>
      <c r="AO293" t="str">
        <f t="shared" si="13"/>
        <v>n/a</v>
      </c>
      <c r="AP293" t="str">
        <f t="shared" si="14"/>
        <v>n/a</v>
      </c>
      <c r="AQ293" s="31" t="s">
        <v>195</v>
      </c>
      <c r="AR293" s="47"/>
      <c r="AS293" s="47"/>
      <c r="AT293" s="31" t="s">
        <v>208</v>
      </c>
      <c r="AU293" s="47"/>
      <c r="AV293" s="47"/>
      <c r="AW293" t="b">
        <f>IF(Migrationsartikel!AB291="ja","true",FALSE)</f>
        <v>0</v>
      </c>
      <c r="AX293" t="b">
        <f>IF(Migrationsartikel!AC291="ja","true",FALSE)</f>
        <v>0</v>
      </c>
      <c r="AY293" t="b">
        <f>IF(Migrationsartikel!AD291="ja","true",FALSE)</f>
        <v>0</v>
      </c>
      <c r="AZ293" t="b">
        <f>IF(Migrationsartikel!AE291="ja","true",FALSE)</f>
        <v>0</v>
      </c>
      <c r="BA293" t="str">
        <f>IF(Migrationsartikel!AF291="ja","Denner Partner","")</f>
        <v/>
      </c>
      <c r="BB293" t="str">
        <f>IF(Migrationsartikel!AG291="ja","true","false")</f>
        <v>false</v>
      </c>
      <c r="BC293" t="s">
        <v>1923</v>
      </c>
      <c r="BD293" s="31" t="s">
        <v>235</v>
      </c>
      <c r="BE293" s="31" t="s">
        <v>233</v>
      </c>
    </row>
    <row r="294" spans="2:57" ht="21.75" customHeight="1" x14ac:dyDescent="0.45">
      <c r="B294" t="s">
        <v>115</v>
      </c>
      <c r="E294" s="31" t="s">
        <v>1720</v>
      </c>
      <c r="F294" t="str">
        <f>"Warengruppe&gt;&gt;"&amp;Migrationsartikel!V292&amp;"&gt;&gt;"&amp;Migrationsartikel!W292&amp;"&gt;&gt;"&amp;Migrationsartikel!X292</f>
        <v>Warengruppe&gt;&gt;&gt;&gt;&gt;&gt;</v>
      </c>
      <c r="J294" s="31" t="s">
        <v>125</v>
      </c>
      <c r="M294" s="31" t="s">
        <v>137</v>
      </c>
      <c r="P294" s="31">
        <f>Migrationsartikel!B292</f>
        <v>0</v>
      </c>
      <c r="R294" t="str">
        <f>Migrationsartikel!F292&amp;" "&amp;Migrationsartikel!G292&amp;" "&amp;Migrationsartikel!H292</f>
        <v xml:space="preserve">  </v>
      </c>
      <c r="S294" t="str">
        <f>Migrationsartikel!J292&amp;" "&amp;Migrationsartikel!K292&amp;" "&amp;Migrationsartikel!L292</f>
        <v xml:space="preserve">  </v>
      </c>
      <c r="T294" t="str">
        <f>Migrationsartikel!N292&amp;" "&amp;Migrationsartikel!O292&amp;" "&amp;Migrationsartikel!P292</f>
        <v xml:space="preserve">  </v>
      </c>
      <c r="U294">
        <f>Migrationsartikel!F292</f>
        <v>0</v>
      </c>
      <c r="V294">
        <f>Migrationsartikel!J292</f>
        <v>0</v>
      </c>
      <c r="W294">
        <f>Migrationsartikel!N292</f>
        <v>0</v>
      </c>
      <c r="X294">
        <f>Migrationsartikel!G292</f>
        <v>0</v>
      </c>
      <c r="Y294">
        <f>Migrationsartikel!K292</f>
        <v>0</v>
      </c>
      <c r="Z294">
        <f>Migrationsartikel!O292</f>
        <v>0</v>
      </c>
      <c r="AA294" s="31">
        <f>Migrationsartikel!H292</f>
        <v>0</v>
      </c>
      <c r="AB294" s="31">
        <f>Migrationsartikel!L292</f>
        <v>0</v>
      </c>
      <c r="AC294" s="31">
        <f>Migrationsartikel!P292</f>
        <v>0</v>
      </c>
      <c r="AD294">
        <f>Migrationsartikel!I292</f>
        <v>0</v>
      </c>
      <c r="AE294">
        <f>Migrationsartikel!M292</f>
        <v>0</v>
      </c>
      <c r="AF294">
        <f>Migrationsartikel!Q292</f>
        <v>0</v>
      </c>
      <c r="AG294" s="45">
        <f>Migrationsartikel!R292</f>
        <v>0</v>
      </c>
      <c r="AH294" s="46">
        <f>Migrationsartikel!T292</f>
        <v>0</v>
      </c>
      <c r="AI294" s="46" t="str">
        <f t="shared" si="12"/>
        <v>n/a</v>
      </c>
      <c r="AJ294" s="46" t="s">
        <v>176</v>
      </c>
      <c r="AK294">
        <f>Migrationsartikel!S292</f>
        <v>0</v>
      </c>
      <c r="AL294">
        <f>Migrationsartikel!S292</f>
        <v>0</v>
      </c>
      <c r="AM294">
        <f>Migrationsartikel!S292</f>
        <v>0</v>
      </c>
      <c r="AN294">
        <f>Migrationsartikel!U292</f>
        <v>0</v>
      </c>
      <c r="AO294" t="str">
        <f t="shared" si="13"/>
        <v>n/a</v>
      </c>
      <c r="AP294" t="str">
        <f t="shared" si="14"/>
        <v>n/a</v>
      </c>
      <c r="AQ294" s="31" t="s">
        <v>195</v>
      </c>
      <c r="AR294" s="47"/>
      <c r="AS294" s="47"/>
      <c r="AT294" s="31" t="s">
        <v>208</v>
      </c>
      <c r="AU294" s="47"/>
      <c r="AV294" s="47"/>
      <c r="AW294" t="b">
        <f>IF(Migrationsartikel!AB292="ja","true",FALSE)</f>
        <v>0</v>
      </c>
      <c r="AX294" t="b">
        <f>IF(Migrationsartikel!AC292="ja","true",FALSE)</f>
        <v>0</v>
      </c>
      <c r="AY294" t="b">
        <f>IF(Migrationsartikel!AD292="ja","true",FALSE)</f>
        <v>0</v>
      </c>
      <c r="AZ294" t="b">
        <f>IF(Migrationsartikel!AE292="ja","true",FALSE)</f>
        <v>0</v>
      </c>
      <c r="BA294" t="str">
        <f>IF(Migrationsartikel!AF292="ja","Denner Partner","")</f>
        <v/>
      </c>
      <c r="BB294" t="str">
        <f>IF(Migrationsartikel!AG292="ja","true","false")</f>
        <v>false</v>
      </c>
      <c r="BC294" t="s">
        <v>1923</v>
      </c>
      <c r="BD294" s="31" t="s">
        <v>235</v>
      </c>
      <c r="BE294" s="31" t="s">
        <v>233</v>
      </c>
    </row>
    <row r="295" spans="2:57" ht="21.75" customHeight="1" x14ac:dyDescent="0.45">
      <c r="B295" t="s">
        <v>115</v>
      </c>
      <c r="E295" s="31" t="s">
        <v>1721</v>
      </c>
      <c r="F295" t="str">
        <f>"Warengruppe&gt;&gt;"&amp;Migrationsartikel!V293&amp;"&gt;&gt;"&amp;Migrationsartikel!W293&amp;"&gt;&gt;"&amp;Migrationsartikel!X293</f>
        <v>Warengruppe&gt;&gt;&gt;&gt;&gt;&gt;</v>
      </c>
      <c r="J295" s="31" t="s">
        <v>125</v>
      </c>
      <c r="M295" s="31" t="s">
        <v>137</v>
      </c>
      <c r="P295" s="31">
        <f>Migrationsartikel!B293</f>
        <v>0</v>
      </c>
      <c r="R295" t="str">
        <f>Migrationsartikel!F293&amp;" "&amp;Migrationsartikel!G293&amp;" "&amp;Migrationsartikel!H293</f>
        <v xml:space="preserve">  </v>
      </c>
      <c r="S295" t="str">
        <f>Migrationsartikel!J293&amp;" "&amp;Migrationsartikel!K293&amp;" "&amp;Migrationsartikel!L293</f>
        <v xml:space="preserve">  </v>
      </c>
      <c r="T295" t="str">
        <f>Migrationsartikel!N293&amp;" "&amp;Migrationsartikel!O293&amp;" "&amp;Migrationsartikel!P293</f>
        <v xml:space="preserve">  </v>
      </c>
      <c r="U295">
        <f>Migrationsartikel!F293</f>
        <v>0</v>
      </c>
      <c r="V295">
        <f>Migrationsartikel!J293</f>
        <v>0</v>
      </c>
      <c r="W295">
        <f>Migrationsartikel!N293</f>
        <v>0</v>
      </c>
      <c r="X295">
        <f>Migrationsartikel!G293</f>
        <v>0</v>
      </c>
      <c r="Y295">
        <f>Migrationsartikel!K293</f>
        <v>0</v>
      </c>
      <c r="Z295">
        <f>Migrationsartikel!O293</f>
        <v>0</v>
      </c>
      <c r="AA295" s="31">
        <f>Migrationsartikel!H293</f>
        <v>0</v>
      </c>
      <c r="AB295" s="31">
        <f>Migrationsartikel!L293</f>
        <v>0</v>
      </c>
      <c r="AC295" s="31">
        <f>Migrationsartikel!P293</f>
        <v>0</v>
      </c>
      <c r="AD295">
        <f>Migrationsartikel!I293</f>
        <v>0</v>
      </c>
      <c r="AE295">
        <f>Migrationsartikel!M293</f>
        <v>0</v>
      </c>
      <c r="AF295">
        <f>Migrationsartikel!Q293</f>
        <v>0</v>
      </c>
      <c r="AG295" s="45">
        <f>Migrationsartikel!R293</f>
        <v>0</v>
      </c>
      <c r="AH295" s="46">
        <f>Migrationsartikel!T293</f>
        <v>0</v>
      </c>
      <c r="AI295" s="46" t="str">
        <f t="shared" si="12"/>
        <v>n/a</v>
      </c>
      <c r="AJ295" s="46" t="s">
        <v>176</v>
      </c>
      <c r="AK295">
        <f>Migrationsartikel!S293</f>
        <v>0</v>
      </c>
      <c r="AL295">
        <f>Migrationsartikel!S293</f>
        <v>0</v>
      </c>
      <c r="AM295">
        <f>Migrationsartikel!S293</f>
        <v>0</v>
      </c>
      <c r="AN295">
        <f>Migrationsartikel!U293</f>
        <v>0</v>
      </c>
      <c r="AO295" t="str">
        <f t="shared" si="13"/>
        <v>n/a</v>
      </c>
      <c r="AP295" t="str">
        <f t="shared" si="14"/>
        <v>n/a</v>
      </c>
      <c r="AQ295" s="31" t="s">
        <v>195</v>
      </c>
      <c r="AR295" s="47"/>
      <c r="AS295" s="47"/>
      <c r="AT295" s="31" t="s">
        <v>208</v>
      </c>
      <c r="AU295" s="47"/>
      <c r="AV295" s="47"/>
      <c r="AW295" t="b">
        <f>IF(Migrationsartikel!AB293="ja","true",FALSE)</f>
        <v>0</v>
      </c>
      <c r="AX295" t="b">
        <f>IF(Migrationsartikel!AC293="ja","true",FALSE)</f>
        <v>0</v>
      </c>
      <c r="AY295" t="b">
        <f>IF(Migrationsartikel!AD293="ja","true",FALSE)</f>
        <v>0</v>
      </c>
      <c r="AZ295" t="b">
        <f>IF(Migrationsartikel!AE293="ja","true",FALSE)</f>
        <v>0</v>
      </c>
      <c r="BA295" t="str">
        <f>IF(Migrationsartikel!AF293="ja","Denner Partner","")</f>
        <v/>
      </c>
      <c r="BB295" t="str">
        <f>IF(Migrationsartikel!AG293="ja","true","false")</f>
        <v>false</v>
      </c>
      <c r="BC295" t="s">
        <v>1923</v>
      </c>
      <c r="BD295" s="31" t="s">
        <v>235</v>
      </c>
      <c r="BE295" s="31" t="s">
        <v>233</v>
      </c>
    </row>
    <row r="296" spans="2:57" ht="21.75" customHeight="1" x14ac:dyDescent="0.45">
      <c r="B296" t="s">
        <v>115</v>
      </c>
      <c r="E296" s="31" t="s">
        <v>1722</v>
      </c>
      <c r="F296" t="str">
        <f>"Warengruppe&gt;&gt;"&amp;Migrationsartikel!V294&amp;"&gt;&gt;"&amp;Migrationsartikel!W294&amp;"&gt;&gt;"&amp;Migrationsartikel!X294</f>
        <v>Warengruppe&gt;&gt;&gt;&gt;&gt;&gt;</v>
      </c>
      <c r="J296" s="31" t="s">
        <v>125</v>
      </c>
      <c r="M296" s="31" t="s">
        <v>137</v>
      </c>
      <c r="P296" s="31">
        <f>Migrationsartikel!B294</f>
        <v>0</v>
      </c>
      <c r="R296" t="str">
        <f>Migrationsartikel!F294&amp;" "&amp;Migrationsartikel!G294&amp;" "&amp;Migrationsartikel!H294</f>
        <v xml:space="preserve">  </v>
      </c>
      <c r="S296" t="str">
        <f>Migrationsartikel!J294&amp;" "&amp;Migrationsartikel!K294&amp;" "&amp;Migrationsartikel!L294</f>
        <v xml:space="preserve">  </v>
      </c>
      <c r="T296" t="str">
        <f>Migrationsartikel!N294&amp;" "&amp;Migrationsartikel!O294&amp;" "&amp;Migrationsartikel!P294</f>
        <v xml:space="preserve">  </v>
      </c>
      <c r="U296">
        <f>Migrationsartikel!F294</f>
        <v>0</v>
      </c>
      <c r="V296">
        <f>Migrationsartikel!J294</f>
        <v>0</v>
      </c>
      <c r="W296">
        <f>Migrationsartikel!N294</f>
        <v>0</v>
      </c>
      <c r="X296">
        <f>Migrationsartikel!G294</f>
        <v>0</v>
      </c>
      <c r="Y296">
        <f>Migrationsartikel!K294</f>
        <v>0</v>
      </c>
      <c r="Z296">
        <f>Migrationsartikel!O294</f>
        <v>0</v>
      </c>
      <c r="AA296" s="31">
        <f>Migrationsartikel!H294</f>
        <v>0</v>
      </c>
      <c r="AB296" s="31">
        <f>Migrationsartikel!L294</f>
        <v>0</v>
      </c>
      <c r="AC296" s="31">
        <f>Migrationsartikel!P294</f>
        <v>0</v>
      </c>
      <c r="AD296">
        <f>Migrationsartikel!I294</f>
        <v>0</v>
      </c>
      <c r="AE296">
        <f>Migrationsartikel!M294</f>
        <v>0</v>
      </c>
      <c r="AF296">
        <f>Migrationsartikel!Q294</f>
        <v>0</v>
      </c>
      <c r="AG296" s="45">
        <f>Migrationsartikel!R294</f>
        <v>0</v>
      </c>
      <c r="AH296" s="46">
        <f>Migrationsartikel!T294</f>
        <v>0</v>
      </c>
      <c r="AI296" s="46" t="str">
        <f t="shared" si="12"/>
        <v>n/a</v>
      </c>
      <c r="AJ296" s="46" t="s">
        <v>176</v>
      </c>
      <c r="AK296">
        <f>Migrationsartikel!S294</f>
        <v>0</v>
      </c>
      <c r="AL296">
        <f>Migrationsartikel!S294</f>
        <v>0</v>
      </c>
      <c r="AM296">
        <f>Migrationsartikel!S294</f>
        <v>0</v>
      </c>
      <c r="AN296">
        <f>Migrationsartikel!U294</f>
        <v>0</v>
      </c>
      <c r="AO296" t="str">
        <f t="shared" si="13"/>
        <v>n/a</v>
      </c>
      <c r="AP296" t="str">
        <f t="shared" si="14"/>
        <v>n/a</v>
      </c>
      <c r="AQ296" s="31" t="s">
        <v>195</v>
      </c>
      <c r="AR296" s="47"/>
      <c r="AS296" s="47"/>
      <c r="AT296" s="31" t="s">
        <v>208</v>
      </c>
      <c r="AU296" s="47"/>
      <c r="AV296" s="47"/>
      <c r="AW296" t="b">
        <f>IF(Migrationsartikel!AB294="ja","true",FALSE)</f>
        <v>0</v>
      </c>
      <c r="AX296" t="b">
        <f>IF(Migrationsartikel!AC294="ja","true",FALSE)</f>
        <v>0</v>
      </c>
      <c r="AY296" t="b">
        <f>IF(Migrationsartikel!AD294="ja","true",FALSE)</f>
        <v>0</v>
      </c>
      <c r="AZ296" t="b">
        <f>IF(Migrationsartikel!AE294="ja","true",FALSE)</f>
        <v>0</v>
      </c>
      <c r="BA296" t="str">
        <f>IF(Migrationsartikel!AF294="ja","Denner Partner","")</f>
        <v/>
      </c>
      <c r="BB296" t="str">
        <f>IF(Migrationsartikel!AG294="ja","true","false")</f>
        <v>false</v>
      </c>
      <c r="BC296" t="s">
        <v>1923</v>
      </c>
      <c r="BD296" s="31" t="s">
        <v>235</v>
      </c>
      <c r="BE296" s="31" t="s">
        <v>233</v>
      </c>
    </row>
    <row r="297" spans="2:57" ht="21.75" customHeight="1" x14ac:dyDescent="0.45">
      <c r="B297" t="s">
        <v>115</v>
      </c>
      <c r="E297" s="31" t="s">
        <v>1723</v>
      </c>
      <c r="F297" t="str">
        <f>"Warengruppe&gt;&gt;"&amp;Migrationsartikel!V295&amp;"&gt;&gt;"&amp;Migrationsartikel!W295&amp;"&gt;&gt;"&amp;Migrationsartikel!X295</f>
        <v>Warengruppe&gt;&gt;&gt;&gt;&gt;&gt;</v>
      </c>
      <c r="J297" s="31" t="s">
        <v>125</v>
      </c>
      <c r="M297" s="31" t="s">
        <v>137</v>
      </c>
      <c r="P297" s="31">
        <f>Migrationsartikel!B295</f>
        <v>0</v>
      </c>
      <c r="R297" t="str">
        <f>Migrationsartikel!F295&amp;" "&amp;Migrationsartikel!G295&amp;" "&amp;Migrationsartikel!H295</f>
        <v xml:space="preserve">  </v>
      </c>
      <c r="S297" t="str">
        <f>Migrationsartikel!J295&amp;" "&amp;Migrationsartikel!K295&amp;" "&amp;Migrationsartikel!L295</f>
        <v xml:space="preserve">  </v>
      </c>
      <c r="T297" t="str">
        <f>Migrationsartikel!N295&amp;" "&amp;Migrationsartikel!O295&amp;" "&amp;Migrationsartikel!P295</f>
        <v xml:space="preserve">  </v>
      </c>
      <c r="U297">
        <f>Migrationsartikel!F295</f>
        <v>0</v>
      </c>
      <c r="V297">
        <f>Migrationsartikel!J295</f>
        <v>0</v>
      </c>
      <c r="W297">
        <f>Migrationsartikel!N295</f>
        <v>0</v>
      </c>
      <c r="X297">
        <f>Migrationsartikel!G295</f>
        <v>0</v>
      </c>
      <c r="Y297">
        <f>Migrationsartikel!K295</f>
        <v>0</v>
      </c>
      <c r="Z297">
        <f>Migrationsartikel!O295</f>
        <v>0</v>
      </c>
      <c r="AA297" s="31">
        <f>Migrationsartikel!H295</f>
        <v>0</v>
      </c>
      <c r="AB297" s="31">
        <f>Migrationsartikel!L295</f>
        <v>0</v>
      </c>
      <c r="AC297" s="31">
        <f>Migrationsartikel!P295</f>
        <v>0</v>
      </c>
      <c r="AD297">
        <f>Migrationsartikel!I295</f>
        <v>0</v>
      </c>
      <c r="AE297">
        <f>Migrationsartikel!M295</f>
        <v>0</v>
      </c>
      <c r="AF297">
        <f>Migrationsartikel!Q295</f>
        <v>0</v>
      </c>
      <c r="AG297" s="45">
        <f>Migrationsartikel!R295</f>
        <v>0</v>
      </c>
      <c r="AH297" s="46">
        <f>Migrationsartikel!T295</f>
        <v>0</v>
      </c>
      <c r="AI297" s="46" t="str">
        <f t="shared" si="12"/>
        <v>n/a</v>
      </c>
      <c r="AJ297" s="46" t="s">
        <v>176</v>
      </c>
      <c r="AK297">
        <f>Migrationsartikel!S295</f>
        <v>0</v>
      </c>
      <c r="AL297">
        <f>Migrationsartikel!S295</f>
        <v>0</v>
      </c>
      <c r="AM297">
        <f>Migrationsartikel!S295</f>
        <v>0</v>
      </c>
      <c r="AN297">
        <f>Migrationsartikel!U295</f>
        <v>0</v>
      </c>
      <c r="AO297" t="str">
        <f t="shared" si="13"/>
        <v>n/a</v>
      </c>
      <c r="AP297" t="str">
        <f t="shared" si="14"/>
        <v>n/a</v>
      </c>
      <c r="AQ297" s="31" t="s">
        <v>195</v>
      </c>
      <c r="AR297" s="47"/>
      <c r="AS297" s="47"/>
      <c r="AT297" s="31" t="s">
        <v>208</v>
      </c>
      <c r="AU297" s="47"/>
      <c r="AV297" s="47"/>
      <c r="AW297" t="b">
        <f>IF(Migrationsartikel!AB295="ja","true",FALSE)</f>
        <v>0</v>
      </c>
      <c r="AX297" t="b">
        <f>IF(Migrationsartikel!AC295="ja","true",FALSE)</f>
        <v>0</v>
      </c>
      <c r="AY297" t="b">
        <f>IF(Migrationsartikel!AD295="ja","true",FALSE)</f>
        <v>0</v>
      </c>
      <c r="AZ297" t="b">
        <f>IF(Migrationsartikel!AE295="ja","true",FALSE)</f>
        <v>0</v>
      </c>
      <c r="BA297" t="str">
        <f>IF(Migrationsartikel!AF295="ja","Denner Partner","")</f>
        <v/>
      </c>
      <c r="BB297" t="str">
        <f>IF(Migrationsartikel!AG295="ja","true","false")</f>
        <v>false</v>
      </c>
      <c r="BC297" t="s">
        <v>1923</v>
      </c>
      <c r="BD297" s="31" t="s">
        <v>235</v>
      </c>
      <c r="BE297" s="31" t="s">
        <v>233</v>
      </c>
    </row>
    <row r="298" spans="2:57" ht="21.75" customHeight="1" x14ac:dyDescent="0.45">
      <c r="B298" t="s">
        <v>115</v>
      </c>
      <c r="E298" s="31" t="s">
        <v>1724</v>
      </c>
      <c r="F298" t="str">
        <f>"Warengruppe&gt;&gt;"&amp;Migrationsartikel!V296&amp;"&gt;&gt;"&amp;Migrationsartikel!W296&amp;"&gt;&gt;"&amp;Migrationsartikel!X296</f>
        <v>Warengruppe&gt;&gt;&gt;&gt;&gt;&gt;</v>
      </c>
      <c r="J298" s="31" t="s">
        <v>125</v>
      </c>
      <c r="M298" s="31" t="s">
        <v>137</v>
      </c>
      <c r="P298" s="31">
        <f>Migrationsartikel!B296</f>
        <v>0</v>
      </c>
      <c r="R298" t="str">
        <f>Migrationsartikel!F296&amp;" "&amp;Migrationsartikel!G296&amp;" "&amp;Migrationsartikel!H296</f>
        <v xml:space="preserve">  </v>
      </c>
      <c r="S298" t="str">
        <f>Migrationsartikel!J296&amp;" "&amp;Migrationsartikel!K296&amp;" "&amp;Migrationsartikel!L296</f>
        <v xml:space="preserve">  </v>
      </c>
      <c r="T298" t="str">
        <f>Migrationsartikel!N296&amp;" "&amp;Migrationsartikel!O296&amp;" "&amp;Migrationsartikel!P296</f>
        <v xml:space="preserve">  </v>
      </c>
      <c r="U298">
        <f>Migrationsartikel!F296</f>
        <v>0</v>
      </c>
      <c r="V298">
        <f>Migrationsartikel!J296</f>
        <v>0</v>
      </c>
      <c r="W298">
        <f>Migrationsartikel!N296</f>
        <v>0</v>
      </c>
      <c r="X298">
        <f>Migrationsartikel!G296</f>
        <v>0</v>
      </c>
      <c r="Y298">
        <f>Migrationsartikel!K296</f>
        <v>0</v>
      </c>
      <c r="Z298">
        <f>Migrationsartikel!O296</f>
        <v>0</v>
      </c>
      <c r="AA298" s="31">
        <f>Migrationsartikel!H296</f>
        <v>0</v>
      </c>
      <c r="AB298" s="31">
        <f>Migrationsartikel!L296</f>
        <v>0</v>
      </c>
      <c r="AC298" s="31">
        <f>Migrationsartikel!P296</f>
        <v>0</v>
      </c>
      <c r="AD298">
        <f>Migrationsartikel!I296</f>
        <v>0</v>
      </c>
      <c r="AE298">
        <f>Migrationsartikel!M296</f>
        <v>0</v>
      </c>
      <c r="AF298">
        <f>Migrationsartikel!Q296</f>
        <v>0</v>
      </c>
      <c r="AG298" s="45">
        <f>Migrationsartikel!R296</f>
        <v>0</v>
      </c>
      <c r="AH298" s="46">
        <f>Migrationsartikel!T296</f>
        <v>0</v>
      </c>
      <c r="AI298" s="46" t="str">
        <f t="shared" si="12"/>
        <v>n/a</v>
      </c>
      <c r="AJ298" s="46" t="s">
        <v>176</v>
      </c>
      <c r="AK298">
        <f>Migrationsartikel!S296</f>
        <v>0</v>
      </c>
      <c r="AL298">
        <f>Migrationsartikel!S296</f>
        <v>0</v>
      </c>
      <c r="AM298">
        <f>Migrationsartikel!S296</f>
        <v>0</v>
      </c>
      <c r="AN298">
        <f>Migrationsartikel!U296</f>
        <v>0</v>
      </c>
      <c r="AO298" t="str">
        <f t="shared" si="13"/>
        <v>n/a</v>
      </c>
      <c r="AP298" t="str">
        <f t="shared" si="14"/>
        <v>n/a</v>
      </c>
      <c r="AQ298" s="31" t="s">
        <v>195</v>
      </c>
      <c r="AR298" s="47"/>
      <c r="AS298" s="47"/>
      <c r="AT298" s="31" t="s">
        <v>208</v>
      </c>
      <c r="AU298" s="47"/>
      <c r="AV298" s="47"/>
      <c r="AW298" t="b">
        <f>IF(Migrationsartikel!AB296="ja","true",FALSE)</f>
        <v>0</v>
      </c>
      <c r="AX298" t="b">
        <f>IF(Migrationsartikel!AC296="ja","true",FALSE)</f>
        <v>0</v>
      </c>
      <c r="AY298" t="b">
        <f>IF(Migrationsartikel!AD296="ja","true",FALSE)</f>
        <v>0</v>
      </c>
      <c r="AZ298" t="b">
        <f>IF(Migrationsartikel!AE296="ja","true",FALSE)</f>
        <v>0</v>
      </c>
      <c r="BA298" t="str">
        <f>IF(Migrationsartikel!AF296="ja","Denner Partner","")</f>
        <v/>
      </c>
      <c r="BB298" t="str">
        <f>IF(Migrationsartikel!AG296="ja","true","false")</f>
        <v>false</v>
      </c>
      <c r="BC298" t="s">
        <v>1923</v>
      </c>
      <c r="BD298" s="31" t="s">
        <v>235</v>
      </c>
      <c r="BE298" s="31" t="s">
        <v>233</v>
      </c>
    </row>
    <row r="299" spans="2:57" ht="21.75" customHeight="1" x14ac:dyDescent="0.45">
      <c r="B299" t="s">
        <v>115</v>
      </c>
      <c r="E299" s="31" t="s">
        <v>1725</v>
      </c>
      <c r="F299" t="str">
        <f>"Warengruppe&gt;&gt;"&amp;Migrationsartikel!V297&amp;"&gt;&gt;"&amp;Migrationsartikel!W297&amp;"&gt;&gt;"&amp;Migrationsartikel!X297</f>
        <v>Warengruppe&gt;&gt;&gt;&gt;&gt;&gt;</v>
      </c>
      <c r="J299" s="31" t="s">
        <v>125</v>
      </c>
      <c r="M299" s="31" t="s">
        <v>137</v>
      </c>
      <c r="P299" s="31">
        <f>Migrationsartikel!B297</f>
        <v>0</v>
      </c>
      <c r="R299" t="str">
        <f>Migrationsartikel!F297&amp;" "&amp;Migrationsartikel!G297&amp;" "&amp;Migrationsartikel!H297</f>
        <v xml:space="preserve">  </v>
      </c>
      <c r="S299" t="str">
        <f>Migrationsartikel!J297&amp;" "&amp;Migrationsartikel!K297&amp;" "&amp;Migrationsartikel!L297</f>
        <v xml:space="preserve">  </v>
      </c>
      <c r="T299" t="str">
        <f>Migrationsartikel!N297&amp;" "&amp;Migrationsartikel!O297&amp;" "&amp;Migrationsartikel!P297</f>
        <v xml:space="preserve">  </v>
      </c>
      <c r="U299">
        <f>Migrationsartikel!F297</f>
        <v>0</v>
      </c>
      <c r="V299">
        <f>Migrationsartikel!J297</f>
        <v>0</v>
      </c>
      <c r="W299">
        <f>Migrationsartikel!N297</f>
        <v>0</v>
      </c>
      <c r="X299">
        <f>Migrationsartikel!G297</f>
        <v>0</v>
      </c>
      <c r="Y299">
        <f>Migrationsartikel!K297</f>
        <v>0</v>
      </c>
      <c r="Z299">
        <f>Migrationsartikel!O297</f>
        <v>0</v>
      </c>
      <c r="AA299" s="31">
        <f>Migrationsartikel!H297</f>
        <v>0</v>
      </c>
      <c r="AB299" s="31">
        <f>Migrationsartikel!L297</f>
        <v>0</v>
      </c>
      <c r="AC299" s="31">
        <f>Migrationsartikel!P297</f>
        <v>0</v>
      </c>
      <c r="AD299">
        <f>Migrationsartikel!I297</f>
        <v>0</v>
      </c>
      <c r="AE299">
        <f>Migrationsartikel!M297</f>
        <v>0</v>
      </c>
      <c r="AF299">
        <f>Migrationsartikel!Q297</f>
        <v>0</v>
      </c>
      <c r="AG299" s="45">
        <f>Migrationsartikel!R297</f>
        <v>0</v>
      </c>
      <c r="AH299" s="46">
        <f>Migrationsartikel!T297</f>
        <v>0</v>
      </c>
      <c r="AI299" s="46" t="str">
        <f t="shared" si="12"/>
        <v>n/a</v>
      </c>
      <c r="AJ299" s="46" t="s">
        <v>176</v>
      </c>
      <c r="AK299">
        <f>Migrationsartikel!S297</f>
        <v>0</v>
      </c>
      <c r="AL299">
        <f>Migrationsartikel!S297</f>
        <v>0</v>
      </c>
      <c r="AM299">
        <f>Migrationsartikel!S297</f>
        <v>0</v>
      </c>
      <c r="AN299">
        <f>Migrationsartikel!U297</f>
        <v>0</v>
      </c>
      <c r="AO299" t="str">
        <f t="shared" si="13"/>
        <v>n/a</v>
      </c>
      <c r="AP299" t="str">
        <f t="shared" si="14"/>
        <v>n/a</v>
      </c>
      <c r="AQ299" s="31" t="s">
        <v>195</v>
      </c>
      <c r="AR299" s="47"/>
      <c r="AS299" s="47"/>
      <c r="AT299" s="31" t="s">
        <v>208</v>
      </c>
      <c r="AU299" s="47"/>
      <c r="AV299" s="47"/>
      <c r="AW299" t="b">
        <f>IF(Migrationsartikel!AB297="ja","true",FALSE)</f>
        <v>0</v>
      </c>
      <c r="AX299" t="b">
        <f>IF(Migrationsartikel!AC297="ja","true",FALSE)</f>
        <v>0</v>
      </c>
      <c r="AY299" t="b">
        <f>IF(Migrationsartikel!AD297="ja","true",FALSE)</f>
        <v>0</v>
      </c>
      <c r="AZ299" t="b">
        <f>IF(Migrationsartikel!AE297="ja","true",FALSE)</f>
        <v>0</v>
      </c>
      <c r="BA299" t="str">
        <f>IF(Migrationsartikel!AF297="ja","Denner Partner","")</f>
        <v/>
      </c>
      <c r="BB299" t="str">
        <f>IF(Migrationsartikel!AG297="ja","true","false")</f>
        <v>false</v>
      </c>
      <c r="BC299" t="s">
        <v>1923</v>
      </c>
      <c r="BD299" s="31" t="s">
        <v>235</v>
      </c>
      <c r="BE299" s="31" t="s">
        <v>233</v>
      </c>
    </row>
    <row r="300" spans="2:57" ht="21.75" customHeight="1" x14ac:dyDescent="0.45">
      <c r="B300" t="s">
        <v>115</v>
      </c>
      <c r="E300" s="31" t="s">
        <v>1726</v>
      </c>
      <c r="F300" t="str">
        <f>"Warengruppe&gt;&gt;"&amp;Migrationsartikel!V298&amp;"&gt;&gt;"&amp;Migrationsartikel!W298&amp;"&gt;&gt;"&amp;Migrationsartikel!X298</f>
        <v>Warengruppe&gt;&gt;&gt;&gt;&gt;&gt;</v>
      </c>
      <c r="J300" s="31" t="s">
        <v>125</v>
      </c>
      <c r="M300" s="31" t="s">
        <v>137</v>
      </c>
      <c r="P300" s="31">
        <f>Migrationsartikel!B298</f>
        <v>0</v>
      </c>
      <c r="R300" t="str">
        <f>Migrationsartikel!F298&amp;" "&amp;Migrationsartikel!G298&amp;" "&amp;Migrationsartikel!H298</f>
        <v xml:space="preserve">  </v>
      </c>
      <c r="S300" t="str">
        <f>Migrationsartikel!J298&amp;" "&amp;Migrationsartikel!K298&amp;" "&amp;Migrationsartikel!L298</f>
        <v xml:space="preserve">  </v>
      </c>
      <c r="T300" t="str">
        <f>Migrationsartikel!N298&amp;" "&amp;Migrationsartikel!O298&amp;" "&amp;Migrationsartikel!P298</f>
        <v xml:space="preserve">  </v>
      </c>
      <c r="U300">
        <f>Migrationsartikel!F298</f>
        <v>0</v>
      </c>
      <c r="V300">
        <f>Migrationsartikel!J298</f>
        <v>0</v>
      </c>
      <c r="W300">
        <f>Migrationsartikel!N298</f>
        <v>0</v>
      </c>
      <c r="X300">
        <f>Migrationsartikel!G298</f>
        <v>0</v>
      </c>
      <c r="Y300">
        <f>Migrationsartikel!K298</f>
        <v>0</v>
      </c>
      <c r="Z300">
        <f>Migrationsartikel!O298</f>
        <v>0</v>
      </c>
      <c r="AA300" s="31">
        <f>Migrationsartikel!H298</f>
        <v>0</v>
      </c>
      <c r="AB300" s="31">
        <f>Migrationsartikel!L298</f>
        <v>0</v>
      </c>
      <c r="AC300" s="31">
        <f>Migrationsartikel!P298</f>
        <v>0</v>
      </c>
      <c r="AD300">
        <f>Migrationsartikel!I298</f>
        <v>0</v>
      </c>
      <c r="AE300">
        <f>Migrationsartikel!M298</f>
        <v>0</v>
      </c>
      <c r="AF300">
        <f>Migrationsartikel!Q298</f>
        <v>0</v>
      </c>
      <c r="AG300" s="45">
        <f>Migrationsartikel!R298</f>
        <v>0</v>
      </c>
      <c r="AH300" s="46">
        <f>Migrationsartikel!T298</f>
        <v>0</v>
      </c>
      <c r="AI300" s="46" t="str">
        <f t="shared" si="12"/>
        <v>n/a</v>
      </c>
      <c r="AJ300" s="46" t="s">
        <v>176</v>
      </c>
      <c r="AK300">
        <f>Migrationsartikel!S298</f>
        <v>0</v>
      </c>
      <c r="AL300">
        <f>Migrationsartikel!S298</f>
        <v>0</v>
      </c>
      <c r="AM300">
        <f>Migrationsartikel!S298</f>
        <v>0</v>
      </c>
      <c r="AN300">
        <f>Migrationsartikel!U298</f>
        <v>0</v>
      </c>
      <c r="AO300" t="str">
        <f t="shared" si="13"/>
        <v>n/a</v>
      </c>
      <c r="AP300" t="str">
        <f t="shared" si="14"/>
        <v>n/a</v>
      </c>
      <c r="AQ300" s="31" t="s">
        <v>195</v>
      </c>
      <c r="AR300" s="47"/>
      <c r="AS300" s="47"/>
      <c r="AT300" s="31" t="s">
        <v>208</v>
      </c>
      <c r="AU300" s="47"/>
      <c r="AV300" s="47"/>
      <c r="AW300" t="b">
        <f>IF(Migrationsartikel!AB298="ja","true",FALSE)</f>
        <v>0</v>
      </c>
      <c r="AX300" t="b">
        <f>IF(Migrationsartikel!AC298="ja","true",FALSE)</f>
        <v>0</v>
      </c>
      <c r="AY300" t="b">
        <f>IF(Migrationsartikel!AD298="ja","true",FALSE)</f>
        <v>0</v>
      </c>
      <c r="AZ300" t="b">
        <f>IF(Migrationsartikel!AE298="ja","true",FALSE)</f>
        <v>0</v>
      </c>
      <c r="BA300" t="str">
        <f>IF(Migrationsartikel!AF298="ja","Denner Partner","")</f>
        <v/>
      </c>
      <c r="BB300" t="str">
        <f>IF(Migrationsartikel!AG298="ja","true","false")</f>
        <v>false</v>
      </c>
      <c r="BC300" t="s">
        <v>1923</v>
      </c>
      <c r="BD300" s="31" t="s">
        <v>235</v>
      </c>
      <c r="BE300" s="31" t="s">
        <v>233</v>
      </c>
    </row>
    <row r="301" spans="2:57" ht="21.75" customHeight="1" x14ac:dyDescent="0.45">
      <c r="B301" t="s">
        <v>115</v>
      </c>
      <c r="E301" s="31" t="s">
        <v>1727</v>
      </c>
      <c r="F301" t="str">
        <f>"Warengruppe&gt;&gt;"&amp;Migrationsartikel!V299&amp;"&gt;&gt;"&amp;Migrationsartikel!W299&amp;"&gt;&gt;"&amp;Migrationsartikel!X299</f>
        <v>Warengruppe&gt;&gt;&gt;&gt;&gt;&gt;</v>
      </c>
      <c r="J301" s="31" t="s">
        <v>125</v>
      </c>
      <c r="M301" s="31" t="s">
        <v>137</v>
      </c>
      <c r="P301" s="31">
        <f>Migrationsartikel!B299</f>
        <v>0</v>
      </c>
      <c r="R301" t="str">
        <f>Migrationsartikel!F299&amp;" "&amp;Migrationsartikel!G299&amp;" "&amp;Migrationsartikel!H299</f>
        <v xml:space="preserve">  </v>
      </c>
      <c r="S301" t="str">
        <f>Migrationsartikel!J299&amp;" "&amp;Migrationsartikel!K299&amp;" "&amp;Migrationsartikel!L299</f>
        <v xml:space="preserve">  </v>
      </c>
      <c r="T301" t="str">
        <f>Migrationsartikel!N299&amp;" "&amp;Migrationsartikel!O299&amp;" "&amp;Migrationsartikel!P299</f>
        <v xml:space="preserve">  </v>
      </c>
      <c r="U301">
        <f>Migrationsartikel!F299</f>
        <v>0</v>
      </c>
      <c r="V301">
        <f>Migrationsartikel!J299</f>
        <v>0</v>
      </c>
      <c r="W301">
        <f>Migrationsartikel!N299</f>
        <v>0</v>
      </c>
      <c r="X301">
        <f>Migrationsartikel!G299</f>
        <v>0</v>
      </c>
      <c r="Y301">
        <f>Migrationsartikel!K299</f>
        <v>0</v>
      </c>
      <c r="Z301">
        <f>Migrationsartikel!O299</f>
        <v>0</v>
      </c>
      <c r="AA301" s="31">
        <f>Migrationsartikel!H299</f>
        <v>0</v>
      </c>
      <c r="AB301" s="31">
        <f>Migrationsartikel!L299</f>
        <v>0</v>
      </c>
      <c r="AC301" s="31">
        <f>Migrationsartikel!P299</f>
        <v>0</v>
      </c>
      <c r="AD301">
        <f>Migrationsartikel!I299</f>
        <v>0</v>
      </c>
      <c r="AE301">
        <f>Migrationsartikel!M299</f>
        <v>0</v>
      </c>
      <c r="AF301">
        <f>Migrationsartikel!Q299</f>
        <v>0</v>
      </c>
      <c r="AG301" s="45">
        <f>Migrationsartikel!R299</f>
        <v>0</v>
      </c>
      <c r="AH301" s="46">
        <f>Migrationsartikel!T299</f>
        <v>0</v>
      </c>
      <c r="AI301" s="46" t="str">
        <f t="shared" si="12"/>
        <v>n/a</v>
      </c>
      <c r="AJ301" s="46" t="s">
        <v>176</v>
      </c>
      <c r="AK301">
        <f>Migrationsartikel!S299</f>
        <v>0</v>
      </c>
      <c r="AL301">
        <f>Migrationsartikel!S299</f>
        <v>0</v>
      </c>
      <c r="AM301">
        <f>Migrationsartikel!S299</f>
        <v>0</v>
      </c>
      <c r="AN301">
        <f>Migrationsartikel!U299</f>
        <v>0</v>
      </c>
      <c r="AO301" t="str">
        <f t="shared" si="13"/>
        <v>n/a</v>
      </c>
      <c r="AP301" t="str">
        <f t="shared" si="14"/>
        <v>n/a</v>
      </c>
      <c r="AQ301" s="31" t="s">
        <v>195</v>
      </c>
      <c r="AR301" s="47"/>
      <c r="AS301" s="47"/>
      <c r="AT301" s="31" t="s">
        <v>208</v>
      </c>
      <c r="AU301" s="47"/>
      <c r="AV301" s="47"/>
      <c r="AW301" t="b">
        <f>IF(Migrationsartikel!AB299="ja","true",FALSE)</f>
        <v>0</v>
      </c>
      <c r="AX301" t="b">
        <f>IF(Migrationsartikel!AC299="ja","true",FALSE)</f>
        <v>0</v>
      </c>
      <c r="AY301" t="b">
        <f>IF(Migrationsartikel!AD299="ja","true",FALSE)</f>
        <v>0</v>
      </c>
      <c r="AZ301" t="b">
        <f>IF(Migrationsartikel!AE299="ja","true",FALSE)</f>
        <v>0</v>
      </c>
      <c r="BA301" t="str">
        <f>IF(Migrationsartikel!AF299="ja","Denner Partner","")</f>
        <v/>
      </c>
      <c r="BB301" t="str">
        <f>IF(Migrationsartikel!AG299="ja","true","false")</f>
        <v>false</v>
      </c>
      <c r="BC301" t="s">
        <v>1923</v>
      </c>
      <c r="BD301" s="31" t="s">
        <v>235</v>
      </c>
      <c r="BE301" s="31" t="s">
        <v>233</v>
      </c>
    </row>
    <row r="302" spans="2:57" ht="21.75" customHeight="1" x14ac:dyDescent="0.45">
      <c r="B302" t="s">
        <v>115</v>
      </c>
      <c r="E302" s="31" t="s">
        <v>1728</v>
      </c>
      <c r="F302" t="str">
        <f>"Warengruppe&gt;&gt;"&amp;Migrationsartikel!V300&amp;"&gt;&gt;"&amp;Migrationsartikel!W300&amp;"&gt;&gt;"&amp;Migrationsartikel!X300</f>
        <v>Warengruppe&gt;&gt;&gt;&gt;&gt;&gt;</v>
      </c>
      <c r="J302" s="31" t="s">
        <v>125</v>
      </c>
      <c r="M302" s="31" t="s">
        <v>137</v>
      </c>
      <c r="P302" s="31">
        <f>Migrationsartikel!B300</f>
        <v>0</v>
      </c>
      <c r="R302" t="str">
        <f>Migrationsartikel!F300&amp;" "&amp;Migrationsartikel!G300&amp;" "&amp;Migrationsartikel!H300</f>
        <v xml:space="preserve">  </v>
      </c>
      <c r="S302" t="str">
        <f>Migrationsartikel!J300&amp;" "&amp;Migrationsartikel!K300&amp;" "&amp;Migrationsartikel!L300</f>
        <v xml:space="preserve">  </v>
      </c>
      <c r="T302" t="str">
        <f>Migrationsartikel!N300&amp;" "&amp;Migrationsartikel!O300&amp;" "&amp;Migrationsartikel!P300</f>
        <v xml:space="preserve">  </v>
      </c>
      <c r="U302">
        <f>Migrationsartikel!F300</f>
        <v>0</v>
      </c>
      <c r="V302">
        <f>Migrationsartikel!J300</f>
        <v>0</v>
      </c>
      <c r="W302">
        <f>Migrationsartikel!N300</f>
        <v>0</v>
      </c>
      <c r="X302">
        <f>Migrationsartikel!G300</f>
        <v>0</v>
      </c>
      <c r="Y302">
        <f>Migrationsartikel!K300</f>
        <v>0</v>
      </c>
      <c r="Z302">
        <f>Migrationsartikel!O300</f>
        <v>0</v>
      </c>
      <c r="AA302" s="31">
        <f>Migrationsartikel!H300</f>
        <v>0</v>
      </c>
      <c r="AB302" s="31">
        <f>Migrationsartikel!L300</f>
        <v>0</v>
      </c>
      <c r="AC302" s="31">
        <f>Migrationsartikel!P300</f>
        <v>0</v>
      </c>
      <c r="AD302">
        <f>Migrationsartikel!I300</f>
        <v>0</v>
      </c>
      <c r="AE302">
        <f>Migrationsartikel!M300</f>
        <v>0</v>
      </c>
      <c r="AF302">
        <f>Migrationsartikel!Q300</f>
        <v>0</v>
      </c>
      <c r="AG302" s="45">
        <f>Migrationsartikel!R300</f>
        <v>0</v>
      </c>
      <c r="AH302" s="46">
        <f>Migrationsartikel!T300</f>
        <v>0</v>
      </c>
      <c r="AI302" s="46" t="str">
        <f t="shared" si="12"/>
        <v>n/a</v>
      </c>
      <c r="AJ302" s="46" t="s">
        <v>176</v>
      </c>
      <c r="AK302">
        <f>Migrationsartikel!S300</f>
        <v>0</v>
      </c>
      <c r="AL302">
        <f>Migrationsartikel!S300</f>
        <v>0</v>
      </c>
      <c r="AM302">
        <f>Migrationsartikel!S300</f>
        <v>0</v>
      </c>
      <c r="AN302">
        <f>Migrationsartikel!U300</f>
        <v>0</v>
      </c>
      <c r="AO302" t="str">
        <f t="shared" si="13"/>
        <v>n/a</v>
      </c>
      <c r="AP302" t="str">
        <f t="shared" si="14"/>
        <v>n/a</v>
      </c>
      <c r="AQ302" s="31" t="s">
        <v>195</v>
      </c>
      <c r="AR302" s="47"/>
      <c r="AS302" s="47"/>
      <c r="AT302" s="31" t="s">
        <v>208</v>
      </c>
      <c r="AU302" s="47"/>
      <c r="AV302" s="47"/>
      <c r="AW302" t="b">
        <f>IF(Migrationsartikel!AB300="ja","true",FALSE)</f>
        <v>0</v>
      </c>
      <c r="AX302" t="b">
        <f>IF(Migrationsartikel!AC300="ja","true",FALSE)</f>
        <v>0</v>
      </c>
      <c r="AY302" t="b">
        <f>IF(Migrationsartikel!AD300="ja","true",FALSE)</f>
        <v>0</v>
      </c>
      <c r="AZ302" t="b">
        <f>IF(Migrationsartikel!AE300="ja","true",FALSE)</f>
        <v>0</v>
      </c>
      <c r="BA302" t="str">
        <f>IF(Migrationsartikel!AF300="ja","Denner Partner","")</f>
        <v/>
      </c>
      <c r="BB302" t="str">
        <f>IF(Migrationsartikel!AG300="ja","true","false")</f>
        <v>false</v>
      </c>
      <c r="BC302" t="s">
        <v>1923</v>
      </c>
      <c r="BD302" s="31" t="s">
        <v>235</v>
      </c>
      <c r="BE302" s="31" t="s">
        <v>233</v>
      </c>
    </row>
    <row r="303" spans="2:57" ht="21.75" customHeight="1" x14ac:dyDescent="0.45">
      <c r="B303" t="s">
        <v>115</v>
      </c>
      <c r="E303" s="31" t="s">
        <v>1729</v>
      </c>
      <c r="F303" t="str">
        <f>"Warengruppe&gt;&gt;"&amp;Migrationsartikel!V301&amp;"&gt;&gt;"&amp;Migrationsartikel!W301&amp;"&gt;&gt;"&amp;Migrationsartikel!X301</f>
        <v>Warengruppe&gt;&gt;&gt;&gt;&gt;&gt;</v>
      </c>
      <c r="J303" s="31" t="s">
        <v>125</v>
      </c>
      <c r="M303" s="31" t="s">
        <v>137</v>
      </c>
      <c r="P303" s="31">
        <f>Migrationsartikel!B301</f>
        <v>0</v>
      </c>
      <c r="R303" t="str">
        <f>Migrationsartikel!F301&amp;" "&amp;Migrationsartikel!G301&amp;" "&amp;Migrationsartikel!H301</f>
        <v xml:space="preserve">  </v>
      </c>
      <c r="S303" t="str">
        <f>Migrationsartikel!J301&amp;" "&amp;Migrationsartikel!K301&amp;" "&amp;Migrationsartikel!L301</f>
        <v xml:space="preserve">  </v>
      </c>
      <c r="T303" t="str">
        <f>Migrationsartikel!N301&amp;" "&amp;Migrationsartikel!O301&amp;" "&amp;Migrationsartikel!P301</f>
        <v xml:space="preserve">  </v>
      </c>
      <c r="U303">
        <f>Migrationsartikel!F301</f>
        <v>0</v>
      </c>
      <c r="V303">
        <f>Migrationsartikel!J301</f>
        <v>0</v>
      </c>
      <c r="W303">
        <f>Migrationsartikel!N301</f>
        <v>0</v>
      </c>
      <c r="X303">
        <f>Migrationsartikel!G301</f>
        <v>0</v>
      </c>
      <c r="Y303">
        <f>Migrationsartikel!K301</f>
        <v>0</v>
      </c>
      <c r="Z303">
        <f>Migrationsartikel!O301</f>
        <v>0</v>
      </c>
      <c r="AA303" s="31">
        <f>Migrationsartikel!H301</f>
        <v>0</v>
      </c>
      <c r="AB303" s="31">
        <f>Migrationsartikel!L301</f>
        <v>0</v>
      </c>
      <c r="AC303" s="31">
        <f>Migrationsartikel!P301</f>
        <v>0</v>
      </c>
      <c r="AD303">
        <f>Migrationsartikel!I301</f>
        <v>0</v>
      </c>
      <c r="AE303">
        <f>Migrationsartikel!M301</f>
        <v>0</v>
      </c>
      <c r="AF303">
        <f>Migrationsartikel!Q301</f>
        <v>0</v>
      </c>
      <c r="AG303" s="45">
        <f>Migrationsartikel!R301</f>
        <v>0</v>
      </c>
      <c r="AH303" s="46">
        <f>Migrationsartikel!T301</f>
        <v>0</v>
      </c>
      <c r="AI303" s="46" t="str">
        <f t="shared" si="12"/>
        <v>n/a</v>
      </c>
      <c r="AJ303" s="46" t="s">
        <v>176</v>
      </c>
      <c r="AK303">
        <f>Migrationsartikel!S301</f>
        <v>0</v>
      </c>
      <c r="AL303">
        <f>Migrationsartikel!S301</f>
        <v>0</v>
      </c>
      <c r="AM303">
        <f>Migrationsartikel!S301</f>
        <v>0</v>
      </c>
      <c r="AN303">
        <f>Migrationsartikel!U301</f>
        <v>0</v>
      </c>
      <c r="AO303" t="str">
        <f t="shared" si="13"/>
        <v>n/a</v>
      </c>
      <c r="AP303" t="str">
        <f t="shared" si="14"/>
        <v>n/a</v>
      </c>
      <c r="AQ303" s="31" t="s">
        <v>195</v>
      </c>
      <c r="AR303" s="47"/>
      <c r="AS303" s="47"/>
      <c r="AT303" s="31" t="s">
        <v>208</v>
      </c>
      <c r="AU303" s="47"/>
      <c r="AV303" s="47"/>
      <c r="AW303" t="b">
        <f>IF(Migrationsartikel!AB301="ja","true",FALSE)</f>
        <v>0</v>
      </c>
      <c r="AX303" t="b">
        <f>IF(Migrationsartikel!AC301="ja","true",FALSE)</f>
        <v>0</v>
      </c>
      <c r="AY303" t="b">
        <f>IF(Migrationsartikel!AD301="ja","true",FALSE)</f>
        <v>0</v>
      </c>
      <c r="AZ303" t="b">
        <f>IF(Migrationsartikel!AE301="ja","true",FALSE)</f>
        <v>0</v>
      </c>
      <c r="BA303" t="str">
        <f>IF(Migrationsartikel!AF301="ja","Denner Partner","")</f>
        <v/>
      </c>
      <c r="BB303" t="str">
        <f>IF(Migrationsartikel!AG301="ja","true","false")</f>
        <v>false</v>
      </c>
      <c r="BC303" t="s">
        <v>1923</v>
      </c>
      <c r="BD303" s="31" t="s">
        <v>235</v>
      </c>
      <c r="BE303" s="31" t="s">
        <v>233</v>
      </c>
    </row>
    <row r="304" spans="2:57" ht="21.75" customHeight="1" x14ac:dyDescent="0.45">
      <c r="B304" t="s">
        <v>115</v>
      </c>
      <c r="E304" s="31" t="s">
        <v>1730</v>
      </c>
      <c r="F304" t="str">
        <f>"Warengruppe&gt;&gt;"&amp;Migrationsartikel!V302&amp;"&gt;&gt;"&amp;Migrationsartikel!W302&amp;"&gt;&gt;"&amp;Migrationsartikel!X302</f>
        <v>Warengruppe&gt;&gt;&gt;&gt;&gt;&gt;</v>
      </c>
      <c r="J304" s="31" t="s">
        <v>125</v>
      </c>
      <c r="M304" s="31" t="s">
        <v>137</v>
      </c>
      <c r="P304" s="31">
        <f>Migrationsartikel!B302</f>
        <v>0</v>
      </c>
      <c r="R304" t="str">
        <f>Migrationsartikel!F302&amp;" "&amp;Migrationsartikel!G302&amp;" "&amp;Migrationsartikel!H302</f>
        <v xml:space="preserve">  </v>
      </c>
      <c r="S304" t="str">
        <f>Migrationsartikel!J302&amp;" "&amp;Migrationsartikel!K302&amp;" "&amp;Migrationsartikel!L302</f>
        <v xml:space="preserve">  </v>
      </c>
      <c r="T304" t="str">
        <f>Migrationsartikel!N302&amp;" "&amp;Migrationsartikel!O302&amp;" "&amp;Migrationsartikel!P302</f>
        <v xml:space="preserve">  </v>
      </c>
      <c r="U304">
        <f>Migrationsartikel!F302</f>
        <v>0</v>
      </c>
      <c r="V304">
        <f>Migrationsartikel!J302</f>
        <v>0</v>
      </c>
      <c r="W304">
        <f>Migrationsartikel!N302</f>
        <v>0</v>
      </c>
      <c r="X304">
        <f>Migrationsartikel!G302</f>
        <v>0</v>
      </c>
      <c r="Y304">
        <f>Migrationsartikel!K302</f>
        <v>0</v>
      </c>
      <c r="Z304">
        <f>Migrationsartikel!O302</f>
        <v>0</v>
      </c>
      <c r="AA304" s="31">
        <f>Migrationsartikel!H302</f>
        <v>0</v>
      </c>
      <c r="AB304" s="31">
        <f>Migrationsartikel!L302</f>
        <v>0</v>
      </c>
      <c r="AC304" s="31">
        <f>Migrationsartikel!P302</f>
        <v>0</v>
      </c>
      <c r="AD304">
        <f>Migrationsartikel!I302</f>
        <v>0</v>
      </c>
      <c r="AE304">
        <f>Migrationsartikel!M302</f>
        <v>0</v>
      </c>
      <c r="AF304">
        <f>Migrationsartikel!Q302</f>
        <v>0</v>
      </c>
      <c r="AG304" s="45">
        <f>Migrationsartikel!R302</f>
        <v>0</v>
      </c>
      <c r="AH304" s="46">
        <f>Migrationsartikel!T302</f>
        <v>0</v>
      </c>
      <c r="AI304" s="46" t="str">
        <f t="shared" si="12"/>
        <v>n/a</v>
      </c>
      <c r="AJ304" s="46" t="s">
        <v>176</v>
      </c>
      <c r="AK304">
        <f>Migrationsartikel!S302</f>
        <v>0</v>
      </c>
      <c r="AL304">
        <f>Migrationsartikel!S302</f>
        <v>0</v>
      </c>
      <c r="AM304">
        <f>Migrationsartikel!S302</f>
        <v>0</v>
      </c>
      <c r="AN304">
        <f>Migrationsartikel!U302</f>
        <v>0</v>
      </c>
      <c r="AO304" t="str">
        <f t="shared" si="13"/>
        <v>n/a</v>
      </c>
      <c r="AP304" t="str">
        <f t="shared" si="14"/>
        <v>n/a</v>
      </c>
      <c r="AQ304" s="31" t="s">
        <v>195</v>
      </c>
      <c r="AR304" s="47"/>
      <c r="AS304" s="47"/>
      <c r="AT304" s="31" t="s">
        <v>208</v>
      </c>
      <c r="AU304" s="47"/>
      <c r="AV304" s="47"/>
      <c r="AW304" t="b">
        <f>IF(Migrationsartikel!AB302="ja","true",FALSE)</f>
        <v>0</v>
      </c>
      <c r="AX304" t="b">
        <f>IF(Migrationsartikel!AC302="ja","true",FALSE)</f>
        <v>0</v>
      </c>
      <c r="AY304" t="b">
        <f>IF(Migrationsartikel!AD302="ja","true",FALSE)</f>
        <v>0</v>
      </c>
      <c r="AZ304" t="b">
        <f>IF(Migrationsartikel!AE302="ja","true",FALSE)</f>
        <v>0</v>
      </c>
      <c r="BA304" t="str">
        <f>IF(Migrationsartikel!AF302="ja","Denner Partner","")</f>
        <v/>
      </c>
      <c r="BB304" t="str">
        <f>IF(Migrationsartikel!AG302="ja","true","false")</f>
        <v>false</v>
      </c>
      <c r="BC304" t="s">
        <v>1923</v>
      </c>
      <c r="BD304" s="31" t="s">
        <v>235</v>
      </c>
      <c r="BE304" s="31" t="s">
        <v>233</v>
      </c>
    </row>
    <row r="305" spans="2:57" ht="21.75" customHeight="1" x14ac:dyDescent="0.45">
      <c r="B305" t="s">
        <v>115</v>
      </c>
      <c r="E305" s="31" t="s">
        <v>1731</v>
      </c>
      <c r="F305" t="str">
        <f>"Warengruppe&gt;&gt;"&amp;Migrationsartikel!V303&amp;"&gt;&gt;"&amp;Migrationsartikel!W303&amp;"&gt;&gt;"&amp;Migrationsartikel!X303</f>
        <v>Warengruppe&gt;&gt;&gt;&gt;&gt;&gt;</v>
      </c>
      <c r="J305" s="31" t="s">
        <v>125</v>
      </c>
      <c r="M305" s="31" t="s">
        <v>137</v>
      </c>
      <c r="P305" s="31">
        <f>Migrationsartikel!B303</f>
        <v>0</v>
      </c>
      <c r="R305" t="str">
        <f>Migrationsartikel!F303&amp;" "&amp;Migrationsartikel!G303&amp;" "&amp;Migrationsartikel!H303</f>
        <v xml:space="preserve">  </v>
      </c>
      <c r="S305" t="str">
        <f>Migrationsartikel!J303&amp;" "&amp;Migrationsartikel!K303&amp;" "&amp;Migrationsartikel!L303</f>
        <v xml:space="preserve">  </v>
      </c>
      <c r="T305" t="str">
        <f>Migrationsartikel!N303&amp;" "&amp;Migrationsartikel!O303&amp;" "&amp;Migrationsartikel!P303</f>
        <v xml:space="preserve">  </v>
      </c>
      <c r="U305">
        <f>Migrationsartikel!F303</f>
        <v>0</v>
      </c>
      <c r="V305">
        <f>Migrationsartikel!J303</f>
        <v>0</v>
      </c>
      <c r="W305">
        <f>Migrationsartikel!N303</f>
        <v>0</v>
      </c>
      <c r="X305">
        <f>Migrationsartikel!G303</f>
        <v>0</v>
      </c>
      <c r="Y305">
        <f>Migrationsartikel!K303</f>
        <v>0</v>
      </c>
      <c r="Z305">
        <f>Migrationsartikel!O303</f>
        <v>0</v>
      </c>
      <c r="AA305" s="31">
        <f>Migrationsartikel!H303</f>
        <v>0</v>
      </c>
      <c r="AB305" s="31">
        <f>Migrationsartikel!L303</f>
        <v>0</v>
      </c>
      <c r="AC305" s="31">
        <f>Migrationsartikel!P303</f>
        <v>0</v>
      </c>
      <c r="AD305">
        <f>Migrationsartikel!I303</f>
        <v>0</v>
      </c>
      <c r="AE305">
        <f>Migrationsartikel!M303</f>
        <v>0</v>
      </c>
      <c r="AF305">
        <f>Migrationsartikel!Q303</f>
        <v>0</v>
      </c>
      <c r="AG305" s="45">
        <f>Migrationsartikel!R303</f>
        <v>0</v>
      </c>
      <c r="AH305" s="46">
        <f>Migrationsartikel!T303</f>
        <v>0</v>
      </c>
      <c r="AI305" s="46" t="str">
        <f t="shared" si="12"/>
        <v>n/a</v>
      </c>
      <c r="AJ305" s="46" t="s">
        <v>176</v>
      </c>
      <c r="AK305">
        <f>Migrationsartikel!S303</f>
        <v>0</v>
      </c>
      <c r="AL305">
        <f>Migrationsartikel!S303</f>
        <v>0</v>
      </c>
      <c r="AM305">
        <f>Migrationsartikel!S303</f>
        <v>0</v>
      </c>
      <c r="AN305">
        <f>Migrationsartikel!U303</f>
        <v>0</v>
      </c>
      <c r="AO305" t="str">
        <f t="shared" si="13"/>
        <v>n/a</v>
      </c>
      <c r="AP305" t="str">
        <f t="shared" si="14"/>
        <v>n/a</v>
      </c>
      <c r="AQ305" s="31" t="s">
        <v>195</v>
      </c>
      <c r="AR305" s="47"/>
      <c r="AS305" s="47"/>
      <c r="AT305" s="31" t="s">
        <v>208</v>
      </c>
      <c r="AU305" s="47"/>
      <c r="AV305" s="47"/>
      <c r="AW305" t="b">
        <f>IF(Migrationsartikel!AB303="ja","true",FALSE)</f>
        <v>0</v>
      </c>
      <c r="AX305" t="b">
        <f>IF(Migrationsartikel!AC303="ja","true",FALSE)</f>
        <v>0</v>
      </c>
      <c r="AY305" t="b">
        <f>IF(Migrationsartikel!AD303="ja","true",FALSE)</f>
        <v>0</v>
      </c>
      <c r="AZ305" t="b">
        <f>IF(Migrationsartikel!AE303="ja","true",FALSE)</f>
        <v>0</v>
      </c>
      <c r="BA305" t="str">
        <f>IF(Migrationsartikel!AF303="ja","Denner Partner","")</f>
        <v/>
      </c>
      <c r="BB305" t="str">
        <f>IF(Migrationsartikel!AG303="ja","true","false")</f>
        <v>false</v>
      </c>
      <c r="BC305" t="s">
        <v>1923</v>
      </c>
      <c r="BD305" s="31" t="s">
        <v>235</v>
      </c>
      <c r="BE305" s="31" t="s">
        <v>233</v>
      </c>
    </row>
    <row r="306" spans="2:57" ht="21.75" customHeight="1" x14ac:dyDescent="0.45">
      <c r="B306" t="s">
        <v>115</v>
      </c>
      <c r="E306" s="31" t="s">
        <v>1732</v>
      </c>
      <c r="F306" t="str">
        <f>"Warengruppe&gt;&gt;"&amp;Migrationsartikel!V304&amp;"&gt;&gt;"&amp;Migrationsartikel!W304&amp;"&gt;&gt;"&amp;Migrationsartikel!X304</f>
        <v>Warengruppe&gt;&gt;&gt;&gt;&gt;&gt;</v>
      </c>
      <c r="J306" s="31" t="s">
        <v>125</v>
      </c>
      <c r="M306" s="31" t="s">
        <v>137</v>
      </c>
      <c r="P306" s="31">
        <f>Migrationsartikel!B304</f>
        <v>0</v>
      </c>
      <c r="R306" t="str">
        <f>Migrationsartikel!F304&amp;" "&amp;Migrationsartikel!G304&amp;" "&amp;Migrationsartikel!H304</f>
        <v xml:space="preserve">  </v>
      </c>
      <c r="S306" t="str">
        <f>Migrationsartikel!J304&amp;" "&amp;Migrationsartikel!K304&amp;" "&amp;Migrationsartikel!L304</f>
        <v xml:space="preserve">  </v>
      </c>
      <c r="T306" t="str">
        <f>Migrationsartikel!N304&amp;" "&amp;Migrationsartikel!O304&amp;" "&amp;Migrationsartikel!P304</f>
        <v xml:space="preserve">  </v>
      </c>
      <c r="U306">
        <f>Migrationsartikel!F304</f>
        <v>0</v>
      </c>
      <c r="V306">
        <f>Migrationsartikel!J304</f>
        <v>0</v>
      </c>
      <c r="W306">
        <f>Migrationsartikel!N304</f>
        <v>0</v>
      </c>
      <c r="X306">
        <f>Migrationsartikel!G304</f>
        <v>0</v>
      </c>
      <c r="Y306">
        <f>Migrationsartikel!K304</f>
        <v>0</v>
      </c>
      <c r="Z306">
        <f>Migrationsartikel!O304</f>
        <v>0</v>
      </c>
      <c r="AA306" s="31">
        <f>Migrationsartikel!H304</f>
        <v>0</v>
      </c>
      <c r="AB306" s="31">
        <f>Migrationsartikel!L304</f>
        <v>0</v>
      </c>
      <c r="AC306" s="31">
        <f>Migrationsartikel!P304</f>
        <v>0</v>
      </c>
      <c r="AD306">
        <f>Migrationsartikel!I304</f>
        <v>0</v>
      </c>
      <c r="AE306">
        <f>Migrationsartikel!M304</f>
        <v>0</v>
      </c>
      <c r="AF306">
        <f>Migrationsartikel!Q304</f>
        <v>0</v>
      </c>
      <c r="AG306" s="45">
        <f>Migrationsartikel!R304</f>
        <v>0</v>
      </c>
      <c r="AH306" s="46">
        <f>Migrationsartikel!T304</f>
        <v>0</v>
      </c>
      <c r="AI306" s="46" t="str">
        <f t="shared" si="12"/>
        <v>n/a</v>
      </c>
      <c r="AJ306" s="46" t="s">
        <v>176</v>
      </c>
      <c r="AK306">
        <f>Migrationsartikel!S304</f>
        <v>0</v>
      </c>
      <c r="AL306">
        <f>Migrationsartikel!S304</f>
        <v>0</v>
      </c>
      <c r="AM306">
        <f>Migrationsartikel!S304</f>
        <v>0</v>
      </c>
      <c r="AN306">
        <f>Migrationsartikel!U304</f>
        <v>0</v>
      </c>
      <c r="AO306" t="str">
        <f t="shared" si="13"/>
        <v>n/a</v>
      </c>
      <c r="AP306" t="str">
        <f t="shared" si="14"/>
        <v>n/a</v>
      </c>
      <c r="AQ306" s="31" t="s">
        <v>195</v>
      </c>
      <c r="AR306" s="47"/>
      <c r="AS306" s="47"/>
      <c r="AT306" s="31" t="s">
        <v>208</v>
      </c>
      <c r="AU306" s="47"/>
      <c r="AV306" s="47"/>
      <c r="AW306" t="b">
        <f>IF(Migrationsartikel!AB304="ja","true",FALSE)</f>
        <v>0</v>
      </c>
      <c r="AX306" t="b">
        <f>IF(Migrationsartikel!AC304="ja","true",FALSE)</f>
        <v>0</v>
      </c>
      <c r="AY306" t="b">
        <f>IF(Migrationsartikel!AD304="ja","true",FALSE)</f>
        <v>0</v>
      </c>
      <c r="AZ306" t="b">
        <f>IF(Migrationsartikel!AE304="ja","true",FALSE)</f>
        <v>0</v>
      </c>
      <c r="BA306" t="str">
        <f>IF(Migrationsartikel!AF304="ja","Denner Partner","")</f>
        <v/>
      </c>
      <c r="BB306" t="str">
        <f>IF(Migrationsartikel!AG304="ja","true","false")</f>
        <v>false</v>
      </c>
      <c r="BC306" t="s">
        <v>1923</v>
      </c>
      <c r="BD306" s="31" t="s">
        <v>235</v>
      </c>
      <c r="BE306" s="31" t="s">
        <v>233</v>
      </c>
    </row>
    <row r="307" spans="2:57" ht="21.75" customHeight="1" x14ac:dyDescent="0.45">
      <c r="B307" t="s">
        <v>115</v>
      </c>
      <c r="E307" s="31" t="s">
        <v>1733</v>
      </c>
      <c r="F307" t="str">
        <f>"Warengruppe&gt;&gt;"&amp;Migrationsartikel!V305&amp;"&gt;&gt;"&amp;Migrationsartikel!W305&amp;"&gt;&gt;"&amp;Migrationsartikel!X305</f>
        <v>Warengruppe&gt;&gt;&gt;&gt;&gt;&gt;</v>
      </c>
      <c r="J307" s="31" t="s">
        <v>125</v>
      </c>
      <c r="M307" s="31" t="s">
        <v>137</v>
      </c>
      <c r="P307" s="31">
        <f>Migrationsartikel!B305</f>
        <v>0</v>
      </c>
      <c r="R307" t="str">
        <f>Migrationsartikel!F305&amp;" "&amp;Migrationsartikel!G305&amp;" "&amp;Migrationsartikel!H305</f>
        <v xml:space="preserve">  </v>
      </c>
      <c r="S307" t="str">
        <f>Migrationsartikel!J305&amp;" "&amp;Migrationsartikel!K305&amp;" "&amp;Migrationsartikel!L305</f>
        <v xml:space="preserve">  </v>
      </c>
      <c r="T307" t="str">
        <f>Migrationsartikel!N305&amp;" "&amp;Migrationsartikel!O305&amp;" "&amp;Migrationsartikel!P305</f>
        <v xml:space="preserve">  </v>
      </c>
      <c r="U307">
        <f>Migrationsartikel!F305</f>
        <v>0</v>
      </c>
      <c r="V307">
        <f>Migrationsartikel!J305</f>
        <v>0</v>
      </c>
      <c r="W307">
        <f>Migrationsartikel!N305</f>
        <v>0</v>
      </c>
      <c r="X307">
        <f>Migrationsartikel!G305</f>
        <v>0</v>
      </c>
      <c r="Y307">
        <f>Migrationsartikel!K305</f>
        <v>0</v>
      </c>
      <c r="Z307">
        <f>Migrationsartikel!O305</f>
        <v>0</v>
      </c>
      <c r="AA307" s="31">
        <f>Migrationsartikel!H305</f>
        <v>0</v>
      </c>
      <c r="AB307" s="31">
        <f>Migrationsartikel!L305</f>
        <v>0</v>
      </c>
      <c r="AC307" s="31">
        <f>Migrationsartikel!P305</f>
        <v>0</v>
      </c>
      <c r="AD307">
        <f>Migrationsartikel!I305</f>
        <v>0</v>
      </c>
      <c r="AE307">
        <f>Migrationsartikel!M305</f>
        <v>0</v>
      </c>
      <c r="AF307">
        <f>Migrationsartikel!Q305</f>
        <v>0</v>
      </c>
      <c r="AG307" s="45">
        <f>Migrationsartikel!R305</f>
        <v>0</v>
      </c>
      <c r="AH307" s="46">
        <f>Migrationsartikel!T305</f>
        <v>0</v>
      </c>
      <c r="AI307" s="46" t="str">
        <f t="shared" si="12"/>
        <v>n/a</v>
      </c>
      <c r="AJ307" s="46" t="s">
        <v>176</v>
      </c>
      <c r="AK307">
        <f>Migrationsartikel!S305</f>
        <v>0</v>
      </c>
      <c r="AL307">
        <f>Migrationsartikel!S305</f>
        <v>0</v>
      </c>
      <c r="AM307">
        <f>Migrationsartikel!S305</f>
        <v>0</v>
      </c>
      <c r="AN307">
        <f>Migrationsartikel!U305</f>
        <v>0</v>
      </c>
      <c r="AO307" t="str">
        <f t="shared" si="13"/>
        <v>n/a</v>
      </c>
      <c r="AP307" t="str">
        <f t="shared" si="14"/>
        <v>n/a</v>
      </c>
      <c r="AQ307" s="31" t="s">
        <v>195</v>
      </c>
      <c r="AR307" s="47"/>
      <c r="AS307" s="47"/>
      <c r="AT307" s="31" t="s">
        <v>208</v>
      </c>
      <c r="AU307" s="47"/>
      <c r="AV307" s="47"/>
      <c r="AW307" t="b">
        <f>IF(Migrationsartikel!AB305="ja","true",FALSE)</f>
        <v>0</v>
      </c>
      <c r="AX307" t="b">
        <f>IF(Migrationsartikel!AC305="ja","true",FALSE)</f>
        <v>0</v>
      </c>
      <c r="AY307" t="b">
        <f>IF(Migrationsartikel!AD305="ja","true",FALSE)</f>
        <v>0</v>
      </c>
      <c r="AZ307" t="b">
        <f>IF(Migrationsartikel!AE305="ja","true",FALSE)</f>
        <v>0</v>
      </c>
      <c r="BA307" t="str">
        <f>IF(Migrationsartikel!AF305="ja","Denner Partner","")</f>
        <v/>
      </c>
      <c r="BB307" t="str">
        <f>IF(Migrationsartikel!AG305="ja","true","false")</f>
        <v>false</v>
      </c>
      <c r="BC307" t="s">
        <v>1923</v>
      </c>
      <c r="BD307" s="31" t="s">
        <v>235</v>
      </c>
      <c r="BE307" s="31" t="s">
        <v>233</v>
      </c>
    </row>
    <row r="308" spans="2:57" ht="21.75" customHeight="1" x14ac:dyDescent="0.45">
      <c r="B308" t="s">
        <v>115</v>
      </c>
      <c r="E308" s="31" t="s">
        <v>1734</v>
      </c>
      <c r="F308" t="str">
        <f>"Warengruppe&gt;&gt;"&amp;Migrationsartikel!V306&amp;"&gt;&gt;"&amp;Migrationsartikel!W306&amp;"&gt;&gt;"&amp;Migrationsartikel!X306</f>
        <v>Warengruppe&gt;&gt;&gt;&gt;&gt;&gt;</v>
      </c>
      <c r="J308" s="31" t="s">
        <v>125</v>
      </c>
      <c r="M308" s="31" t="s">
        <v>137</v>
      </c>
      <c r="P308" s="31">
        <f>Migrationsartikel!B306</f>
        <v>0</v>
      </c>
      <c r="R308" t="str">
        <f>Migrationsartikel!F306&amp;" "&amp;Migrationsartikel!G306&amp;" "&amp;Migrationsartikel!H306</f>
        <v xml:space="preserve">  </v>
      </c>
      <c r="S308" t="str">
        <f>Migrationsartikel!J306&amp;" "&amp;Migrationsartikel!K306&amp;" "&amp;Migrationsartikel!L306</f>
        <v xml:space="preserve">  </v>
      </c>
      <c r="T308" t="str">
        <f>Migrationsartikel!N306&amp;" "&amp;Migrationsartikel!O306&amp;" "&amp;Migrationsartikel!P306</f>
        <v xml:space="preserve">  </v>
      </c>
      <c r="U308">
        <f>Migrationsartikel!F306</f>
        <v>0</v>
      </c>
      <c r="V308">
        <f>Migrationsartikel!J306</f>
        <v>0</v>
      </c>
      <c r="W308">
        <f>Migrationsartikel!N306</f>
        <v>0</v>
      </c>
      <c r="X308">
        <f>Migrationsartikel!G306</f>
        <v>0</v>
      </c>
      <c r="Y308">
        <f>Migrationsartikel!K306</f>
        <v>0</v>
      </c>
      <c r="Z308">
        <f>Migrationsartikel!O306</f>
        <v>0</v>
      </c>
      <c r="AA308" s="31">
        <f>Migrationsartikel!H306</f>
        <v>0</v>
      </c>
      <c r="AB308" s="31">
        <f>Migrationsartikel!L306</f>
        <v>0</v>
      </c>
      <c r="AC308" s="31">
        <f>Migrationsartikel!P306</f>
        <v>0</v>
      </c>
      <c r="AD308">
        <f>Migrationsartikel!I306</f>
        <v>0</v>
      </c>
      <c r="AE308">
        <f>Migrationsartikel!M306</f>
        <v>0</v>
      </c>
      <c r="AF308">
        <f>Migrationsartikel!Q306</f>
        <v>0</v>
      </c>
      <c r="AG308" s="45">
        <f>Migrationsartikel!R306</f>
        <v>0</v>
      </c>
      <c r="AH308" s="46">
        <f>Migrationsartikel!T306</f>
        <v>0</v>
      </c>
      <c r="AI308" s="46" t="str">
        <f t="shared" si="12"/>
        <v>n/a</v>
      </c>
      <c r="AJ308" s="46" t="s">
        <v>176</v>
      </c>
      <c r="AK308">
        <f>Migrationsartikel!S306</f>
        <v>0</v>
      </c>
      <c r="AL308">
        <f>Migrationsartikel!S306</f>
        <v>0</v>
      </c>
      <c r="AM308">
        <f>Migrationsartikel!S306</f>
        <v>0</v>
      </c>
      <c r="AN308">
        <f>Migrationsartikel!U306</f>
        <v>0</v>
      </c>
      <c r="AO308" t="str">
        <f t="shared" si="13"/>
        <v>n/a</v>
      </c>
      <c r="AP308" t="str">
        <f t="shared" si="14"/>
        <v>n/a</v>
      </c>
      <c r="AQ308" s="31" t="s">
        <v>195</v>
      </c>
      <c r="AR308" s="47"/>
      <c r="AS308" s="47"/>
      <c r="AT308" s="31" t="s">
        <v>208</v>
      </c>
      <c r="AU308" s="47"/>
      <c r="AV308" s="47"/>
      <c r="AW308" t="b">
        <f>IF(Migrationsartikel!AB306="ja","true",FALSE)</f>
        <v>0</v>
      </c>
      <c r="AX308" t="b">
        <f>IF(Migrationsartikel!AC306="ja","true",FALSE)</f>
        <v>0</v>
      </c>
      <c r="AY308" t="b">
        <f>IF(Migrationsartikel!AD306="ja","true",FALSE)</f>
        <v>0</v>
      </c>
      <c r="AZ308" t="b">
        <f>IF(Migrationsartikel!AE306="ja","true",FALSE)</f>
        <v>0</v>
      </c>
      <c r="BA308" t="str">
        <f>IF(Migrationsartikel!AF306="ja","Denner Partner","")</f>
        <v/>
      </c>
      <c r="BB308" t="str">
        <f>IF(Migrationsartikel!AG306="ja","true","false")</f>
        <v>false</v>
      </c>
      <c r="BC308" t="s">
        <v>1923</v>
      </c>
      <c r="BD308" s="31" t="s">
        <v>235</v>
      </c>
      <c r="BE308" s="31" t="s">
        <v>233</v>
      </c>
    </row>
    <row r="309" spans="2:57" ht="21.75" customHeight="1" x14ac:dyDescent="0.45">
      <c r="B309" t="s">
        <v>115</v>
      </c>
      <c r="E309" s="31" t="s">
        <v>1735</v>
      </c>
      <c r="F309" t="str">
        <f>"Warengruppe&gt;&gt;"&amp;Migrationsartikel!V307&amp;"&gt;&gt;"&amp;Migrationsartikel!W307&amp;"&gt;&gt;"&amp;Migrationsartikel!X307</f>
        <v>Warengruppe&gt;&gt;&gt;&gt;&gt;&gt;</v>
      </c>
      <c r="J309" s="31" t="s">
        <v>125</v>
      </c>
      <c r="M309" s="31" t="s">
        <v>137</v>
      </c>
      <c r="P309" s="31">
        <f>Migrationsartikel!B307</f>
        <v>0</v>
      </c>
      <c r="R309" t="str">
        <f>Migrationsartikel!F307&amp;" "&amp;Migrationsartikel!G307&amp;" "&amp;Migrationsartikel!H307</f>
        <v xml:space="preserve">  </v>
      </c>
      <c r="S309" t="str">
        <f>Migrationsartikel!J307&amp;" "&amp;Migrationsartikel!K307&amp;" "&amp;Migrationsartikel!L307</f>
        <v xml:space="preserve">  </v>
      </c>
      <c r="T309" t="str">
        <f>Migrationsartikel!N307&amp;" "&amp;Migrationsartikel!O307&amp;" "&amp;Migrationsartikel!P307</f>
        <v xml:space="preserve">  </v>
      </c>
      <c r="U309">
        <f>Migrationsartikel!F307</f>
        <v>0</v>
      </c>
      <c r="V309">
        <f>Migrationsartikel!J307</f>
        <v>0</v>
      </c>
      <c r="W309">
        <f>Migrationsartikel!N307</f>
        <v>0</v>
      </c>
      <c r="X309">
        <f>Migrationsartikel!G307</f>
        <v>0</v>
      </c>
      <c r="Y309">
        <f>Migrationsartikel!K307</f>
        <v>0</v>
      </c>
      <c r="Z309">
        <f>Migrationsartikel!O307</f>
        <v>0</v>
      </c>
      <c r="AA309" s="31">
        <f>Migrationsartikel!H307</f>
        <v>0</v>
      </c>
      <c r="AB309" s="31">
        <f>Migrationsartikel!L307</f>
        <v>0</v>
      </c>
      <c r="AC309" s="31">
        <f>Migrationsartikel!P307</f>
        <v>0</v>
      </c>
      <c r="AD309">
        <f>Migrationsartikel!I307</f>
        <v>0</v>
      </c>
      <c r="AE309">
        <f>Migrationsartikel!M307</f>
        <v>0</v>
      </c>
      <c r="AF309">
        <f>Migrationsartikel!Q307</f>
        <v>0</v>
      </c>
      <c r="AG309" s="45">
        <f>Migrationsartikel!R307</f>
        <v>0</v>
      </c>
      <c r="AH309" s="46">
        <f>Migrationsartikel!T307</f>
        <v>0</v>
      </c>
      <c r="AI309" s="46" t="str">
        <f t="shared" si="12"/>
        <v>n/a</v>
      </c>
      <c r="AJ309" s="46" t="s">
        <v>176</v>
      </c>
      <c r="AK309">
        <f>Migrationsartikel!S307</f>
        <v>0</v>
      </c>
      <c r="AL309">
        <f>Migrationsartikel!S307</f>
        <v>0</v>
      </c>
      <c r="AM309">
        <f>Migrationsartikel!S307</f>
        <v>0</v>
      </c>
      <c r="AN309">
        <f>Migrationsartikel!U307</f>
        <v>0</v>
      </c>
      <c r="AO309" t="str">
        <f t="shared" si="13"/>
        <v>n/a</v>
      </c>
      <c r="AP309" t="str">
        <f t="shared" si="14"/>
        <v>n/a</v>
      </c>
      <c r="AQ309" s="31" t="s">
        <v>195</v>
      </c>
      <c r="AR309" s="47"/>
      <c r="AS309" s="47"/>
      <c r="AT309" s="31" t="s">
        <v>208</v>
      </c>
      <c r="AU309" s="47"/>
      <c r="AV309" s="47"/>
      <c r="AW309" t="b">
        <f>IF(Migrationsartikel!AB307="ja","true",FALSE)</f>
        <v>0</v>
      </c>
      <c r="AX309" t="b">
        <f>IF(Migrationsartikel!AC307="ja","true",FALSE)</f>
        <v>0</v>
      </c>
      <c r="AY309" t="b">
        <f>IF(Migrationsartikel!AD307="ja","true",FALSE)</f>
        <v>0</v>
      </c>
      <c r="AZ309" t="b">
        <f>IF(Migrationsartikel!AE307="ja","true",FALSE)</f>
        <v>0</v>
      </c>
      <c r="BA309" t="str">
        <f>IF(Migrationsartikel!AF307="ja","Denner Partner","")</f>
        <v/>
      </c>
      <c r="BB309" t="str">
        <f>IF(Migrationsartikel!AG307="ja","true","false")</f>
        <v>false</v>
      </c>
      <c r="BC309" t="s">
        <v>1923</v>
      </c>
      <c r="BD309" s="31" t="s">
        <v>235</v>
      </c>
      <c r="BE309" s="31" t="s">
        <v>233</v>
      </c>
    </row>
    <row r="310" spans="2:57" ht="21.75" customHeight="1" x14ac:dyDescent="0.45">
      <c r="B310" t="s">
        <v>115</v>
      </c>
      <c r="E310" s="31" t="s">
        <v>1736</v>
      </c>
      <c r="F310" t="str">
        <f>"Warengruppe&gt;&gt;"&amp;Migrationsartikel!V308&amp;"&gt;&gt;"&amp;Migrationsartikel!W308&amp;"&gt;&gt;"&amp;Migrationsartikel!X308</f>
        <v>Warengruppe&gt;&gt;&gt;&gt;&gt;&gt;</v>
      </c>
      <c r="J310" s="31" t="s">
        <v>125</v>
      </c>
      <c r="M310" s="31" t="s">
        <v>137</v>
      </c>
      <c r="P310" s="31">
        <f>Migrationsartikel!B308</f>
        <v>0</v>
      </c>
      <c r="R310" t="str">
        <f>Migrationsartikel!F308&amp;" "&amp;Migrationsartikel!G308&amp;" "&amp;Migrationsartikel!H308</f>
        <v xml:space="preserve">  </v>
      </c>
      <c r="S310" t="str">
        <f>Migrationsartikel!J308&amp;" "&amp;Migrationsartikel!K308&amp;" "&amp;Migrationsartikel!L308</f>
        <v xml:space="preserve">  </v>
      </c>
      <c r="T310" t="str">
        <f>Migrationsartikel!N308&amp;" "&amp;Migrationsartikel!O308&amp;" "&amp;Migrationsartikel!P308</f>
        <v xml:space="preserve">  </v>
      </c>
      <c r="U310">
        <f>Migrationsartikel!F308</f>
        <v>0</v>
      </c>
      <c r="V310">
        <f>Migrationsartikel!J308</f>
        <v>0</v>
      </c>
      <c r="W310">
        <f>Migrationsartikel!N308</f>
        <v>0</v>
      </c>
      <c r="X310">
        <f>Migrationsartikel!G308</f>
        <v>0</v>
      </c>
      <c r="Y310">
        <f>Migrationsartikel!K308</f>
        <v>0</v>
      </c>
      <c r="Z310">
        <f>Migrationsartikel!O308</f>
        <v>0</v>
      </c>
      <c r="AA310" s="31">
        <f>Migrationsartikel!H308</f>
        <v>0</v>
      </c>
      <c r="AB310" s="31">
        <f>Migrationsartikel!L308</f>
        <v>0</v>
      </c>
      <c r="AC310" s="31">
        <f>Migrationsartikel!P308</f>
        <v>0</v>
      </c>
      <c r="AD310">
        <f>Migrationsartikel!I308</f>
        <v>0</v>
      </c>
      <c r="AE310">
        <f>Migrationsartikel!M308</f>
        <v>0</v>
      </c>
      <c r="AF310">
        <f>Migrationsartikel!Q308</f>
        <v>0</v>
      </c>
      <c r="AG310" s="45">
        <f>Migrationsartikel!R308</f>
        <v>0</v>
      </c>
      <c r="AH310" s="46">
        <f>Migrationsartikel!T308</f>
        <v>0</v>
      </c>
      <c r="AI310" s="46" t="str">
        <f t="shared" si="12"/>
        <v>n/a</v>
      </c>
      <c r="AJ310" s="46" t="s">
        <v>176</v>
      </c>
      <c r="AK310">
        <f>Migrationsartikel!S308</f>
        <v>0</v>
      </c>
      <c r="AL310">
        <f>Migrationsartikel!S308</f>
        <v>0</v>
      </c>
      <c r="AM310">
        <f>Migrationsartikel!S308</f>
        <v>0</v>
      </c>
      <c r="AN310">
        <f>Migrationsartikel!U308</f>
        <v>0</v>
      </c>
      <c r="AO310" t="str">
        <f t="shared" si="13"/>
        <v>n/a</v>
      </c>
      <c r="AP310" t="str">
        <f t="shared" si="14"/>
        <v>n/a</v>
      </c>
      <c r="AQ310" s="31" t="s">
        <v>195</v>
      </c>
      <c r="AR310" s="47"/>
      <c r="AS310" s="47"/>
      <c r="AT310" s="31" t="s">
        <v>208</v>
      </c>
      <c r="AU310" s="47"/>
      <c r="AV310" s="47"/>
      <c r="AW310" t="b">
        <f>IF(Migrationsartikel!AB308="ja","true",FALSE)</f>
        <v>0</v>
      </c>
      <c r="AX310" t="b">
        <f>IF(Migrationsartikel!AC308="ja","true",FALSE)</f>
        <v>0</v>
      </c>
      <c r="AY310" t="b">
        <f>IF(Migrationsartikel!AD308="ja","true",FALSE)</f>
        <v>0</v>
      </c>
      <c r="AZ310" t="b">
        <f>IF(Migrationsartikel!AE308="ja","true",FALSE)</f>
        <v>0</v>
      </c>
      <c r="BA310" t="str">
        <f>IF(Migrationsartikel!AF308="ja","Denner Partner","")</f>
        <v/>
      </c>
      <c r="BB310" t="str">
        <f>IF(Migrationsartikel!AG308="ja","true","false")</f>
        <v>false</v>
      </c>
      <c r="BC310" t="s">
        <v>1923</v>
      </c>
      <c r="BD310" s="31" t="s">
        <v>235</v>
      </c>
      <c r="BE310" s="31" t="s">
        <v>233</v>
      </c>
    </row>
    <row r="311" spans="2:57" ht="21.75" customHeight="1" x14ac:dyDescent="0.45">
      <c r="B311" t="s">
        <v>115</v>
      </c>
      <c r="E311" s="31" t="s">
        <v>1737</v>
      </c>
      <c r="F311" t="str">
        <f>"Warengruppe&gt;&gt;"&amp;Migrationsartikel!V309&amp;"&gt;&gt;"&amp;Migrationsartikel!W309&amp;"&gt;&gt;"&amp;Migrationsartikel!X309</f>
        <v>Warengruppe&gt;&gt;&gt;&gt;&gt;&gt;</v>
      </c>
      <c r="J311" s="31" t="s">
        <v>125</v>
      </c>
      <c r="M311" s="31" t="s">
        <v>137</v>
      </c>
      <c r="P311" s="31">
        <f>Migrationsartikel!B309</f>
        <v>0</v>
      </c>
      <c r="R311" t="str">
        <f>Migrationsartikel!F309&amp;" "&amp;Migrationsartikel!G309&amp;" "&amp;Migrationsartikel!H309</f>
        <v xml:space="preserve">  </v>
      </c>
      <c r="S311" t="str">
        <f>Migrationsartikel!J309&amp;" "&amp;Migrationsartikel!K309&amp;" "&amp;Migrationsartikel!L309</f>
        <v xml:space="preserve">  </v>
      </c>
      <c r="T311" t="str">
        <f>Migrationsartikel!N309&amp;" "&amp;Migrationsartikel!O309&amp;" "&amp;Migrationsartikel!P309</f>
        <v xml:space="preserve">  </v>
      </c>
      <c r="U311">
        <f>Migrationsartikel!F309</f>
        <v>0</v>
      </c>
      <c r="V311">
        <f>Migrationsartikel!J309</f>
        <v>0</v>
      </c>
      <c r="W311">
        <f>Migrationsartikel!N309</f>
        <v>0</v>
      </c>
      <c r="X311">
        <f>Migrationsartikel!G309</f>
        <v>0</v>
      </c>
      <c r="Y311">
        <f>Migrationsartikel!K309</f>
        <v>0</v>
      </c>
      <c r="Z311">
        <f>Migrationsartikel!O309</f>
        <v>0</v>
      </c>
      <c r="AA311" s="31">
        <f>Migrationsartikel!H309</f>
        <v>0</v>
      </c>
      <c r="AB311" s="31">
        <f>Migrationsartikel!L309</f>
        <v>0</v>
      </c>
      <c r="AC311" s="31">
        <f>Migrationsartikel!P309</f>
        <v>0</v>
      </c>
      <c r="AD311">
        <f>Migrationsartikel!I309</f>
        <v>0</v>
      </c>
      <c r="AE311">
        <f>Migrationsartikel!M309</f>
        <v>0</v>
      </c>
      <c r="AF311">
        <f>Migrationsartikel!Q309</f>
        <v>0</v>
      </c>
      <c r="AG311" s="45">
        <f>Migrationsartikel!R309</f>
        <v>0</v>
      </c>
      <c r="AH311" s="46">
        <f>Migrationsartikel!T309</f>
        <v>0</v>
      </c>
      <c r="AI311" s="46" t="str">
        <f t="shared" si="12"/>
        <v>n/a</v>
      </c>
      <c r="AJ311" s="46" t="s">
        <v>176</v>
      </c>
      <c r="AK311">
        <f>Migrationsartikel!S309</f>
        <v>0</v>
      </c>
      <c r="AL311">
        <f>Migrationsartikel!S309</f>
        <v>0</v>
      </c>
      <c r="AM311">
        <f>Migrationsartikel!S309</f>
        <v>0</v>
      </c>
      <c r="AN311">
        <f>Migrationsartikel!U309</f>
        <v>0</v>
      </c>
      <c r="AO311" t="str">
        <f t="shared" si="13"/>
        <v>n/a</v>
      </c>
      <c r="AP311" t="str">
        <f t="shared" si="14"/>
        <v>n/a</v>
      </c>
      <c r="AQ311" s="31" t="s">
        <v>195</v>
      </c>
      <c r="AR311" s="47"/>
      <c r="AS311" s="47"/>
      <c r="AT311" s="31" t="s">
        <v>208</v>
      </c>
      <c r="AU311" s="47"/>
      <c r="AV311" s="47"/>
      <c r="AW311" t="b">
        <f>IF(Migrationsartikel!AB309="ja","true",FALSE)</f>
        <v>0</v>
      </c>
      <c r="AX311" t="b">
        <f>IF(Migrationsartikel!AC309="ja","true",FALSE)</f>
        <v>0</v>
      </c>
      <c r="AY311" t="b">
        <f>IF(Migrationsartikel!AD309="ja","true",FALSE)</f>
        <v>0</v>
      </c>
      <c r="AZ311" t="b">
        <f>IF(Migrationsartikel!AE309="ja","true",FALSE)</f>
        <v>0</v>
      </c>
      <c r="BA311" t="str">
        <f>IF(Migrationsartikel!AF309="ja","Denner Partner","")</f>
        <v/>
      </c>
      <c r="BB311" t="str">
        <f>IF(Migrationsartikel!AG309="ja","true","false")</f>
        <v>false</v>
      </c>
      <c r="BC311" t="s">
        <v>1923</v>
      </c>
      <c r="BD311" s="31" t="s">
        <v>235</v>
      </c>
      <c r="BE311" s="31" t="s">
        <v>233</v>
      </c>
    </row>
    <row r="312" spans="2:57" ht="21.75" customHeight="1" x14ac:dyDescent="0.45">
      <c r="B312" t="s">
        <v>115</v>
      </c>
      <c r="E312" s="31" t="s">
        <v>1738</v>
      </c>
      <c r="F312" t="str">
        <f>"Warengruppe&gt;&gt;"&amp;Migrationsartikel!V310&amp;"&gt;&gt;"&amp;Migrationsartikel!W310&amp;"&gt;&gt;"&amp;Migrationsartikel!X310</f>
        <v>Warengruppe&gt;&gt;&gt;&gt;&gt;&gt;</v>
      </c>
      <c r="J312" s="31" t="s">
        <v>125</v>
      </c>
      <c r="M312" s="31" t="s">
        <v>137</v>
      </c>
      <c r="P312" s="31">
        <f>Migrationsartikel!B310</f>
        <v>0</v>
      </c>
      <c r="R312" t="str">
        <f>Migrationsartikel!F310&amp;" "&amp;Migrationsartikel!G310&amp;" "&amp;Migrationsartikel!H310</f>
        <v xml:space="preserve">  </v>
      </c>
      <c r="S312" t="str">
        <f>Migrationsartikel!J310&amp;" "&amp;Migrationsartikel!K310&amp;" "&amp;Migrationsartikel!L310</f>
        <v xml:space="preserve">  </v>
      </c>
      <c r="T312" t="str">
        <f>Migrationsartikel!N310&amp;" "&amp;Migrationsartikel!O310&amp;" "&amp;Migrationsartikel!P310</f>
        <v xml:space="preserve">  </v>
      </c>
      <c r="U312">
        <f>Migrationsartikel!F310</f>
        <v>0</v>
      </c>
      <c r="V312">
        <f>Migrationsartikel!J310</f>
        <v>0</v>
      </c>
      <c r="W312">
        <f>Migrationsartikel!N310</f>
        <v>0</v>
      </c>
      <c r="X312">
        <f>Migrationsartikel!G310</f>
        <v>0</v>
      </c>
      <c r="Y312">
        <f>Migrationsartikel!K310</f>
        <v>0</v>
      </c>
      <c r="Z312">
        <f>Migrationsartikel!O310</f>
        <v>0</v>
      </c>
      <c r="AA312" s="31">
        <f>Migrationsartikel!H310</f>
        <v>0</v>
      </c>
      <c r="AB312" s="31">
        <f>Migrationsartikel!L310</f>
        <v>0</v>
      </c>
      <c r="AC312" s="31">
        <f>Migrationsartikel!P310</f>
        <v>0</v>
      </c>
      <c r="AD312">
        <f>Migrationsartikel!I310</f>
        <v>0</v>
      </c>
      <c r="AE312">
        <f>Migrationsartikel!M310</f>
        <v>0</v>
      </c>
      <c r="AF312">
        <f>Migrationsartikel!Q310</f>
        <v>0</v>
      </c>
      <c r="AG312" s="45">
        <f>Migrationsartikel!R310</f>
        <v>0</v>
      </c>
      <c r="AH312" s="46">
        <f>Migrationsartikel!T310</f>
        <v>0</v>
      </c>
      <c r="AI312" s="46" t="str">
        <f t="shared" si="12"/>
        <v>n/a</v>
      </c>
      <c r="AJ312" s="46" t="s">
        <v>176</v>
      </c>
      <c r="AK312">
        <f>Migrationsartikel!S310</f>
        <v>0</v>
      </c>
      <c r="AL312">
        <f>Migrationsartikel!S310</f>
        <v>0</v>
      </c>
      <c r="AM312">
        <f>Migrationsartikel!S310</f>
        <v>0</v>
      </c>
      <c r="AN312">
        <f>Migrationsartikel!U310</f>
        <v>0</v>
      </c>
      <c r="AO312" t="str">
        <f t="shared" si="13"/>
        <v>n/a</v>
      </c>
      <c r="AP312" t="str">
        <f t="shared" si="14"/>
        <v>n/a</v>
      </c>
      <c r="AQ312" s="31" t="s">
        <v>195</v>
      </c>
      <c r="AR312" s="47"/>
      <c r="AS312" s="47"/>
      <c r="AT312" s="31" t="s">
        <v>208</v>
      </c>
      <c r="AU312" s="47"/>
      <c r="AV312" s="47"/>
      <c r="AW312" t="b">
        <f>IF(Migrationsartikel!AB310="ja","true",FALSE)</f>
        <v>0</v>
      </c>
      <c r="AX312" t="b">
        <f>IF(Migrationsartikel!AC310="ja","true",FALSE)</f>
        <v>0</v>
      </c>
      <c r="AY312" t="b">
        <f>IF(Migrationsartikel!AD310="ja","true",FALSE)</f>
        <v>0</v>
      </c>
      <c r="AZ312" t="b">
        <f>IF(Migrationsartikel!AE310="ja","true",FALSE)</f>
        <v>0</v>
      </c>
      <c r="BA312" t="str">
        <f>IF(Migrationsartikel!AF310="ja","Denner Partner","")</f>
        <v/>
      </c>
      <c r="BB312" t="str">
        <f>IF(Migrationsartikel!AG310="ja","true","false")</f>
        <v>false</v>
      </c>
      <c r="BC312" t="s">
        <v>1923</v>
      </c>
      <c r="BD312" s="31" t="s">
        <v>235</v>
      </c>
      <c r="BE312" s="31" t="s">
        <v>233</v>
      </c>
    </row>
    <row r="313" spans="2:57" ht="21.75" customHeight="1" x14ac:dyDescent="0.45">
      <c r="B313" t="s">
        <v>115</v>
      </c>
      <c r="E313" s="31" t="s">
        <v>1739</v>
      </c>
      <c r="F313" t="str">
        <f>"Warengruppe&gt;&gt;"&amp;Migrationsartikel!V311&amp;"&gt;&gt;"&amp;Migrationsartikel!W311&amp;"&gt;&gt;"&amp;Migrationsartikel!X311</f>
        <v>Warengruppe&gt;&gt;&gt;&gt;&gt;&gt;</v>
      </c>
      <c r="J313" s="31" t="s">
        <v>125</v>
      </c>
      <c r="M313" s="31" t="s">
        <v>137</v>
      </c>
      <c r="P313" s="31">
        <f>Migrationsartikel!B311</f>
        <v>0</v>
      </c>
      <c r="R313" t="str">
        <f>Migrationsartikel!F311&amp;" "&amp;Migrationsartikel!G311&amp;" "&amp;Migrationsartikel!H311</f>
        <v xml:space="preserve">  </v>
      </c>
      <c r="S313" t="str">
        <f>Migrationsartikel!J311&amp;" "&amp;Migrationsartikel!K311&amp;" "&amp;Migrationsartikel!L311</f>
        <v xml:space="preserve">  </v>
      </c>
      <c r="T313" t="str">
        <f>Migrationsartikel!N311&amp;" "&amp;Migrationsartikel!O311&amp;" "&amp;Migrationsartikel!P311</f>
        <v xml:space="preserve">  </v>
      </c>
      <c r="U313">
        <f>Migrationsartikel!F311</f>
        <v>0</v>
      </c>
      <c r="V313">
        <f>Migrationsartikel!J311</f>
        <v>0</v>
      </c>
      <c r="W313">
        <f>Migrationsartikel!N311</f>
        <v>0</v>
      </c>
      <c r="X313">
        <f>Migrationsartikel!G311</f>
        <v>0</v>
      </c>
      <c r="Y313">
        <f>Migrationsartikel!K311</f>
        <v>0</v>
      </c>
      <c r="Z313">
        <f>Migrationsartikel!O311</f>
        <v>0</v>
      </c>
      <c r="AA313" s="31">
        <f>Migrationsartikel!H311</f>
        <v>0</v>
      </c>
      <c r="AB313" s="31">
        <f>Migrationsartikel!L311</f>
        <v>0</v>
      </c>
      <c r="AC313" s="31">
        <f>Migrationsartikel!P311</f>
        <v>0</v>
      </c>
      <c r="AD313">
        <f>Migrationsartikel!I311</f>
        <v>0</v>
      </c>
      <c r="AE313">
        <f>Migrationsartikel!M311</f>
        <v>0</v>
      </c>
      <c r="AF313">
        <f>Migrationsartikel!Q311</f>
        <v>0</v>
      </c>
      <c r="AG313" s="45">
        <f>Migrationsartikel!R311</f>
        <v>0</v>
      </c>
      <c r="AH313" s="46">
        <f>Migrationsartikel!T311</f>
        <v>0</v>
      </c>
      <c r="AI313" s="46" t="str">
        <f t="shared" si="12"/>
        <v>n/a</v>
      </c>
      <c r="AJ313" s="46" t="s">
        <v>176</v>
      </c>
      <c r="AK313">
        <f>Migrationsartikel!S311</f>
        <v>0</v>
      </c>
      <c r="AL313">
        <f>Migrationsartikel!S311</f>
        <v>0</v>
      </c>
      <c r="AM313">
        <f>Migrationsartikel!S311</f>
        <v>0</v>
      </c>
      <c r="AN313">
        <f>Migrationsartikel!U311</f>
        <v>0</v>
      </c>
      <c r="AO313" t="str">
        <f t="shared" si="13"/>
        <v>n/a</v>
      </c>
      <c r="AP313" t="str">
        <f t="shared" si="14"/>
        <v>n/a</v>
      </c>
      <c r="AQ313" s="31" t="s">
        <v>195</v>
      </c>
      <c r="AR313" s="47"/>
      <c r="AS313" s="47"/>
      <c r="AT313" s="31" t="s">
        <v>208</v>
      </c>
      <c r="AU313" s="47"/>
      <c r="AV313" s="47"/>
      <c r="AW313" t="b">
        <f>IF(Migrationsartikel!AB311="ja","true",FALSE)</f>
        <v>0</v>
      </c>
      <c r="AX313" t="b">
        <f>IF(Migrationsartikel!AC311="ja","true",FALSE)</f>
        <v>0</v>
      </c>
      <c r="AY313" t="b">
        <f>IF(Migrationsartikel!AD311="ja","true",FALSE)</f>
        <v>0</v>
      </c>
      <c r="AZ313" t="b">
        <f>IF(Migrationsartikel!AE311="ja","true",FALSE)</f>
        <v>0</v>
      </c>
      <c r="BA313" t="str">
        <f>IF(Migrationsartikel!AF311="ja","Denner Partner","")</f>
        <v/>
      </c>
      <c r="BB313" t="str">
        <f>IF(Migrationsartikel!AG311="ja","true","false")</f>
        <v>false</v>
      </c>
      <c r="BC313" t="s">
        <v>1923</v>
      </c>
      <c r="BD313" s="31" t="s">
        <v>235</v>
      </c>
      <c r="BE313" s="31" t="s">
        <v>233</v>
      </c>
    </row>
    <row r="314" spans="2:57" ht="21.75" customHeight="1" x14ac:dyDescent="0.45">
      <c r="B314" t="s">
        <v>115</v>
      </c>
      <c r="E314" s="31" t="s">
        <v>1740</v>
      </c>
      <c r="F314" t="str">
        <f>"Warengruppe&gt;&gt;"&amp;Migrationsartikel!V312&amp;"&gt;&gt;"&amp;Migrationsartikel!W312&amp;"&gt;&gt;"&amp;Migrationsartikel!X312</f>
        <v>Warengruppe&gt;&gt;&gt;&gt;&gt;&gt;</v>
      </c>
      <c r="J314" s="31" t="s">
        <v>125</v>
      </c>
      <c r="M314" s="31" t="s">
        <v>137</v>
      </c>
      <c r="P314" s="31">
        <f>Migrationsartikel!B312</f>
        <v>0</v>
      </c>
      <c r="R314" t="str">
        <f>Migrationsartikel!F312&amp;" "&amp;Migrationsartikel!G312&amp;" "&amp;Migrationsartikel!H312</f>
        <v xml:space="preserve">  </v>
      </c>
      <c r="S314" t="str">
        <f>Migrationsartikel!J312&amp;" "&amp;Migrationsartikel!K312&amp;" "&amp;Migrationsartikel!L312</f>
        <v xml:space="preserve">  </v>
      </c>
      <c r="T314" t="str">
        <f>Migrationsartikel!N312&amp;" "&amp;Migrationsartikel!O312&amp;" "&amp;Migrationsartikel!P312</f>
        <v xml:space="preserve">  </v>
      </c>
      <c r="U314">
        <f>Migrationsartikel!F312</f>
        <v>0</v>
      </c>
      <c r="V314">
        <f>Migrationsartikel!J312</f>
        <v>0</v>
      </c>
      <c r="W314">
        <f>Migrationsartikel!N312</f>
        <v>0</v>
      </c>
      <c r="X314">
        <f>Migrationsartikel!G312</f>
        <v>0</v>
      </c>
      <c r="Y314">
        <f>Migrationsartikel!K312</f>
        <v>0</v>
      </c>
      <c r="Z314">
        <f>Migrationsartikel!O312</f>
        <v>0</v>
      </c>
      <c r="AA314" s="31">
        <f>Migrationsartikel!H312</f>
        <v>0</v>
      </c>
      <c r="AB314" s="31">
        <f>Migrationsartikel!L312</f>
        <v>0</v>
      </c>
      <c r="AC314" s="31">
        <f>Migrationsartikel!P312</f>
        <v>0</v>
      </c>
      <c r="AD314">
        <f>Migrationsartikel!I312</f>
        <v>0</v>
      </c>
      <c r="AE314">
        <f>Migrationsartikel!M312</f>
        <v>0</v>
      </c>
      <c r="AF314">
        <f>Migrationsartikel!Q312</f>
        <v>0</v>
      </c>
      <c r="AG314" s="45">
        <f>Migrationsartikel!R312</f>
        <v>0</v>
      </c>
      <c r="AH314" s="46">
        <f>Migrationsartikel!T312</f>
        <v>0</v>
      </c>
      <c r="AI314" s="46" t="str">
        <f t="shared" si="12"/>
        <v>n/a</v>
      </c>
      <c r="AJ314" s="46" t="s">
        <v>176</v>
      </c>
      <c r="AK314">
        <f>Migrationsartikel!S312</f>
        <v>0</v>
      </c>
      <c r="AL314">
        <f>Migrationsartikel!S312</f>
        <v>0</v>
      </c>
      <c r="AM314">
        <f>Migrationsartikel!S312</f>
        <v>0</v>
      </c>
      <c r="AN314">
        <f>Migrationsartikel!U312</f>
        <v>0</v>
      </c>
      <c r="AO314" t="str">
        <f t="shared" si="13"/>
        <v>n/a</v>
      </c>
      <c r="AP314" t="str">
        <f t="shared" si="14"/>
        <v>n/a</v>
      </c>
      <c r="AQ314" s="31" t="s">
        <v>195</v>
      </c>
      <c r="AR314" s="47"/>
      <c r="AS314" s="47"/>
      <c r="AT314" s="31" t="s">
        <v>208</v>
      </c>
      <c r="AU314" s="47"/>
      <c r="AV314" s="47"/>
      <c r="AW314" t="b">
        <f>IF(Migrationsartikel!AB312="ja","true",FALSE)</f>
        <v>0</v>
      </c>
      <c r="AX314" t="b">
        <f>IF(Migrationsartikel!AC312="ja","true",FALSE)</f>
        <v>0</v>
      </c>
      <c r="AY314" t="b">
        <f>IF(Migrationsartikel!AD312="ja","true",FALSE)</f>
        <v>0</v>
      </c>
      <c r="AZ314" t="b">
        <f>IF(Migrationsartikel!AE312="ja","true",FALSE)</f>
        <v>0</v>
      </c>
      <c r="BA314" t="str">
        <f>IF(Migrationsartikel!AF312="ja","Denner Partner","")</f>
        <v/>
      </c>
      <c r="BB314" t="str">
        <f>IF(Migrationsartikel!AG312="ja","true","false")</f>
        <v>false</v>
      </c>
      <c r="BC314" t="s">
        <v>1923</v>
      </c>
      <c r="BD314" s="31" t="s">
        <v>235</v>
      </c>
      <c r="BE314" s="31" t="s">
        <v>233</v>
      </c>
    </row>
    <row r="315" spans="2:57" ht="21.75" customHeight="1" x14ac:dyDescent="0.45">
      <c r="B315" t="s">
        <v>115</v>
      </c>
      <c r="E315" s="31" t="s">
        <v>1741</v>
      </c>
      <c r="F315" t="str">
        <f>"Warengruppe&gt;&gt;"&amp;Migrationsartikel!V313&amp;"&gt;&gt;"&amp;Migrationsartikel!W313&amp;"&gt;&gt;"&amp;Migrationsartikel!X313</f>
        <v>Warengruppe&gt;&gt;&gt;&gt;&gt;&gt;</v>
      </c>
      <c r="J315" s="31" t="s">
        <v>125</v>
      </c>
      <c r="M315" s="31" t="s">
        <v>137</v>
      </c>
      <c r="P315" s="31">
        <f>Migrationsartikel!B313</f>
        <v>0</v>
      </c>
      <c r="R315" t="str">
        <f>Migrationsartikel!F313&amp;" "&amp;Migrationsartikel!G313&amp;" "&amp;Migrationsartikel!H313</f>
        <v xml:space="preserve">  </v>
      </c>
      <c r="S315" t="str">
        <f>Migrationsartikel!J313&amp;" "&amp;Migrationsartikel!K313&amp;" "&amp;Migrationsartikel!L313</f>
        <v xml:space="preserve">  </v>
      </c>
      <c r="T315" t="str">
        <f>Migrationsartikel!N313&amp;" "&amp;Migrationsartikel!O313&amp;" "&amp;Migrationsartikel!P313</f>
        <v xml:space="preserve">  </v>
      </c>
      <c r="U315">
        <f>Migrationsartikel!F313</f>
        <v>0</v>
      </c>
      <c r="V315">
        <f>Migrationsartikel!J313</f>
        <v>0</v>
      </c>
      <c r="W315">
        <f>Migrationsartikel!N313</f>
        <v>0</v>
      </c>
      <c r="X315">
        <f>Migrationsartikel!G313</f>
        <v>0</v>
      </c>
      <c r="Y315">
        <f>Migrationsartikel!K313</f>
        <v>0</v>
      </c>
      <c r="Z315">
        <f>Migrationsartikel!O313</f>
        <v>0</v>
      </c>
      <c r="AA315" s="31">
        <f>Migrationsartikel!H313</f>
        <v>0</v>
      </c>
      <c r="AB315" s="31">
        <f>Migrationsartikel!L313</f>
        <v>0</v>
      </c>
      <c r="AC315" s="31">
        <f>Migrationsartikel!P313</f>
        <v>0</v>
      </c>
      <c r="AD315">
        <f>Migrationsartikel!I313</f>
        <v>0</v>
      </c>
      <c r="AE315">
        <f>Migrationsartikel!M313</f>
        <v>0</v>
      </c>
      <c r="AF315">
        <f>Migrationsartikel!Q313</f>
        <v>0</v>
      </c>
      <c r="AG315" s="45">
        <f>Migrationsartikel!R313</f>
        <v>0</v>
      </c>
      <c r="AH315" s="46">
        <f>Migrationsartikel!T313</f>
        <v>0</v>
      </c>
      <c r="AI315" s="46" t="str">
        <f t="shared" si="12"/>
        <v>n/a</v>
      </c>
      <c r="AJ315" s="46" t="s">
        <v>176</v>
      </c>
      <c r="AK315">
        <f>Migrationsartikel!S313</f>
        <v>0</v>
      </c>
      <c r="AL315">
        <f>Migrationsartikel!S313</f>
        <v>0</v>
      </c>
      <c r="AM315">
        <f>Migrationsartikel!S313</f>
        <v>0</v>
      </c>
      <c r="AN315">
        <f>Migrationsartikel!U313</f>
        <v>0</v>
      </c>
      <c r="AO315" t="str">
        <f t="shared" si="13"/>
        <v>n/a</v>
      </c>
      <c r="AP315" t="str">
        <f t="shared" si="14"/>
        <v>n/a</v>
      </c>
      <c r="AQ315" s="31" t="s">
        <v>195</v>
      </c>
      <c r="AR315" s="47"/>
      <c r="AS315" s="47"/>
      <c r="AT315" s="31" t="s">
        <v>208</v>
      </c>
      <c r="AU315" s="47"/>
      <c r="AV315" s="47"/>
      <c r="AW315" t="b">
        <f>IF(Migrationsartikel!AB313="ja","true",FALSE)</f>
        <v>0</v>
      </c>
      <c r="AX315" t="b">
        <f>IF(Migrationsartikel!AC313="ja","true",FALSE)</f>
        <v>0</v>
      </c>
      <c r="AY315" t="b">
        <f>IF(Migrationsartikel!AD313="ja","true",FALSE)</f>
        <v>0</v>
      </c>
      <c r="AZ315" t="b">
        <f>IF(Migrationsartikel!AE313="ja","true",FALSE)</f>
        <v>0</v>
      </c>
      <c r="BA315" t="str">
        <f>IF(Migrationsartikel!AF313="ja","Denner Partner","")</f>
        <v/>
      </c>
      <c r="BB315" t="str">
        <f>IF(Migrationsartikel!AG313="ja","true","false")</f>
        <v>false</v>
      </c>
      <c r="BC315" t="s">
        <v>1923</v>
      </c>
      <c r="BD315" s="31" t="s">
        <v>235</v>
      </c>
      <c r="BE315" s="31" t="s">
        <v>233</v>
      </c>
    </row>
    <row r="316" spans="2:57" ht="21.75" customHeight="1" x14ac:dyDescent="0.45">
      <c r="B316" t="s">
        <v>115</v>
      </c>
      <c r="E316" s="31" t="s">
        <v>1742</v>
      </c>
      <c r="F316" t="str">
        <f>"Warengruppe&gt;&gt;"&amp;Migrationsartikel!V314&amp;"&gt;&gt;"&amp;Migrationsartikel!W314&amp;"&gt;&gt;"&amp;Migrationsartikel!X314</f>
        <v>Warengruppe&gt;&gt;&gt;&gt;&gt;&gt;</v>
      </c>
      <c r="J316" s="31" t="s">
        <v>125</v>
      </c>
      <c r="M316" s="31" t="s">
        <v>137</v>
      </c>
      <c r="P316" s="31">
        <f>Migrationsartikel!B314</f>
        <v>0</v>
      </c>
      <c r="R316" t="str">
        <f>Migrationsartikel!F314&amp;" "&amp;Migrationsartikel!G314&amp;" "&amp;Migrationsartikel!H314</f>
        <v xml:space="preserve">  </v>
      </c>
      <c r="S316" t="str">
        <f>Migrationsartikel!J314&amp;" "&amp;Migrationsartikel!K314&amp;" "&amp;Migrationsartikel!L314</f>
        <v xml:space="preserve">  </v>
      </c>
      <c r="T316" t="str">
        <f>Migrationsartikel!N314&amp;" "&amp;Migrationsartikel!O314&amp;" "&amp;Migrationsartikel!P314</f>
        <v xml:space="preserve">  </v>
      </c>
      <c r="U316">
        <f>Migrationsartikel!F314</f>
        <v>0</v>
      </c>
      <c r="V316">
        <f>Migrationsartikel!J314</f>
        <v>0</v>
      </c>
      <c r="W316">
        <f>Migrationsartikel!N314</f>
        <v>0</v>
      </c>
      <c r="X316">
        <f>Migrationsartikel!G314</f>
        <v>0</v>
      </c>
      <c r="Y316">
        <f>Migrationsartikel!K314</f>
        <v>0</v>
      </c>
      <c r="Z316">
        <f>Migrationsartikel!O314</f>
        <v>0</v>
      </c>
      <c r="AA316" s="31">
        <f>Migrationsartikel!H314</f>
        <v>0</v>
      </c>
      <c r="AB316" s="31">
        <f>Migrationsartikel!L314</f>
        <v>0</v>
      </c>
      <c r="AC316" s="31">
        <f>Migrationsartikel!P314</f>
        <v>0</v>
      </c>
      <c r="AD316">
        <f>Migrationsartikel!I314</f>
        <v>0</v>
      </c>
      <c r="AE316">
        <f>Migrationsartikel!M314</f>
        <v>0</v>
      </c>
      <c r="AF316">
        <f>Migrationsartikel!Q314</f>
        <v>0</v>
      </c>
      <c r="AG316" s="45">
        <f>Migrationsartikel!R314</f>
        <v>0</v>
      </c>
      <c r="AH316" s="46">
        <f>Migrationsartikel!T314</f>
        <v>0</v>
      </c>
      <c r="AI316" s="46" t="str">
        <f t="shared" si="12"/>
        <v>n/a</v>
      </c>
      <c r="AJ316" s="46" t="s">
        <v>176</v>
      </c>
      <c r="AK316">
        <f>Migrationsartikel!S314</f>
        <v>0</v>
      </c>
      <c r="AL316">
        <f>Migrationsartikel!S314</f>
        <v>0</v>
      </c>
      <c r="AM316">
        <f>Migrationsartikel!S314</f>
        <v>0</v>
      </c>
      <c r="AN316">
        <f>Migrationsartikel!U314</f>
        <v>0</v>
      </c>
      <c r="AO316" t="str">
        <f t="shared" si="13"/>
        <v>n/a</v>
      </c>
      <c r="AP316" t="str">
        <f t="shared" si="14"/>
        <v>n/a</v>
      </c>
      <c r="AQ316" s="31" t="s">
        <v>195</v>
      </c>
      <c r="AR316" s="47"/>
      <c r="AS316" s="47"/>
      <c r="AT316" s="31" t="s">
        <v>208</v>
      </c>
      <c r="AU316" s="47"/>
      <c r="AV316" s="47"/>
      <c r="AW316" t="b">
        <f>IF(Migrationsartikel!AB314="ja","true",FALSE)</f>
        <v>0</v>
      </c>
      <c r="AX316" t="b">
        <f>IF(Migrationsartikel!AC314="ja","true",FALSE)</f>
        <v>0</v>
      </c>
      <c r="AY316" t="b">
        <f>IF(Migrationsartikel!AD314="ja","true",FALSE)</f>
        <v>0</v>
      </c>
      <c r="AZ316" t="b">
        <f>IF(Migrationsartikel!AE314="ja","true",FALSE)</f>
        <v>0</v>
      </c>
      <c r="BA316" t="str">
        <f>IF(Migrationsartikel!AF314="ja","Denner Partner","")</f>
        <v/>
      </c>
      <c r="BB316" t="str">
        <f>IF(Migrationsartikel!AG314="ja","true","false")</f>
        <v>false</v>
      </c>
      <c r="BC316" t="s">
        <v>1923</v>
      </c>
      <c r="BD316" s="31" t="s">
        <v>235</v>
      </c>
      <c r="BE316" s="31" t="s">
        <v>233</v>
      </c>
    </row>
    <row r="317" spans="2:57" ht="21.75" customHeight="1" x14ac:dyDescent="0.45">
      <c r="B317" t="s">
        <v>115</v>
      </c>
      <c r="E317" s="31" t="s">
        <v>1743</v>
      </c>
      <c r="F317" t="str">
        <f>"Warengruppe&gt;&gt;"&amp;Migrationsartikel!V315&amp;"&gt;&gt;"&amp;Migrationsartikel!W315&amp;"&gt;&gt;"&amp;Migrationsartikel!X315</f>
        <v>Warengruppe&gt;&gt;&gt;&gt;&gt;&gt;</v>
      </c>
      <c r="J317" s="31" t="s">
        <v>125</v>
      </c>
      <c r="M317" s="31" t="s">
        <v>137</v>
      </c>
      <c r="P317" s="31">
        <f>Migrationsartikel!B315</f>
        <v>0</v>
      </c>
      <c r="R317" t="str">
        <f>Migrationsartikel!F315&amp;" "&amp;Migrationsartikel!G315&amp;" "&amp;Migrationsartikel!H315</f>
        <v xml:space="preserve">  </v>
      </c>
      <c r="S317" t="str">
        <f>Migrationsartikel!J315&amp;" "&amp;Migrationsartikel!K315&amp;" "&amp;Migrationsartikel!L315</f>
        <v xml:space="preserve">  </v>
      </c>
      <c r="T317" t="str">
        <f>Migrationsartikel!N315&amp;" "&amp;Migrationsartikel!O315&amp;" "&amp;Migrationsartikel!P315</f>
        <v xml:space="preserve">  </v>
      </c>
      <c r="U317">
        <f>Migrationsartikel!F315</f>
        <v>0</v>
      </c>
      <c r="V317">
        <f>Migrationsartikel!J315</f>
        <v>0</v>
      </c>
      <c r="W317">
        <f>Migrationsartikel!N315</f>
        <v>0</v>
      </c>
      <c r="X317">
        <f>Migrationsartikel!G315</f>
        <v>0</v>
      </c>
      <c r="Y317">
        <f>Migrationsartikel!K315</f>
        <v>0</v>
      </c>
      <c r="Z317">
        <f>Migrationsartikel!O315</f>
        <v>0</v>
      </c>
      <c r="AA317" s="31">
        <f>Migrationsartikel!H315</f>
        <v>0</v>
      </c>
      <c r="AB317" s="31">
        <f>Migrationsartikel!L315</f>
        <v>0</v>
      </c>
      <c r="AC317" s="31">
        <f>Migrationsartikel!P315</f>
        <v>0</v>
      </c>
      <c r="AD317">
        <f>Migrationsartikel!I315</f>
        <v>0</v>
      </c>
      <c r="AE317">
        <f>Migrationsartikel!M315</f>
        <v>0</v>
      </c>
      <c r="AF317">
        <f>Migrationsartikel!Q315</f>
        <v>0</v>
      </c>
      <c r="AG317" s="45">
        <f>Migrationsartikel!R315</f>
        <v>0</v>
      </c>
      <c r="AH317" s="46">
        <f>Migrationsartikel!T315</f>
        <v>0</v>
      </c>
      <c r="AI317" s="46" t="str">
        <f t="shared" si="12"/>
        <v>n/a</v>
      </c>
      <c r="AJ317" s="46" t="s">
        <v>176</v>
      </c>
      <c r="AK317">
        <f>Migrationsartikel!S315</f>
        <v>0</v>
      </c>
      <c r="AL317">
        <f>Migrationsartikel!S315</f>
        <v>0</v>
      </c>
      <c r="AM317">
        <f>Migrationsartikel!S315</f>
        <v>0</v>
      </c>
      <c r="AN317">
        <f>Migrationsartikel!U315</f>
        <v>0</v>
      </c>
      <c r="AO317" t="str">
        <f t="shared" si="13"/>
        <v>n/a</v>
      </c>
      <c r="AP317" t="str">
        <f t="shared" si="14"/>
        <v>n/a</v>
      </c>
      <c r="AQ317" s="31" t="s">
        <v>195</v>
      </c>
      <c r="AR317" s="47"/>
      <c r="AS317" s="47"/>
      <c r="AT317" s="31" t="s">
        <v>208</v>
      </c>
      <c r="AU317" s="47"/>
      <c r="AV317" s="47"/>
      <c r="AW317" t="b">
        <f>IF(Migrationsartikel!AB315="ja","true",FALSE)</f>
        <v>0</v>
      </c>
      <c r="AX317" t="b">
        <f>IF(Migrationsartikel!AC315="ja","true",FALSE)</f>
        <v>0</v>
      </c>
      <c r="AY317" t="b">
        <f>IF(Migrationsartikel!AD315="ja","true",FALSE)</f>
        <v>0</v>
      </c>
      <c r="AZ317" t="b">
        <f>IF(Migrationsartikel!AE315="ja","true",FALSE)</f>
        <v>0</v>
      </c>
      <c r="BA317" t="str">
        <f>IF(Migrationsartikel!AF315="ja","Denner Partner","")</f>
        <v/>
      </c>
      <c r="BB317" t="str">
        <f>IF(Migrationsartikel!AG315="ja","true","false")</f>
        <v>false</v>
      </c>
      <c r="BC317" t="s">
        <v>1923</v>
      </c>
      <c r="BD317" s="31" t="s">
        <v>235</v>
      </c>
      <c r="BE317" s="31" t="s">
        <v>233</v>
      </c>
    </row>
    <row r="318" spans="2:57" ht="21.75" customHeight="1" x14ac:dyDescent="0.45">
      <c r="B318" t="s">
        <v>115</v>
      </c>
      <c r="E318" s="31" t="s">
        <v>1744</v>
      </c>
      <c r="F318" t="str">
        <f>"Warengruppe&gt;&gt;"&amp;Migrationsartikel!V316&amp;"&gt;&gt;"&amp;Migrationsartikel!W316&amp;"&gt;&gt;"&amp;Migrationsartikel!X316</f>
        <v>Warengruppe&gt;&gt;&gt;&gt;&gt;&gt;</v>
      </c>
      <c r="J318" s="31" t="s">
        <v>125</v>
      </c>
      <c r="M318" s="31" t="s">
        <v>137</v>
      </c>
      <c r="P318" s="31">
        <f>Migrationsartikel!B316</f>
        <v>0</v>
      </c>
      <c r="R318" t="str">
        <f>Migrationsartikel!F316&amp;" "&amp;Migrationsartikel!G316&amp;" "&amp;Migrationsartikel!H316</f>
        <v xml:space="preserve">  </v>
      </c>
      <c r="S318" t="str">
        <f>Migrationsartikel!J316&amp;" "&amp;Migrationsartikel!K316&amp;" "&amp;Migrationsartikel!L316</f>
        <v xml:space="preserve">  </v>
      </c>
      <c r="T318" t="str">
        <f>Migrationsartikel!N316&amp;" "&amp;Migrationsartikel!O316&amp;" "&amp;Migrationsartikel!P316</f>
        <v xml:space="preserve">  </v>
      </c>
      <c r="U318">
        <f>Migrationsartikel!F316</f>
        <v>0</v>
      </c>
      <c r="V318">
        <f>Migrationsartikel!J316</f>
        <v>0</v>
      </c>
      <c r="W318">
        <f>Migrationsartikel!N316</f>
        <v>0</v>
      </c>
      <c r="X318">
        <f>Migrationsartikel!G316</f>
        <v>0</v>
      </c>
      <c r="Y318">
        <f>Migrationsartikel!K316</f>
        <v>0</v>
      </c>
      <c r="Z318">
        <f>Migrationsartikel!O316</f>
        <v>0</v>
      </c>
      <c r="AA318" s="31">
        <f>Migrationsartikel!H316</f>
        <v>0</v>
      </c>
      <c r="AB318" s="31">
        <f>Migrationsartikel!L316</f>
        <v>0</v>
      </c>
      <c r="AC318" s="31">
        <f>Migrationsartikel!P316</f>
        <v>0</v>
      </c>
      <c r="AD318">
        <f>Migrationsartikel!I316</f>
        <v>0</v>
      </c>
      <c r="AE318">
        <f>Migrationsartikel!M316</f>
        <v>0</v>
      </c>
      <c r="AF318">
        <f>Migrationsartikel!Q316</f>
        <v>0</v>
      </c>
      <c r="AG318" s="45">
        <f>Migrationsartikel!R316</f>
        <v>0</v>
      </c>
      <c r="AH318" s="46">
        <f>Migrationsartikel!T316</f>
        <v>0</v>
      </c>
      <c r="AI318" s="46" t="str">
        <f t="shared" si="12"/>
        <v>n/a</v>
      </c>
      <c r="AJ318" s="46" t="s">
        <v>176</v>
      </c>
      <c r="AK318">
        <f>Migrationsartikel!S316</f>
        <v>0</v>
      </c>
      <c r="AL318">
        <f>Migrationsartikel!S316</f>
        <v>0</v>
      </c>
      <c r="AM318">
        <f>Migrationsartikel!S316</f>
        <v>0</v>
      </c>
      <c r="AN318">
        <f>Migrationsartikel!U316</f>
        <v>0</v>
      </c>
      <c r="AO318" t="str">
        <f t="shared" si="13"/>
        <v>n/a</v>
      </c>
      <c r="AP318" t="str">
        <f t="shared" si="14"/>
        <v>n/a</v>
      </c>
      <c r="AQ318" s="31" t="s">
        <v>195</v>
      </c>
      <c r="AR318" s="47"/>
      <c r="AS318" s="47"/>
      <c r="AT318" s="31" t="s">
        <v>208</v>
      </c>
      <c r="AU318" s="47"/>
      <c r="AV318" s="47"/>
      <c r="AW318" t="b">
        <f>IF(Migrationsartikel!AB316="ja","true",FALSE)</f>
        <v>0</v>
      </c>
      <c r="AX318" t="b">
        <f>IF(Migrationsartikel!AC316="ja","true",FALSE)</f>
        <v>0</v>
      </c>
      <c r="AY318" t="b">
        <f>IF(Migrationsartikel!AD316="ja","true",FALSE)</f>
        <v>0</v>
      </c>
      <c r="AZ318" t="b">
        <f>IF(Migrationsartikel!AE316="ja","true",FALSE)</f>
        <v>0</v>
      </c>
      <c r="BA318" t="str">
        <f>IF(Migrationsartikel!AF316="ja","Denner Partner","")</f>
        <v/>
      </c>
      <c r="BB318" t="str">
        <f>IF(Migrationsartikel!AG316="ja","true","false")</f>
        <v>false</v>
      </c>
      <c r="BC318" t="s">
        <v>1923</v>
      </c>
      <c r="BD318" s="31" t="s">
        <v>235</v>
      </c>
      <c r="BE318" s="31" t="s">
        <v>233</v>
      </c>
    </row>
    <row r="319" spans="2:57" ht="21.75" customHeight="1" x14ac:dyDescent="0.45">
      <c r="B319" t="s">
        <v>115</v>
      </c>
      <c r="E319" s="31" t="s">
        <v>1745</v>
      </c>
      <c r="F319" t="str">
        <f>"Warengruppe&gt;&gt;"&amp;Migrationsartikel!V317&amp;"&gt;&gt;"&amp;Migrationsartikel!W317&amp;"&gt;&gt;"&amp;Migrationsartikel!X317</f>
        <v>Warengruppe&gt;&gt;&gt;&gt;&gt;&gt;</v>
      </c>
      <c r="J319" s="31" t="s">
        <v>125</v>
      </c>
      <c r="M319" s="31" t="s">
        <v>137</v>
      </c>
      <c r="P319" s="31">
        <f>Migrationsartikel!B317</f>
        <v>0</v>
      </c>
      <c r="R319" t="str">
        <f>Migrationsartikel!F317&amp;" "&amp;Migrationsartikel!G317&amp;" "&amp;Migrationsartikel!H317</f>
        <v xml:space="preserve">  </v>
      </c>
      <c r="S319" t="str">
        <f>Migrationsartikel!J317&amp;" "&amp;Migrationsartikel!K317&amp;" "&amp;Migrationsartikel!L317</f>
        <v xml:space="preserve">  </v>
      </c>
      <c r="T319" t="str">
        <f>Migrationsartikel!N317&amp;" "&amp;Migrationsartikel!O317&amp;" "&amp;Migrationsartikel!P317</f>
        <v xml:space="preserve">  </v>
      </c>
      <c r="U319">
        <f>Migrationsartikel!F317</f>
        <v>0</v>
      </c>
      <c r="V319">
        <f>Migrationsartikel!J317</f>
        <v>0</v>
      </c>
      <c r="W319">
        <f>Migrationsartikel!N317</f>
        <v>0</v>
      </c>
      <c r="X319">
        <f>Migrationsartikel!G317</f>
        <v>0</v>
      </c>
      <c r="Y319">
        <f>Migrationsartikel!K317</f>
        <v>0</v>
      </c>
      <c r="Z319">
        <f>Migrationsartikel!O317</f>
        <v>0</v>
      </c>
      <c r="AA319" s="31">
        <f>Migrationsartikel!H317</f>
        <v>0</v>
      </c>
      <c r="AB319" s="31">
        <f>Migrationsartikel!L317</f>
        <v>0</v>
      </c>
      <c r="AC319" s="31">
        <f>Migrationsartikel!P317</f>
        <v>0</v>
      </c>
      <c r="AD319">
        <f>Migrationsartikel!I317</f>
        <v>0</v>
      </c>
      <c r="AE319">
        <f>Migrationsartikel!M317</f>
        <v>0</v>
      </c>
      <c r="AF319">
        <f>Migrationsartikel!Q317</f>
        <v>0</v>
      </c>
      <c r="AG319" s="45">
        <f>Migrationsartikel!R317</f>
        <v>0</v>
      </c>
      <c r="AH319" s="46">
        <f>Migrationsartikel!T317</f>
        <v>0</v>
      </c>
      <c r="AI319" s="46" t="str">
        <f t="shared" si="12"/>
        <v>n/a</v>
      </c>
      <c r="AJ319" s="46" t="s">
        <v>176</v>
      </c>
      <c r="AK319">
        <f>Migrationsartikel!S317</f>
        <v>0</v>
      </c>
      <c r="AL319">
        <f>Migrationsartikel!S317</f>
        <v>0</v>
      </c>
      <c r="AM319">
        <f>Migrationsartikel!S317</f>
        <v>0</v>
      </c>
      <c r="AN319">
        <f>Migrationsartikel!U317</f>
        <v>0</v>
      </c>
      <c r="AO319" t="str">
        <f t="shared" si="13"/>
        <v>n/a</v>
      </c>
      <c r="AP319" t="str">
        <f t="shared" si="14"/>
        <v>n/a</v>
      </c>
      <c r="AQ319" s="31" t="s">
        <v>195</v>
      </c>
      <c r="AR319" s="47"/>
      <c r="AS319" s="47"/>
      <c r="AT319" s="31" t="s">
        <v>208</v>
      </c>
      <c r="AU319" s="47"/>
      <c r="AV319" s="47"/>
      <c r="AW319" t="b">
        <f>IF(Migrationsartikel!AB317="ja","true",FALSE)</f>
        <v>0</v>
      </c>
      <c r="AX319" t="b">
        <f>IF(Migrationsartikel!AC317="ja","true",FALSE)</f>
        <v>0</v>
      </c>
      <c r="AY319" t="b">
        <f>IF(Migrationsartikel!AD317="ja","true",FALSE)</f>
        <v>0</v>
      </c>
      <c r="AZ319" t="b">
        <f>IF(Migrationsartikel!AE317="ja","true",FALSE)</f>
        <v>0</v>
      </c>
      <c r="BA319" t="str">
        <f>IF(Migrationsartikel!AF317="ja","Denner Partner","")</f>
        <v/>
      </c>
      <c r="BB319" t="str">
        <f>IF(Migrationsartikel!AG317="ja","true","false")</f>
        <v>false</v>
      </c>
      <c r="BC319" t="s">
        <v>1923</v>
      </c>
      <c r="BD319" s="31" t="s">
        <v>235</v>
      </c>
      <c r="BE319" s="31" t="s">
        <v>233</v>
      </c>
    </row>
    <row r="320" spans="2:57" ht="21.75" customHeight="1" x14ac:dyDescent="0.45">
      <c r="B320" t="s">
        <v>115</v>
      </c>
      <c r="E320" s="31" t="s">
        <v>1746</v>
      </c>
      <c r="F320" t="str">
        <f>"Warengruppe&gt;&gt;"&amp;Migrationsartikel!V318&amp;"&gt;&gt;"&amp;Migrationsartikel!W318&amp;"&gt;&gt;"&amp;Migrationsartikel!X318</f>
        <v>Warengruppe&gt;&gt;&gt;&gt;&gt;&gt;</v>
      </c>
      <c r="J320" s="31" t="s">
        <v>125</v>
      </c>
      <c r="M320" s="31" t="s">
        <v>137</v>
      </c>
      <c r="P320" s="31">
        <f>Migrationsartikel!B318</f>
        <v>0</v>
      </c>
      <c r="R320" t="str">
        <f>Migrationsartikel!F318&amp;" "&amp;Migrationsartikel!G318&amp;" "&amp;Migrationsartikel!H318</f>
        <v xml:space="preserve">  </v>
      </c>
      <c r="S320" t="str">
        <f>Migrationsartikel!J318&amp;" "&amp;Migrationsartikel!K318&amp;" "&amp;Migrationsartikel!L318</f>
        <v xml:space="preserve">  </v>
      </c>
      <c r="T320" t="str">
        <f>Migrationsartikel!N318&amp;" "&amp;Migrationsartikel!O318&amp;" "&amp;Migrationsartikel!P318</f>
        <v xml:space="preserve">  </v>
      </c>
      <c r="U320">
        <f>Migrationsartikel!F318</f>
        <v>0</v>
      </c>
      <c r="V320">
        <f>Migrationsartikel!J318</f>
        <v>0</v>
      </c>
      <c r="W320">
        <f>Migrationsartikel!N318</f>
        <v>0</v>
      </c>
      <c r="X320">
        <f>Migrationsartikel!G318</f>
        <v>0</v>
      </c>
      <c r="Y320">
        <f>Migrationsartikel!K318</f>
        <v>0</v>
      </c>
      <c r="Z320">
        <f>Migrationsartikel!O318</f>
        <v>0</v>
      </c>
      <c r="AA320" s="31">
        <f>Migrationsartikel!H318</f>
        <v>0</v>
      </c>
      <c r="AB320" s="31">
        <f>Migrationsartikel!L318</f>
        <v>0</v>
      </c>
      <c r="AC320" s="31">
        <f>Migrationsartikel!P318</f>
        <v>0</v>
      </c>
      <c r="AD320">
        <f>Migrationsartikel!I318</f>
        <v>0</v>
      </c>
      <c r="AE320">
        <f>Migrationsartikel!M318</f>
        <v>0</v>
      </c>
      <c r="AF320">
        <f>Migrationsartikel!Q318</f>
        <v>0</v>
      </c>
      <c r="AG320" s="45">
        <f>Migrationsartikel!R318</f>
        <v>0</v>
      </c>
      <c r="AH320" s="46">
        <f>Migrationsartikel!T318</f>
        <v>0</v>
      </c>
      <c r="AI320" s="46" t="str">
        <f t="shared" si="12"/>
        <v>n/a</v>
      </c>
      <c r="AJ320" s="46" t="s">
        <v>176</v>
      </c>
      <c r="AK320">
        <f>Migrationsartikel!S318</f>
        <v>0</v>
      </c>
      <c r="AL320">
        <f>Migrationsartikel!S318</f>
        <v>0</v>
      </c>
      <c r="AM320">
        <f>Migrationsartikel!S318</f>
        <v>0</v>
      </c>
      <c r="AN320">
        <f>Migrationsartikel!U318</f>
        <v>0</v>
      </c>
      <c r="AO320" t="str">
        <f t="shared" si="13"/>
        <v>n/a</v>
      </c>
      <c r="AP320" t="str">
        <f t="shared" si="14"/>
        <v>n/a</v>
      </c>
      <c r="AQ320" s="31" t="s">
        <v>195</v>
      </c>
      <c r="AR320" s="47"/>
      <c r="AS320" s="47"/>
      <c r="AT320" s="31" t="s">
        <v>208</v>
      </c>
      <c r="AU320" s="47"/>
      <c r="AV320" s="47"/>
      <c r="AW320" t="b">
        <f>IF(Migrationsartikel!AB318="ja","true",FALSE)</f>
        <v>0</v>
      </c>
      <c r="AX320" t="b">
        <f>IF(Migrationsartikel!AC318="ja","true",FALSE)</f>
        <v>0</v>
      </c>
      <c r="AY320" t="b">
        <f>IF(Migrationsartikel!AD318="ja","true",FALSE)</f>
        <v>0</v>
      </c>
      <c r="AZ320" t="b">
        <f>IF(Migrationsartikel!AE318="ja","true",FALSE)</f>
        <v>0</v>
      </c>
      <c r="BA320" t="str">
        <f>IF(Migrationsartikel!AF318="ja","Denner Partner","")</f>
        <v/>
      </c>
      <c r="BB320" t="str">
        <f>IF(Migrationsartikel!AG318="ja","true","false")</f>
        <v>false</v>
      </c>
      <c r="BC320" t="s">
        <v>1923</v>
      </c>
      <c r="BD320" s="31" t="s">
        <v>235</v>
      </c>
      <c r="BE320" s="31" t="s">
        <v>233</v>
      </c>
    </row>
    <row r="321" spans="2:57" ht="21.75" customHeight="1" x14ac:dyDescent="0.45">
      <c r="B321" t="s">
        <v>115</v>
      </c>
      <c r="E321" s="31" t="s">
        <v>1747</v>
      </c>
      <c r="F321" t="str">
        <f>"Warengruppe&gt;&gt;"&amp;Migrationsartikel!V319&amp;"&gt;&gt;"&amp;Migrationsartikel!W319&amp;"&gt;&gt;"&amp;Migrationsartikel!X319</f>
        <v>Warengruppe&gt;&gt;&gt;&gt;&gt;&gt;</v>
      </c>
      <c r="J321" s="31" t="s">
        <v>125</v>
      </c>
      <c r="M321" s="31" t="s">
        <v>137</v>
      </c>
      <c r="P321" s="31">
        <f>Migrationsartikel!B319</f>
        <v>0</v>
      </c>
      <c r="R321" t="str">
        <f>Migrationsartikel!F319&amp;" "&amp;Migrationsartikel!G319&amp;" "&amp;Migrationsartikel!H319</f>
        <v xml:space="preserve">  </v>
      </c>
      <c r="S321" t="str">
        <f>Migrationsartikel!J319&amp;" "&amp;Migrationsartikel!K319&amp;" "&amp;Migrationsartikel!L319</f>
        <v xml:space="preserve">  </v>
      </c>
      <c r="T321" t="str">
        <f>Migrationsartikel!N319&amp;" "&amp;Migrationsartikel!O319&amp;" "&amp;Migrationsartikel!P319</f>
        <v xml:space="preserve">  </v>
      </c>
      <c r="U321">
        <f>Migrationsartikel!F319</f>
        <v>0</v>
      </c>
      <c r="V321">
        <f>Migrationsartikel!J319</f>
        <v>0</v>
      </c>
      <c r="W321">
        <f>Migrationsartikel!N319</f>
        <v>0</v>
      </c>
      <c r="X321">
        <f>Migrationsartikel!G319</f>
        <v>0</v>
      </c>
      <c r="Y321">
        <f>Migrationsartikel!K319</f>
        <v>0</v>
      </c>
      <c r="Z321">
        <f>Migrationsartikel!O319</f>
        <v>0</v>
      </c>
      <c r="AA321" s="31">
        <f>Migrationsartikel!H319</f>
        <v>0</v>
      </c>
      <c r="AB321" s="31">
        <f>Migrationsartikel!L319</f>
        <v>0</v>
      </c>
      <c r="AC321" s="31">
        <f>Migrationsartikel!P319</f>
        <v>0</v>
      </c>
      <c r="AD321">
        <f>Migrationsartikel!I319</f>
        <v>0</v>
      </c>
      <c r="AE321">
        <f>Migrationsartikel!M319</f>
        <v>0</v>
      </c>
      <c r="AF321">
        <f>Migrationsartikel!Q319</f>
        <v>0</v>
      </c>
      <c r="AG321" s="45">
        <f>Migrationsartikel!R319</f>
        <v>0</v>
      </c>
      <c r="AH321" s="46">
        <f>Migrationsartikel!T319</f>
        <v>0</v>
      </c>
      <c r="AI321" s="46" t="str">
        <f t="shared" si="12"/>
        <v>n/a</v>
      </c>
      <c r="AJ321" s="46" t="s">
        <v>176</v>
      </c>
      <c r="AK321">
        <f>Migrationsartikel!S319</f>
        <v>0</v>
      </c>
      <c r="AL321">
        <f>Migrationsartikel!S319</f>
        <v>0</v>
      </c>
      <c r="AM321">
        <f>Migrationsartikel!S319</f>
        <v>0</v>
      </c>
      <c r="AN321">
        <f>Migrationsartikel!U319</f>
        <v>0</v>
      </c>
      <c r="AO321" t="str">
        <f t="shared" si="13"/>
        <v>n/a</v>
      </c>
      <c r="AP321" t="str">
        <f t="shared" si="14"/>
        <v>n/a</v>
      </c>
      <c r="AQ321" s="31" t="s">
        <v>195</v>
      </c>
      <c r="AR321" s="47"/>
      <c r="AS321" s="47"/>
      <c r="AT321" s="31" t="s">
        <v>208</v>
      </c>
      <c r="AU321" s="47"/>
      <c r="AV321" s="47"/>
      <c r="AW321" t="b">
        <f>IF(Migrationsartikel!AB319="ja","true",FALSE)</f>
        <v>0</v>
      </c>
      <c r="AX321" t="b">
        <f>IF(Migrationsartikel!AC319="ja","true",FALSE)</f>
        <v>0</v>
      </c>
      <c r="AY321" t="b">
        <f>IF(Migrationsartikel!AD319="ja","true",FALSE)</f>
        <v>0</v>
      </c>
      <c r="AZ321" t="b">
        <f>IF(Migrationsartikel!AE319="ja","true",FALSE)</f>
        <v>0</v>
      </c>
      <c r="BA321" t="str">
        <f>IF(Migrationsartikel!AF319="ja","Denner Partner","")</f>
        <v/>
      </c>
      <c r="BB321" t="str">
        <f>IF(Migrationsartikel!AG319="ja","true","false")</f>
        <v>false</v>
      </c>
      <c r="BC321" t="s">
        <v>1923</v>
      </c>
      <c r="BD321" s="31" t="s">
        <v>235</v>
      </c>
      <c r="BE321" s="31" t="s">
        <v>233</v>
      </c>
    </row>
    <row r="322" spans="2:57" ht="21.75" customHeight="1" x14ac:dyDescent="0.45">
      <c r="B322" t="s">
        <v>115</v>
      </c>
      <c r="E322" s="31" t="s">
        <v>1748</v>
      </c>
      <c r="F322" t="str">
        <f>"Warengruppe&gt;&gt;"&amp;Migrationsartikel!V320&amp;"&gt;&gt;"&amp;Migrationsartikel!W320&amp;"&gt;&gt;"&amp;Migrationsartikel!X320</f>
        <v>Warengruppe&gt;&gt;&gt;&gt;&gt;&gt;</v>
      </c>
      <c r="J322" s="31" t="s">
        <v>125</v>
      </c>
      <c r="M322" s="31" t="s">
        <v>137</v>
      </c>
      <c r="P322" s="31">
        <f>Migrationsartikel!B320</f>
        <v>0</v>
      </c>
      <c r="R322" t="str">
        <f>Migrationsartikel!F320&amp;" "&amp;Migrationsartikel!G320&amp;" "&amp;Migrationsartikel!H320</f>
        <v xml:space="preserve">  </v>
      </c>
      <c r="S322" t="str">
        <f>Migrationsartikel!J320&amp;" "&amp;Migrationsartikel!K320&amp;" "&amp;Migrationsartikel!L320</f>
        <v xml:space="preserve">  </v>
      </c>
      <c r="T322" t="str">
        <f>Migrationsartikel!N320&amp;" "&amp;Migrationsartikel!O320&amp;" "&amp;Migrationsartikel!P320</f>
        <v xml:space="preserve">  </v>
      </c>
      <c r="U322">
        <f>Migrationsartikel!F320</f>
        <v>0</v>
      </c>
      <c r="V322">
        <f>Migrationsartikel!J320</f>
        <v>0</v>
      </c>
      <c r="W322">
        <f>Migrationsartikel!N320</f>
        <v>0</v>
      </c>
      <c r="X322">
        <f>Migrationsartikel!G320</f>
        <v>0</v>
      </c>
      <c r="Y322">
        <f>Migrationsartikel!K320</f>
        <v>0</v>
      </c>
      <c r="Z322">
        <f>Migrationsartikel!O320</f>
        <v>0</v>
      </c>
      <c r="AA322" s="31">
        <f>Migrationsartikel!H320</f>
        <v>0</v>
      </c>
      <c r="AB322" s="31">
        <f>Migrationsartikel!L320</f>
        <v>0</v>
      </c>
      <c r="AC322" s="31">
        <f>Migrationsartikel!P320</f>
        <v>0</v>
      </c>
      <c r="AD322">
        <f>Migrationsartikel!I320</f>
        <v>0</v>
      </c>
      <c r="AE322">
        <f>Migrationsartikel!M320</f>
        <v>0</v>
      </c>
      <c r="AF322">
        <f>Migrationsartikel!Q320</f>
        <v>0</v>
      </c>
      <c r="AG322" s="45">
        <f>Migrationsartikel!R320</f>
        <v>0</v>
      </c>
      <c r="AH322" s="46">
        <f>Migrationsartikel!T320</f>
        <v>0</v>
      </c>
      <c r="AI322" s="46" t="str">
        <f t="shared" si="12"/>
        <v>n/a</v>
      </c>
      <c r="AJ322" s="46" t="s">
        <v>176</v>
      </c>
      <c r="AK322">
        <f>Migrationsartikel!S320</f>
        <v>0</v>
      </c>
      <c r="AL322">
        <f>Migrationsartikel!S320</f>
        <v>0</v>
      </c>
      <c r="AM322">
        <f>Migrationsartikel!S320</f>
        <v>0</v>
      </c>
      <c r="AN322">
        <f>Migrationsartikel!U320</f>
        <v>0</v>
      </c>
      <c r="AO322" t="str">
        <f t="shared" si="13"/>
        <v>n/a</v>
      </c>
      <c r="AP322" t="str">
        <f t="shared" si="14"/>
        <v>n/a</v>
      </c>
      <c r="AQ322" s="31" t="s">
        <v>195</v>
      </c>
      <c r="AR322" s="47"/>
      <c r="AS322" s="47"/>
      <c r="AT322" s="31" t="s">
        <v>208</v>
      </c>
      <c r="AU322" s="47"/>
      <c r="AV322" s="47"/>
      <c r="AW322" t="b">
        <f>IF(Migrationsartikel!AB320="ja","true",FALSE)</f>
        <v>0</v>
      </c>
      <c r="AX322" t="b">
        <f>IF(Migrationsartikel!AC320="ja","true",FALSE)</f>
        <v>0</v>
      </c>
      <c r="AY322" t="b">
        <f>IF(Migrationsartikel!AD320="ja","true",FALSE)</f>
        <v>0</v>
      </c>
      <c r="AZ322" t="b">
        <f>IF(Migrationsartikel!AE320="ja","true",FALSE)</f>
        <v>0</v>
      </c>
      <c r="BA322" t="str">
        <f>IF(Migrationsartikel!AF320="ja","Denner Partner","")</f>
        <v/>
      </c>
      <c r="BB322" t="str">
        <f>IF(Migrationsartikel!AG320="ja","true","false")</f>
        <v>false</v>
      </c>
      <c r="BC322" t="s">
        <v>1923</v>
      </c>
      <c r="BD322" s="31" t="s">
        <v>235</v>
      </c>
      <c r="BE322" s="31" t="s">
        <v>233</v>
      </c>
    </row>
    <row r="323" spans="2:57" ht="21.75" customHeight="1" x14ac:dyDescent="0.45">
      <c r="B323" t="s">
        <v>115</v>
      </c>
      <c r="E323" s="31" t="s">
        <v>1749</v>
      </c>
      <c r="F323" t="str">
        <f>"Warengruppe&gt;&gt;"&amp;Migrationsartikel!V321&amp;"&gt;&gt;"&amp;Migrationsartikel!W321&amp;"&gt;&gt;"&amp;Migrationsartikel!X321</f>
        <v>Warengruppe&gt;&gt;&gt;&gt;&gt;&gt;</v>
      </c>
      <c r="J323" s="31" t="s">
        <v>125</v>
      </c>
      <c r="M323" s="31" t="s">
        <v>137</v>
      </c>
      <c r="P323" s="31">
        <f>Migrationsartikel!B321</f>
        <v>0</v>
      </c>
      <c r="R323" t="str">
        <f>Migrationsartikel!F321&amp;" "&amp;Migrationsartikel!G321&amp;" "&amp;Migrationsartikel!H321</f>
        <v xml:space="preserve">  </v>
      </c>
      <c r="S323" t="str">
        <f>Migrationsartikel!J321&amp;" "&amp;Migrationsartikel!K321&amp;" "&amp;Migrationsartikel!L321</f>
        <v xml:space="preserve">  </v>
      </c>
      <c r="T323" t="str">
        <f>Migrationsartikel!N321&amp;" "&amp;Migrationsartikel!O321&amp;" "&amp;Migrationsartikel!P321</f>
        <v xml:space="preserve">  </v>
      </c>
      <c r="U323">
        <f>Migrationsartikel!F321</f>
        <v>0</v>
      </c>
      <c r="V323">
        <f>Migrationsartikel!J321</f>
        <v>0</v>
      </c>
      <c r="W323">
        <f>Migrationsartikel!N321</f>
        <v>0</v>
      </c>
      <c r="X323">
        <f>Migrationsartikel!G321</f>
        <v>0</v>
      </c>
      <c r="Y323">
        <f>Migrationsartikel!K321</f>
        <v>0</v>
      </c>
      <c r="Z323">
        <f>Migrationsartikel!O321</f>
        <v>0</v>
      </c>
      <c r="AA323" s="31">
        <f>Migrationsartikel!H321</f>
        <v>0</v>
      </c>
      <c r="AB323" s="31">
        <f>Migrationsartikel!L321</f>
        <v>0</v>
      </c>
      <c r="AC323" s="31">
        <f>Migrationsartikel!P321</f>
        <v>0</v>
      </c>
      <c r="AD323">
        <f>Migrationsartikel!I321</f>
        <v>0</v>
      </c>
      <c r="AE323">
        <f>Migrationsartikel!M321</f>
        <v>0</v>
      </c>
      <c r="AF323">
        <f>Migrationsartikel!Q321</f>
        <v>0</v>
      </c>
      <c r="AG323" s="45">
        <f>Migrationsartikel!R321</f>
        <v>0</v>
      </c>
      <c r="AH323" s="46">
        <f>Migrationsartikel!T321</f>
        <v>0</v>
      </c>
      <c r="AI323" s="46" t="str">
        <f t="shared" si="12"/>
        <v>n/a</v>
      </c>
      <c r="AJ323" s="46" t="s">
        <v>176</v>
      </c>
      <c r="AK323">
        <f>Migrationsartikel!S321</f>
        <v>0</v>
      </c>
      <c r="AL323">
        <f>Migrationsartikel!S321</f>
        <v>0</v>
      </c>
      <c r="AM323">
        <f>Migrationsartikel!S321</f>
        <v>0</v>
      </c>
      <c r="AN323">
        <f>Migrationsartikel!U321</f>
        <v>0</v>
      </c>
      <c r="AO323" t="str">
        <f t="shared" si="13"/>
        <v>n/a</v>
      </c>
      <c r="AP323" t="str">
        <f t="shared" si="14"/>
        <v>n/a</v>
      </c>
      <c r="AQ323" s="31" t="s">
        <v>195</v>
      </c>
      <c r="AR323" s="47"/>
      <c r="AS323" s="47"/>
      <c r="AT323" s="31" t="s">
        <v>208</v>
      </c>
      <c r="AU323" s="47"/>
      <c r="AV323" s="47"/>
      <c r="AW323" t="b">
        <f>IF(Migrationsartikel!AB321="ja","true",FALSE)</f>
        <v>0</v>
      </c>
      <c r="AX323" t="b">
        <f>IF(Migrationsartikel!AC321="ja","true",FALSE)</f>
        <v>0</v>
      </c>
      <c r="AY323" t="b">
        <f>IF(Migrationsartikel!AD321="ja","true",FALSE)</f>
        <v>0</v>
      </c>
      <c r="AZ323" t="b">
        <f>IF(Migrationsartikel!AE321="ja","true",FALSE)</f>
        <v>0</v>
      </c>
      <c r="BA323" t="str">
        <f>IF(Migrationsartikel!AF321="ja","Denner Partner","")</f>
        <v/>
      </c>
      <c r="BB323" t="str">
        <f>IF(Migrationsartikel!AG321="ja","true","false")</f>
        <v>false</v>
      </c>
      <c r="BC323" t="s">
        <v>1923</v>
      </c>
      <c r="BD323" s="31" t="s">
        <v>235</v>
      </c>
      <c r="BE323" s="31" t="s">
        <v>233</v>
      </c>
    </row>
    <row r="324" spans="2:57" ht="21.75" customHeight="1" x14ac:dyDescent="0.45">
      <c r="B324" t="s">
        <v>115</v>
      </c>
      <c r="E324" s="31" t="s">
        <v>1750</v>
      </c>
      <c r="F324" t="str">
        <f>"Warengruppe&gt;&gt;"&amp;Migrationsartikel!V322&amp;"&gt;&gt;"&amp;Migrationsartikel!W322&amp;"&gt;&gt;"&amp;Migrationsartikel!X322</f>
        <v>Warengruppe&gt;&gt;&gt;&gt;&gt;&gt;</v>
      </c>
      <c r="J324" s="31" t="s">
        <v>125</v>
      </c>
      <c r="M324" s="31" t="s">
        <v>137</v>
      </c>
      <c r="P324" s="31">
        <f>Migrationsartikel!B322</f>
        <v>0</v>
      </c>
      <c r="R324" t="str">
        <f>Migrationsartikel!F322&amp;" "&amp;Migrationsartikel!G322&amp;" "&amp;Migrationsartikel!H322</f>
        <v xml:space="preserve">  </v>
      </c>
      <c r="S324" t="str">
        <f>Migrationsartikel!J322&amp;" "&amp;Migrationsartikel!K322&amp;" "&amp;Migrationsartikel!L322</f>
        <v xml:space="preserve">  </v>
      </c>
      <c r="T324" t="str">
        <f>Migrationsartikel!N322&amp;" "&amp;Migrationsartikel!O322&amp;" "&amp;Migrationsartikel!P322</f>
        <v xml:space="preserve">  </v>
      </c>
      <c r="U324">
        <f>Migrationsartikel!F322</f>
        <v>0</v>
      </c>
      <c r="V324">
        <f>Migrationsartikel!J322</f>
        <v>0</v>
      </c>
      <c r="W324">
        <f>Migrationsartikel!N322</f>
        <v>0</v>
      </c>
      <c r="X324">
        <f>Migrationsartikel!G322</f>
        <v>0</v>
      </c>
      <c r="Y324">
        <f>Migrationsartikel!K322</f>
        <v>0</v>
      </c>
      <c r="Z324">
        <f>Migrationsartikel!O322</f>
        <v>0</v>
      </c>
      <c r="AA324" s="31">
        <f>Migrationsartikel!H322</f>
        <v>0</v>
      </c>
      <c r="AB324" s="31">
        <f>Migrationsartikel!L322</f>
        <v>0</v>
      </c>
      <c r="AC324" s="31">
        <f>Migrationsartikel!P322</f>
        <v>0</v>
      </c>
      <c r="AD324">
        <f>Migrationsartikel!I322</f>
        <v>0</v>
      </c>
      <c r="AE324">
        <f>Migrationsartikel!M322</f>
        <v>0</v>
      </c>
      <c r="AF324">
        <f>Migrationsartikel!Q322</f>
        <v>0</v>
      </c>
      <c r="AG324" s="45">
        <f>Migrationsartikel!R322</f>
        <v>0</v>
      </c>
      <c r="AH324" s="46">
        <f>Migrationsartikel!T322</f>
        <v>0</v>
      </c>
      <c r="AI324" s="46" t="str">
        <f t="shared" si="12"/>
        <v>n/a</v>
      </c>
      <c r="AJ324" s="46" t="s">
        <v>176</v>
      </c>
      <c r="AK324">
        <f>Migrationsartikel!S322</f>
        <v>0</v>
      </c>
      <c r="AL324">
        <f>Migrationsartikel!S322</f>
        <v>0</v>
      </c>
      <c r="AM324">
        <f>Migrationsartikel!S322</f>
        <v>0</v>
      </c>
      <c r="AN324">
        <f>Migrationsartikel!U322</f>
        <v>0</v>
      </c>
      <c r="AO324" t="str">
        <f t="shared" si="13"/>
        <v>n/a</v>
      </c>
      <c r="AP324" t="str">
        <f t="shared" si="14"/>
        <v>n/a</v>
      </c>
      <c r="AQ324" s="31" t="s">
        <v>195</v>
      </c>
      <c r="AR324" s="47"/>
      <c r="AS324" s="47"/>
      <c r="AT324" s="31" t="s">
        <v>208</v>
      </c>
      <c r="AU324" s="47"/>
      <c r="AV324" s="47"/>
      <c r="AW324" t="b">
        <f>IF(Migrationsartikel!AB322="ja","true",FALSE)</f>
        <v>0</v>
      </c>
      <c r="AX324" t="b">
        <f>IF(Migrationsartikel!AC322="ja","true",FALSE)</f>
        <v>0</v>
      </c>
      <c r="AY324" t="b">
        <f>IF(Migrationsartikel!AD322="ja","true",FALSE)</f>
        <v>0</v>
      </c>
      <c r="AZ324" t="b">
        <f>IF(Migrationsartikel!AE322="ja","true",FALSE)</f>
        <v>0</v>
      </c>
      <c r="BA324" t="str">
        <f>IF(Migrationsartikel!AF322="ja","Denner Partner","")</f>
        <v/>
      </c>
      <c r="BB324" t="str">
        <f>IF(Migrationsartikel!AG322="ja","true","false")</f>
        <v>false</v>
      </c>
      <c r="BC324" t="s">
        <v>1923</v>
      </c>
      <c r="BD324" s="31" t="s">
        <v>235</v>
      </c>
      <c r="BE324" s="31" t="s">
        <v>233</v>
      </c>
    </row>
    <row r="325" spans="2:57" ht="21.75" customHeight="1" x14ac:dyDescent="0.45">
      <c r="B325" t="s">
        <v>115</v>
      </c>
      <c r="E325" s="31" t="s">
        <v>1751</v>
      </c>
      <c r="F325" t="str">
        <f>"Warengruppe&gt;&gt;"&amp;Migrationsartikel!V323&amp;"&gt;&gt;"&amp;Migrationsartikel!W323&amp;"&gt;&gt;"&amp;Migrationsartikel!X323</f>
        <v>Warengruppe&gt;&gt;&gt;&gt;&gt;&gt;</v>
      </c>
      <c r="J325" s="31" t="s">
        <v>125</v>
      </c>
      <c r="M325" s="31" t="s">
        <v>137</v>
      </c>
      <c r="P325" s="31">
        <f>Migrationsartikel!B323</f>
        <v>0</v>
      </c>
      <c r="R325" t="str">
        <f>Migrationsartikel!F323&amp;" "&amp;Migrationsartikel!G323&amp;" "&amp;Migrationsartikel!H323</f>
        <v xml:space="preserve">  </v>
      </c>
      <c r="S325" t="str">
        <f>Migrationsartikel!J323&amp;" "&amp;Migrationsartikel!K323&amp;" "&amp;Migrationsartikel!L323</f>
        <v xml:space="preserve">  </v>
      </c>
      <c r="T325" t="str">
        <f>Migrationsartikel!N323&amp;" "&amp;Migrationsartikel!O323&amp;" "&amp;Migrationsartikel!P323</f>
        <v xml:space="preserve">  </v>
      </c>
      <c r="U325">
        <f>Migrationsartikel!F323</f>
        <v>0</v>
      </c>
      <c r="V325">
        <f>Migrationsartikel!J323</f>
        <v>0</v>
      </c>
      <c r="W325">
        <f>Migrationsartikel!N323</f>
        <v>0</v>
      </c>
      <c r="X325">
        <f>Migrationsartikel!G323</f>
        <v>0</v>
      </c>
      <c r="Y325">
        <f>Migrationsartikel!K323</f>
        <v>0</v>
      </c>
      <c r="Z325">
        <f>Migrationsartikel!O323</f>
        <v>0</v>
      </c>
      <c r="AA325" s="31">
        <f>Migrationsartikel!H323</f>
        <v>0</v>
      </c>
      <c r="AB325" s="31">
        <f>Migrationsartikel!L323</f>
        <v>0</v>
      </c>
      <c r="AC325" s="31">
        <f>Migrationsartikel!P323</f>
        <v>0</v>
      </c>
      <c r="AD325">
        <f>Migrationsartikel!I323</f>
        <v>0</v>
      </c>
      <c r="AE325">
        <f>Migrationsartikel!M323</f>
        <v>0</v>
      </c>
      <c r="AF325">
        <f>Migrationsartikel!Q323</f>
        <v>0</v>
      </c>
      <c r="AG325" s="45">
        <f>Migrationsartikel!R323</f>
        <v>0</v>
      </c>
      <c r="AH325" s="46">
        <f>Migrationsartikel!T323</f>
        <v>0</v>
      </c>
      <c r="AI325" s="46" t="str">
        <f t="shared" ref="AI325:AI388" si="15">IF(AH325="Gramm","Gramm",(IF(AH325="Centiliter","2",IF(AH325="Kilogramm","3",IF(AH325="Liter","5",IF(AH325="Milliliter","6",(IF(AH325="Stück","7","n/a"))))))))</f>
        <v>n/a</v>
      </c>
      <c r="AJ325" s="46" t="s">
        <v>176</v>
      </c>
      <c r="AK325">
        <f>Migrationsartikel!S323</f>
        <v>0</v>
      </c>
      <c r="AL325">
        <f>Migrationsartikel!S323</f>
        <v>0</v>
      </c>
      <c r="AM325">
        <f>Migrationsartikel!S323</f>
        <v>0</v>
      </c>
      <c r="AN325">
        <f>Migrationsartikel!U323</f>
        <v>0</v>
      </c>
      <c r="AO325" t="str">
        <f t="shared" ref="AO325:AO388" si="16">IF(AN325="(PCE) Stück","(PCE) Pièce",(IF(AN325="(KGM) KG","(KGM) Kg","n/a")))</f>
        <v>n/a</v>
      </c>
      <c r="AP325" t="str">
        <f t="shared" ref="AP325:AP388" si="17">IF(AN325="(PCE) Stück","(PCE) Pièce",(IF(AN325="(KGM) KG","(KGM) KG","n/a")))</f>
        <v>n/a</v>
      </c>
      <c r="AQ325" s="31" t="s">
        <v>195</v>
      </c>
      <c r="AR325" s="47"/>
      <c r="AS325" s="47"/>
      <c r="AT325" s="31" t="s">
        <v>208</v>
      </c>
      <c r="AU325" s="47"/>
      <c r="AV325" s="47"/>
      <c r="AW325" t="b">
        <f>IF(Migrationsartikel!AB323="ja","true",FALSE)</f>
        <v>0</v>
      </c>
      <c r="AX325" t="b">
        <f>IF(Migrationsartikel!AC323="ja","true",FALSE)</f>
        <v>0</v>
      </c>
      <c r="AY325" t="b">
        <f>IF(Migrationsartikel!AD323="ja","true",FALSE)</f>
        <v>0</v>
      </c>
      <c r="AZ325" t="b">
        <f>IF(Migrationsartikel!AE323="ja","true",FALSE)</f>
        <v>0</v>
      </c>
      <c r="BA325" t="str">
        <f>IF(Migrationsartikel!AF323="ja","Denner Partner","")</f>
        <v/>
      </c>
      <c r="BB325" t="str">
        <f>IF(Migrationsartikel!AG323="ja","true","false")</f>
        <v>false</v>
      </c>
      <c r="BC325" t="s">
        <v>1923</v>
      </c>
      <c r="BD325" s="31" t="s">
        <v>235</v>
      </c>
      <c r="BE325" s="31" t="s">
        <v>233</v>
      </c>
    </row>
    <row r="326" spans="2:57" ht="21.75" customHeight="1" x14ac:dyDescent="0.45">
      <c r="B326" t="s">
        <v>115</v>
      </c>
      <c r="E326" s="31" t="s">
        <v>1752</v>
      </c>
      <c r="F326" t="str">
        <f>"Warengruppe&gt;&gt;"&amp;Migrationsartikel!V324&amp;"&gt;&gt;"&amp;Migrationsartikel!W324&amp;"&gt;&gt;"&amp;Migrationsartikel!X324</f>
        <v>Warengruppe&gt;&gt;&gt;&gt;&gt;&gt;</v>
      </c>
      <c r="J326" s="31" t="s">
        <v>125</v>
      </c>
      <c r="M326" s="31" t="s">
        <v>137</v>
      </c>
      <c r="P326" s="31">
        <f>Migrationsartikel!B324</f>
        <v>0</v>
      </c>
      <c r="R326" t="str">
        <f>Migrationsartikel!F324&amp;" "&amp;Migrationsartikel!G324&amp;" "&amp;Migrationsartikel!H324</f>
        <v xml:space="preserve">  </v>
      </c>
      <c r="S326" t="str">
        <f>Migrationsartikel!J324&amp;" "&amp;Migrationsartikel!K324&amp;" "&amp;Migrationsartikel!L324</f>
        <v xml:space="preserve">  </v>
      </c>
      <c r="T326" t="str">
        <f>Migrationsartikel!N324&amp;" "&amp;Migrationsartikel!O324&amp;" "&amp;Migrationsartikel!P324</f>
        <v xml:space="preserve">  </v>
      </c>
      <c r="U326">
        <f>Migrationsartikel!F324</f>
        <v>0</v>
      </c>
      <c r="V326">
        <f>Migrationsartikel!J324</f>
        <v>0</v>
      </c>
      <c r="W326">
        <f>Migrationsartikel!N324</f>
        <v>0</v>
      </c>
      <c r="X326">
        <f>Migrationsartikel!G324</f>
        <v>0</v>
      </c>
      <c r="Y326">
        <f>Migrationsartikel!K324</f>
        <v>0</v>
      </c>
      <c r="Z326">
        <f>Migrationsartikel!O324</f>
        <v>0</v>
      </c>
      <c r="AA326" s="31">
        <f>Migrationsartikel!H324</f>
        <v>0</v>
      </c>
      <c r="AB326" s="31">
        <f>Migrationsartikel!L324</f>
        <v>0</v>
      </c>
      <c r="AC326" s="31">
        <f>Migrationsartikel!P324</f>
        <v>0</v>
      </c>
      <c r="AD326">
        <f>Migrationsartikel!I324</f>
        <v>0</v>
      </c>
      <c r="AE326">
        <f>Migrationsartikel!M324</f>
        <v>0</v>
      </c>
      <c r="AF326">
        <f>Migrationsartikel!Q324</f>
        <v>0</v>
      </c>
      <c r="AG326" s="45">
        <f>Migrationsartikel!R324</f>
        <v>0</v>
      </c>
      <c r="AH326" s="46">
        <f>Migrationsartikel!T324</f>
        <v>0</v>
      </c>
      <c r="AI326" s="46" t="str">
        <f t="shared" si="15"/>
        <v>n/a</v>
      </c>
      <c r="AJ326" s="46" t="s">
        <v>176</v>
      </c>
      <c r="AK326">
        <f>Migrationsartikel!S324</f>
        <v>0</v>
      </c>
      <c r="AL326">
        <f>Migrationsartikel!S324</f>
        <v>0</v>
      </c>
      <c r="AM326">
        <f>Migrationsartikel!S324</f>
        <v>0</v>
      </c>
      <c r="AN326">
        <f>Migrationsartikel!U324</f>
        <v>0</v>
      </c>
      <c r="AO326" t="str">
        <f t="shared" si="16"/>
        <v>n/a</v>
      </c>
      <c r="AP326" t="str">
        <f t="shared" si="17"/>
        <v>n/a</v>
      </c>
      <c r="AQ326" s="31" t="s">
        <v>195</v>
      </c>
      <c r="AR326" s="47"/>
      <c r="AS326" s="47"/>
      <c r="AT326" s="31" t="s">
        <v>208</v>
      </c>
      <c r="AU326" s="47"/>
      <c r="AV326" s="47"/>
      <c r="AW326" t="b">
        <f>IF(Migrationsartikel!AB324="ja","true",FALSE)</f>
        <v>0</v>
      </c>
      <c r="AX326" t="b">
        <f>IF(Migrationsartikel!AC324="ja","true",FALSE)</f>
        <v>0</v>
      </c>
      <c r="AY326" t="b">
        <f>IF(Migrationsartikel!AD324="ja","true",FALSE)</f>
        <v>0</v>
      </c>
      <c r="AZ326" t="b">
        <f>IF(Migrationsartikel!AE324="ja","true",FALSE)</f>
        <v>0</v>
      </c>
      <c r="BA326" t="str">
        <f>IF(Migrationsartikel!AF324="ja","Denner Partner","")</f>
        <v/>
      </c>
      <c r="BB326" t="str">
        <f>IF(Migrationsartikel!AG324="ja","true","false")</f>
        <v>false</v>
      </c>
      <c r="BC326" t="s">
        <v>1923</v>
      </c>
      <c r="BD326" s="31" t="s">
        <v>235</v>
      </c>
      <c r="BE326" s="31" t="s">
        <v>233</v>
      </c>
    </row>
    <row r="327" spans="2:57" ht="21.75" customHeight="1" x14ac:dyDescent="0.45">
      <c r="B327" t="s">
        <v>115</v>
      </c>
      <c r="E327" s="31" t="s">
        <v>1753</v>
      </c>
      <c r="F327" t="str">
        <f>"Warengruppe&gt;&gt;"&amp;Migrationsartikel!V325&amp;"&gt;&gt;"&amp;Migrationsartikel!W325&amp;"&gt;&gt;"&amp;Migrationsartikel!X325</f>
        <v>Warengruppe&gt;&gt;&gt;&gt;&gt;&gt;</v>
      </c>
      <c r="J327" s="31" t="s">
        <v>125</v>
      </c>
      <c r="M327" s="31" t="s">
        <v>137</v>
      </c>
      <c r="P327" s="31">
        <f>Migrationsartikel!B325</f>
        <v>0</v>
      </c>
      <c r="R327" t="str">
        <f>Migrationsartikel!F325&amp;" "&amp;Migrationsartikel!G325&amp;" "&amp;Migrationsartikel!H325</f>
        <v xml:space="preserve">  </v>
      </c>
      <c r="S327" t="str">
        <f>Migrationsartikel!J325&amp;" "&amp;Migrationsartikel!K325&amp;" "&amp;Migrationsartikel!L325</f>
        <v xml:space="preserve">  </v>
      </c>
      <c r="T327" t="str">
        <f>Migrationsartikel!N325&amp;" "&amp;Migrationsartikel!O325&amp;" "&amp;Migrationsartikel!P325</f>
        <v xml:space="preserve">  </v>
      </c>
      <c r="U327">
        <f>Migrationsartikel!F325</f>
        <v>0</v>
      </c>
      <c r="V327">
        <f>Migrationsartikel!J325</f>
        <v>0</v>
      </c>
      <c r="W327">
        <f>Migrationsartikel!N325</f>
        <v>0</v>
      </c>
      <c r="X327">
        <f>Migrationsartikel!G325</f>
        <v>0</v>
      </c>
      <c r="Y327">
        <f>Migrationsartikel!K325</f>
        <v>0</v>
      </c>
      <c r="Z327">
        <f>Migrationsartikel!O325</f>
        <v>0</v>
      </c>
      <c r="AA327" s="31">
        <f>Migrationsartikel!H325</f>
        <v>0</v>
      </c>
      <c r="AB327" s="31">
        <f>Migrationsartikel!L325</f>
        <v>0</v>
      </c>
      <c r="AC327" s="31">
        <f>Migrationsartikel!P325</f>
        <v>0</v>
      </c>
      <c r="AD327">
        <f>Migrationsartikel!I325</f>
        <v>0</v>
      </c>
      <c r="AE327">
        <f>Migrationsartikel!M325</f>
        <v>0</v>
      </c>
      <c r="AF327">
        <f>Migrationsartikel!Q325</f>
        <v>0</v>
      </c>
      <c r="AG327" s="45">
        <f>Migrationsartikel!R325</f>
        <v>0</v>
      </c>
      <c r="AH327" s="46">
        <f>Migrationsartikel!T325</f>
        <v>0</v>
      </c>
      <c r="AI327" s="46" t="str">
        <f t="shared" si="15"/>
        <v>n/a</v>
      </c>
      <c r="AJ327" s="46" t="s">
        <v>176</v>
      </c>
      <c r="AK327">
        <f>Migrationsartikel!S325</f>
        <v>0</v>
      </c>
      <c r="AL327">
        <f>Migrationsartikel!S325</f>
        <v>0</v>
      </c>
      <c r="AM327">
        <f>Migrationsartikel!S325</f>
        <v>0</v>
      </c>
      <c r="AN327">
        <f>Migrationsartikel!U325</f>
        <v>0</v>
      </c>
      <c r="AO327" t="str">
        <f t="shared" si="16"/>
        <v>n/a</v>
      </c>
      <c r="AP327" t="str">
        <f t="shared" si="17"/>
        <v>n/a</v>
      </c>
      <c r="AQ327" s="31" t="s">
        <v>195</v>
      </c>
      <c r="AR327" s="47"/>
      <c r="AS327" s="47"/>
      <c r="AT327" s="31" t="s">
        <v>208</v>
      </c>
      <c r="AU327" s="47"/>
      <c r="AV327" s="47"/>
      <c r="AW327" t="b">
        <f>IF(Migrationsartikel!AB325="ja","true",FALSE)</f>
        <v>0</v>
      </c>
      <c r="AX327" t="b">
        <f>IF(Migrationsartikel!AC325="ja","true",FALSE)</f>
        <v>0</v>
      </c>
      <c r="AY327" t="b">
        <f>IF(Migrationsartikel!AD325="ja","true",FALSE)</f>
        <v>0</v>
      </c>
      <c r="AZ327" t="b">
        <f>IF(Migrationsartikel!AE325="ja","true",FALSE)</f>
        <v>0</v>
      </c>
      <c r="BA327" t="str">
        <f>IF(Migrationsartikel!AF325="ja","Denner Partner","")</f>
        <v/>
      </c>
      <c r="BB327" t="str">
        <f>IF(Migrationsartikel!AG325="ja","true","false")</f>
        <v>false</v>
      </c>
      <c r="BC327" t="s">
        <v>1923</v>
      </c>
      <c r="BD327" s="31" t="s">
        <v>235</v>
      </c>
      <c r="BE327" s="31" t="s">
        <v>233</v>
      </c>
    </row>
    <row r="328" spans="2:57" ht="21.75" customHeight="1" x14ac:dyDescent="0.45">
      <c r="B328" t="s">
        <v>115</v>
      </c>
      <c r="E328" s="31" t="s">
        <v>1754</v>
      </c>
      <c r="F328" t="str">
        <f>"Warengruppe&gt;&gt;"&amp;Migrationsartikel!V326&amp;"&gt;&gt;"&amp;Migrationsartikel!W326&amp;"&gt;&gt;"&amp;Migrationsartikel!X326</f>
        <v>Warengruppe&gt;&gt;&gt;&gt;&gt;&gt;</v>
      </c>
      <c r="J328" s="31" t="s">
        <v>125</v>
      </c>
      <c r="M328" s="31" t="s">
        <v>137</v>
      </c>
      <c r="P328" s="31">
        <f>Migrationsartikel!B326</f>
        <v>0</v>
      </c>
      <c r="R328" t="str">
        <f>Migrationsartikel!F326&amp;" "&amp;Migrationsartikel!G326&amp;" "&amp;Migrationsartikel!H326</f>
        <v xml:space="preserve">  </v>
      </c>
      <c r="S328" t="str">
        <f>Migrationsartikel!J326&amp;" "&amp;Migrationsartikel!K326&amp;" "&amp;Migrationsartikel!L326</f>
        <v xml:space="preserve">  </v>
      </c>
      <c r="T328" t="str">
        <f>Migrationsartikel!N326&amp;" "&amp;Migrationsartikel!O326&amp;" "&amp;Migrationsartikel!P326</f>
        <v xml:space="preserve">  </v>
      </c>
      <c r="U328">
        <f>Migrationsartikel!F326</f>
        <v>0</v>
      </c>
      <c r="V328">
        <f>Migrationsartikel!J326</f>
        <v>0</v>
      </c>
      <c r="W328">
        <f>Migrationsartikel!N326</f>
        <v>0</v>
      </c>
      <c r="X328">
        <f>Migrationsartikel!G326</f>
        <v>0</v>
      </c>
      <c r="Y328">
        <f>Migrationsartikel!K326</f>
        <v>0</v>
      </c>
      <c r="Z328">
        <f>Migrationsartikel!O326</f>
        <v>0</v>
      </c>
      <c r="AA328" s="31">
        <f>Migrationsartikel!H326</f>
        <v>0</v>
      </c>
      <c r="AB328" s="31">
        <f>Migrationsartikel!L326</f>
        <v>0</v>
      </c>
      <c r="AC328" s="31">
        <f>Migrationsartikel!P326</f>
        <v>0</v>
      </c>
      <c r="AD328">
        <f>Migrationsartikel!I326</f>
        <v>0</v>
      </c>
      <c r="AE328">
        <f>Migrationsartikel!M326</f>
        <v>0</v>
      </c>
      <c r="AF328">
        <f>Migrationsartikel!Q326</f>
        <v>0</v>
      </c>
      <c r="AG328" s="45">
        <f>Migrationsartikel!R326</f>
        <v>0</v>
      </c>
      <c r="AH328" s="46">
        <f>Migrationsartikel!T326</f>
        <v>0</v>
      </c>
      <c r="AI328" s="46" t="str">
        <f t="shared" si="15"/>
        <v>n/a</v>
      </c>
      <c r="AJ328" s="46" t="s">
        <v>176</v>
      </c>
      <c r="AK328">
        <f>Migrationsartikel!S326</f>
        <v>0</v>
      </c>
      <c r="AL328">
        <f>Migrationsartikel!S326</f>
        <v>0</v>
      </c>
      <c r="AM328">
        <f>Migrationsartikel!S326</f>
        <v>0</v>
      </c>
      <c r="AN328">
        <f>Migrationsartikel!U326</f>
        <v>0</v>
      </c>
      <c r="AO328" t="str">
        <f t="shared" si="16"/>
        <v>n/a</v>
      </c>
      <c r="AP328" t="str">
        <f t="shared" si="17"/>
        <v>n/a</v>
      </c>
      <c r="AQ328" s="31" t="s">
        <v>195</v>
      </c>
      <c r="AR328" s="47"/>
      <c r="AS328" s="47"/>
      <c r="AT328" s="31" t="s">
        <v>208</v>
      </c>
      <c r="AU328" s="47"/>
      <c r="AV328" s="47"/>
      <c r="AW328" t="b">
        <f>IF(Migrationsartikel!AB326="ja","true",FALSE)</f>
        <v>0</v>
      </c>
      <c r="AX328" t="b">
        <f>IF(Migrationsartikel!AC326="ja","true",FALSE)</f>
        <v>0</v>
      </c>
      <c r="AY328" t="b">
        <f>IF(Migrationsartikel!AD326="ja","true",FALSE)</f>
        <v>0</v>
      </c>
      <c r="AZ328" t="b">
        <f>IF(Migrationsartikel!AE326="ja","true",FALSE)</f>
        <v>0</v>
      </c>
      <c r="BA328" t="str">
        <f>IF(Migrationsartikel!AF326="ja","Denner Partner","")</f>
        <v/>
      </c>
      <c r="BB328" t="str">
        <f>IF(Migrationsartikel!AG326="ja","true","false")</f>
        <v>false</v>
      </c>
      <c r="BC328" t="s">
        <v>1923</v>
      </c>
      <c r="BD328" s="31" t="s">
        <v>235</v>
      </c>
      <c r="BE328" s="31" t="s">
        <v>233</v>
      </c>
    </row>
    <row r="329" spans="2:57" ht="21.75" customHeight="1" x14ac:dyDescent="0.45">
      <c r="B329" t="s">
        <v>115</v>
      </c>
      <c r="E329" s="31" t="s">
        <v>1755</v>
      </c>
      <c r="F329" t="str">
        <f>"Warengruppe&gt;&gt;"&amp;Migrationsartikel!V327&amp;"&gt;&gt;"&amp;Migrationsartikel!W327&amp;"&gt;&gt;"&amp;Migrationsartikel!X327</f>
        <v>Warengruppe&gt;&gt;&gt;&gt;&gt;&gt;</v>
      </c>
      <c r="J329" s="31" t="s">
        <v>125</v>
      </c>
      <c r="M329" s="31" t="s">
        <v>137</v>
      </c>
      <c r="P329" s="31">
        <f>Migrationsartikel!B327</f>
        <v>0</v>
      </c>
      <c r="R329" t="str">
        <f>Migrationsartikel!F327&amp;" "&amp;Migrationsartikel!G327&amp;" "&amp;Migrationsartikel!H327</f>
        <v xml:space="preserve">  </v>
      </c>
      <c r="S329" t="str">
        <f>Migrationsartikel!J327&amp;" "&amp;Migrationsartikel!K327&amp;" "&amp;Migrationsartikel!L327</f>
        <v xml:space="preserve">  </v>
      </c>
      <c r="T329" t="str">
        <f>Migrationsartikel!N327&amp;" "&amp;Migrationsartikel!O327&amp;" "&amp;Migrationsartikel!P327</f>
        <v xml:space="preserve">  </v>
      </c>
      <c r="U329">
        <f>Migrationsartikel!F327</f>
        <v>0</v>
      </c>
      <c r="V329">
        <f>Migrationsartikel!J327</f>
        <v>0</v>
      </c>
      <c r="W329">
        <f>Migrationsartikel!N327</f>
        <v>0</v>
      </c>
      <c r="X329">
        <f>Migrationsartikel!G327</f>
        <v>0</v>
      </c>
      <c r="Y329">
        <f>Migrationsartikel!K327</f>
        <v>0</v>
      </c>
      <c r="Z329">
        <f>Migrationsartikel!O327</f>
        <v>0</v>
      </c>
      <c r="AA329" s="31">
        <f>Migrationsartikel!H327</f>
        <v>0</v>
      </c>
      <c r="AB329" s="31">
        <f>Migrationsartikel!L327</f>
        <v>0</v>
      </c>
      <c r="AC329" s="31">
        <f>Migrationsartikel!P327</f>
        <v>0</v>
      </c>
      <c r="AD329">
        <f>Migrationsartikel!I327</f>
        <v>0</v>
      </c>
      <c r="AE329">
        <f>Migrationsartikel!M327</f>
        <v>0</v>
      </c>
      <c r="AF329">
        <f>Migrationsartikel!Q327</f>
        <v>0</v>
      </c>
      <c r="AG329" s="45">
        <f>Migrationsartikel!R327</f>
        <v>0</v>
      </c>
      <c r="AH329" s="46">
        <f>Migrationsartikel!T327</f>
        <v>0</v>
      </c>
      <c r="AI329" s="46" t="str">
        <f t="shared" si="15"/>
        <v>n/a</v>
      </c>
      <c r="AJ329" s="46" t="s">
        <v>176</v>
      </c>
      <c r="AK329">
        <f>Migrationsartikel!S327</f>
        <v>0</v>
      </c>
      <c r="AL329">
        <f>Migrationsartikel!S327</f>
        <v>0</v>
      </c>
      <c r="AM329">
        <f>Migrationsartikel!S327</f>
        <v>0</v>
      </c>
      <c r="AN329">
        <f>Migrationsartikel!U327</f>
        <v>0</v>
      </c>
      <c r="AO329" t="str">
        <f t="shared" si="16"/>
        <v>n/a</v>
      </c>
      <c r="AP329" t="str">
        <f t="shared" si="17"/>
        <v>n/a</v>
      </c>
      <c r="AQ329" s="31" t="s">
        <v>195</v>
      </c>
      <c r="AR329" s="47"/>
      <c r="AS329" s="47"/>
      <c r="AT329" s="31" t="s">
        <v>208</v>
      </c>
      <c r="AU329" s="47"/>
      <c r="AV329" s="47"/>
      <c r="AW329" t="b">
        <f>IF(Migrationsartikel!AB327="ja","true",FALSE)</f>
        <v>0</v>
      </c>
      <c r="AX329" t="b">
        <f>IF(Migrationsartikel!AC327="ja","true",FALSE)</f>
        <v>0</v>
      </c>
      <c r="AY329" t="b">
        <f>IF(Migrationsartikel!AD327="ja","true",FALSE)</f>
        <v>0</v>
      </c>
      <c r="AZ329" t="b">
        <f>IF(Migrationsartikel!AE327="ja","true",FALSE)</f>
        <v>0</v>
      </c>
      <c r="BA329" t="str">
        <f>IF(Migrationsartikel!AF327="ja","Denner Partner","")</f>
        <v/>
      </c>
      <c r="BB329" t="str">
        <f>IF(Migrationsartikel!AG327="ja","true","false")</f>
        <v>false</v>
      </c>
      <c r="BC329" t="s">
        <v>1923</v>
      </c>
      <c r="BD329" s="31" t="s">
        <v>235</v>
      </c>
      <c r="BE329" s="31" t="s">
        <v>233</v>
      </c>
    </row>
    <row r="330" spans="2:57" ht="21.75" customHeight="1" x14ac:dyDescent="0.45">
      <c r="B330" t="s">
        <v>115</v>
      </c>
      <c r="E330" s="31" t="s">
        <v>1756</v>
      </c>
      <c r="F330" t="str">
        <f>"Warengruppe&gt;&gt;"&amp;Migrationsartikel!V328&amp;"&gt;&gt;"&amp;Migrationsartikel!W328&amp;"&gt;&gt;"&amp;Migrationsartikel!X328</f>
        <v>Warengruppe&gt;&gt;&gt;&gt;&gt;&gt;</v>
      </c>
      <c r="J330" s="31" t="s">
        <v>125</v>
      </c>
      <c r="M330" s="31" t="s">
        <v>137</v>
      </c>
      <c r="P330" s="31">
        <f>Migrationsartikel!B328</f>
        <v>0</v>
      </c>
      <c r="R330" t="str">
        <f>Migrationsartikel!F328&amp;" "&amp;Migrationsartikel!G328&amp;" "&amp;Migrationsartikel!H328</f>
        <v xml:space="preserve">  </v>
      </c>
      <c r="S330" t="str">
        <f>Migrationsartikel!J328&amp;" "&amp;Migrationsartikel!K328&amp;" "&amp;Migrationsartikel!L328</f>
        <v xml:space="preserve">  </v>
      </c>
      <c r="T330" t="str">
        <f>Migrationsartikel!N328&amp;" "&amp;Migrationsartikel!O328&amp;" "&amp;Migrationsartikel!P328</f>
        <v xml:space="preserve">  </v>
      </c>
      <c r="U330">
        <f>Migrationsartikel!F328</f>
        <v>0</v>
      </c>
      <c r="V330">
        <f>Migrationsartikel!J328</f>
        <v>0</v>
      </c>
      <c r="W330">
        <f>Migrationsartikel!N328</f>
        <v>0</v>
      </c>
      <c r="X330">
        <f>Migrationsartikel!G328</f>
        <v>0</v>
      </c>
      <c r="Y330">
        <f>Migrationsartikel!K328</f>
        <v>0</v>
      </c>
      <c r="Z330">
        <f>Migrationsartikel!O328</f>
        <v>0</v>
      </c>
      <c r="AA330" s="31">
        <f>Migrationsartikel!H328</f>
        <v>0</v>
      </c>
      <c r="AB330" s="31">
        <f>Migrationsartikel!L328</f>
        <v>0</v>
      </c>
      <c r="AC330" s="31">
        <f>Migrationsartikel!P328</f>
        <v>0</v>
      </c>
      <c r="AD330">
        <f>Migrationsartikel!I328</f>
        <v>0</v>
      </c>
      <c r="AE330">
        <f>Migrationsartikel!M328</f>
        <v>0</v>
      </c>
      <c r="AF330">
        <f>Migrationsartikel!Q328</f>
        <v>0</v>
      </c>
      <c r="AG330" s="45">
        <f>Migrationsartikel!R328</f>
        <v>0</v>
      </c>
      <c r="AH330" s="46">
        <f>Migrationsartikel!T328</f>
        <v>0</v>
      </c>
      <c r="AI330" s="46" t="str">
        <f t="shared" si="15"/>
        <v>n/a</v>
      </c>
      <c r="AJ330" s="46" t="s">
        <v>176</v>
      </c>
      <c r="AK330">
        <f>Migrationsartikel!S328</f>
        <v>0</v>
      </c>
      <c r="AL330">
        <f>Migrationsartikel!S328</f>
        <v>0</v>
      </c>
      <c r="AM330">
        <f>Migrationsartikel!S328</f>
        <v>0</v>
      </c>
      <c r="AN330">
        <f>Migrationsartikel!U328</f>
        <v>0</v>
      </c>
      <c r="AO330" t="str">
        <f t="shared" si="16"/>
        <v>n/a</v>
      </c>
      <c r="AP330" t="str">
        <f t="shared" si="17"/>
        <v>n/a</v>
      </c>
      <c r="AQ330" s="31" t="s">
        <v>195</v>
      </c>
      <c r="AR330" s="47"/>
      <c r="AS330" s="47"/>
      <c r="AT330" s="31" t="s">
        <v>208</v>
      </c>
      <c r="AU330" s="47"/>
      <c r="AV330" s="47"/>
      <c r="AW330" t="b">
        <f>IF(Migrationsartikel!AB328="ja","true",FALSE)</f>
        <v>0</v>
      </c>
      <c r="AX330" t="b">
        <f>IF(Migrationsartikel!AC328="ja","true",FALSE)</f>
        <v>0</v>
      </c>
      <c r="AY330" t="b">
        <f>IF(Migrationsartikel!AD328="ja","true",FALSE)</f>
        <v>0</v>
      </c>
      <c r="AZ330" t="b">
        <f>IF(Migrationsartikel!AE328="ja","true",FALSE)</f>
        <v>0</v>
      </c>
      <c r="BA330" t="str">
        <f>IF(Migrationsartikel!AF328="ja","Denner Partner","")</f>
        <v/>
      </c>
      <c r="BB330" t="str">
        <f>IF(Migrationsartikel!AG328="ja","true","false")</f>
        <v>false</v>
      </c>
      <c r="BC330" t="s">
        <v>1923</v>
      </c>
      <c r="BD330" s="31" t="s">
        <v>235</v>
      </c>
      <c r="BE330" s="31" t="s">
        <v>233</v>
      </c>
    </row>
    <row r="331" spans="2:57" ht="21.75" customHeight="1" x14ac:dyDescent="0.45">
      <c r="B331" t="s">
        <v>115</v>
      </c>
      <c r="E331" s="31" t="s">
        <v>1757</v>
      </c>
      <c r="F331" t="str">
        <f>"Warengruppe&gt;&gt;"&amp;Migrationsartikel!V329&amp;"&gt;&gt;"&amp;Migrationsartikel!W329&amp;"&gt;&gt;"&amp;Migrationsartikel!X329</f>
        <v>Warengruppe&gt;&gt;&gt;&gt;&gt;&gt;</v>
      </c>
      <c r="J331" s="31" t="s">
        <v>125</v>
      </c>
      <c r="M331" s="31" t="s">
        <v>137</v>
      </c>
      <c r="P331" s="31">
        <f>Migrationsartikel!B329</f>
        <v>0</v>
      </c>
      <c r="S331"/>
      <c r="T331"/>
      <c r="U331">
        <f>Migrationsartikel!F329</f>
        <v>0</v>
      </c>
      <c r="V331">
        <f>Migrationsartikel!J329</f>
        <v>0</v>
      </c>
      <c r="W331">
        <f>Migrationsartikel!N329</f>
        <v>0</v>
      </c>
      <c r="X331">
        <f>Migrationsartikel!G329</f>
        <v>0</v>
      </c>
      <c r="Y331">
        <f>Migrationsartikel!K329</f>
        <v>0</v>
      </c>
      <c r="Z331">
        <f>Migrationsartikel!O329</f>
        <v>0</v>
      </c>
      <c r="AA331" s="31">
        <f>Migrationsartikel!H329</f>
        <v>0</v>
      </c>
      <c r="AB331" s="31">
        <f>Migrationsartikel!L329</f>
        <v>0</v>
      </c>
      <c r="AC331" s="31">
        <f>Migrationsartikel!P329</f>
        <v>0</v>
      </c>
      <c r="AD331">
        <f>Migrationsartikel!I329</f>
        <v>0</v>
      </c>
      <c r="AE331">
        <f>Migrationsartikel!M329</f>
        <v>0</v>
      </c>
      <c r="AF331">
        <f>Migrationsartikel!Q329</f>
        <v>0</v>
      </c>
      <c r="AG331" s="45">
        <f>Migrationsartikel!R329</f>
        <v>0</v>
      </c>
      <c r="AH331" s="46">
        <f>Migrationsartikel!T329</f>
        <v>0</v>
      </c>
      <c r="AI331" s="46" t="str">
        <f t="shared" si="15"/>
        <v>n/a</v>
      </c>
      <c r="AJ331" s="46" t="s">
        <v>176</v>
      </c>
      <c r="AK331">
        <f>Migrationsartikel!S329</f>
        <v>0</v>
      </c>
      <c r="AL331">
        <f>Migrationsartikel!S329</f>
        <v>0</v>
      </c>
      <c r="AM331">
        <f>Migrationsartikel!S329</f>
        <v>0</v>
      </c>
      <c r="AN331">
        <f>Migrationsartikel!U329</f>
        <v>0</v>
      </c>
      <c r="AO331" t="str">
        <f t="shared" si="16"/>
        <v>n/a</v>
      </c>
      <c r="AP331" t="str">
        <f t="shared" si="17"/>
        <v>n/a</v>
      </c>
      <c r="AQ331" s="31" t="s">
        <v>195</v>
      </c>
      <c r="AR331" s="47"/>
      <c r="AS331" s="47"/>
      <c r="AT331" s="31" t="s">
        <v>208</v>
      </c>
      <c r="AU331" s="47"/>
      <c r="AV331" s="47"/>
      <c r="AW331" t="b">
        <f>IF(Migrationsartikel!AB329="ja","true",FALSE)</f>
        <v>0</v>
      </c>
      <c r="AX331" t="b">
        <f>IF(Migrationsartikel!AC329="ja","true",FALSE)</f>
        <v>0</v>
      </c>
      <c r="AY331" t="b">
        <f>IF(Migrationsartikel!AD329="ja","true",FALSE)</f>
        <v>0</v>
      </c>
      <c r="AZ331" t="b">
        <f>IF(Migrationsartikel!AE329="ja","true",FALSE)</f>
        <v>0</v>
      </c>
      <c r="BA331" t="str">
        <f>IF(Migrationsartikel!AF329="ja","Denner Partner","")</f>
        <v/>
      </c>
      <c r="BB331" t="str">
        <f>IF(Migrationsartikel!AG329="ja","true","false")</f>
        <v>false</v>
      </c>
      <c r="BC331" t="s">
        <v>1923</v>
      </c>
      <c r="BD331" s="31" t="s">
        <v>235</v>
      </c>
      <c r="BE331" s="31" t="s">
        <v>233</v>
      </c>
    </row>
    <row r="332" spans="2:57" ht="21.75" customHeight="1" x14ac:dyDescent="0.45">
      <c r="B332" t="s">
        <v>115</v>
      </c>
      <c r="E332" s="31" t="s">
        <v>1758</v>
      </c>
      <c r="F332" t="str">
        <f>"Warengruppe&gt;&gt;"&amp;Migrationsartikel!V330&amp;"&gt;&gt;"&amp;Migrationsartikel!W330&amp;"&gt;&gt;"&amp;Migrationsartikel!X330</f>
        <v>Warengruppe&gt;&gt;&gt;&gt;&gt;&gt;</v>
      </c>
      <c r="J332" s="31" t="s">
        <v>125</v>
      </c>
      <c r="M332" s="31" t="s">
        <v>137</v>
      </c>
      <c r="P332" s="31">
        <f>Migrationsartikel!B330</f>
        <v>0</v>
      </c>
      <c r="S332"/>
      <c r="T332"/>
      <c r="U332">
        <f>Migrationsartikel!F330</f>
        <v>0</v>
      </c>
      <c r="V332">
        <f>Migrationsartikel!J330</f>
        <v>0</v>
      </c>
      <c r="W332">
        <f>Migrationsartikel!N330</f>
        <v>0</v>
      </c>
      <c r="X332">
        <f>Migrationsartikel!G330</f>
        <v>0</v>
      </c>
      <c r="Y332">
        <f>Migrationsartikel!K330</f>
        <v>0</v>
      </c>
      <c r="Z332">
        <f>Migrationsartikel!O330</f>
        <v>0</v>
      </c>
      <c r="AA332" s="31">
        <f>Migrationsartikel!H330</f>
        <v>0</v>
      </c>
      <c r="AB332" s="31">
        <f>Migrationsartikel!L330</f>
        <v>0</v>
      </c>
      <c r="AC332" s="31">
        <f>Migrationsartikel!P330</f>
        <v>0</v>
      </c>
      <c r="AD332">
        <f>Migrationsartikel!I330</f>
        <v>0</v>
      </c>
      <c r="AE332">
        <f>Migrationsartikel!M330</f>
        <v>0</v>
      </c>
      <c r="AF332">
        <f>Migrationsartikel!Q330</f>
        <v>0</v>
      </c>
      <c r="AG332" s="45">
        <f>Migrationsartikel!R330</f>
        <v>0</v>
      </c>
      <c r="AH332" s="46">
        <f>Migrationsartikel!T330</f>
        <v>0</v>
      </c>
      <c r="AI332" s="46" t="str">
        <f t="shared" si="15"/>
        <v>n/a</v>
      </c>
      <c r="AJ332" s="46" t="s">
        <v>176</v>
      </c>
      <c r="AK332">
        <f>Migrationsartikel!S330</f>
        <v>0</v>
      </c>
      <c r="AL332">
        <f>Migrationsartikel!S330</f>
        <v>0</v>
      </c>
      <c r="AM332">
        <f>Migrationsartikel!S330</f>
        <v>0</v>
      </c>
      <c r="AN332">
        <f>Migrationsartikel!U330</f>
        <v>0</v>
      </c>
      <c r="AO332" t="str">
        <f t="shared" si="16"/>
        <v>n/a</v>
      </c>
      <c r="AP332" t="str">
        <f t="shared" si="17"/>
        <v>n/a</v>
      </c>
      <c r="AQ332" s="31" t="s">
        <v>195</v>
      </c>
      <c r="AR332" s="47"/>
      <c r="AS332" s="47"/>
      <c r="AT332" s="31" t="s">
        <v>208</v>
      </c>
      <c r="AU332" s="47"/>
      <c r="AV332" s="47"/>
      <c r="AW332" t="b">
        <f>IF(Migrationsartikel!AB330="ja","true",FALSE)</f>
        <v>0</v>
      </c>
      <c r="AX332" t="b">
        <f>IF(Migrationsartikel!AC330="ja","true",FALSE)</f>
        <v>0</v>
      </c>
      <c r="AY332" t="b">
        <f>IF(Migrationsartikel!AD330="ja","true",FALSE)</f>
        <v>0</v>
      </c>
      <c r="AZ332" t="b">
        <f>IF(Migrationsartikel!AE330="ja","true",FALSE)</f>
        <v>0</v>
      </c>
      <c r="BA332" t="str">
        <f>IF(Migrationsartikel!AF330="ja","Denner Partner","")</f>
        <v/>
      </c>
      <c r="BB332" t="str">
        <f>IF(Migrationsartikel!AG330="ja","true","false")</f>
        <v>false</v>
      </c>
      <c r="BC332" t="s">
        <v>1923</v>
      </c>
      <c r="BD332" s="31" t="s">
        <v>235</v>
      </c>
      <c r="BE332" s="31" t="s">
        <v>233</v>
      </c>
    </row>
    <row r="333" spans="2:57" ht="21.75" customHeight="1" x14ac:dyDescent="0.45">
      <c r="B333" t="s">
        <v>115</v>
      </c>
      <c r="E333" s="31" t="s">
        <v>1759</v>
      </c>
      <c r="F333" t="str">
        <f>"Warengruppe&gt;&gt;"&amp;Migrationsartikel!V331&amp;"&gt;&gt;"&amp;Migrationsartikel!W331&amp;"&gt;&gt;"&amp;Migrationsartikel!X331</f>
        <v>Warengruppe&gt;&gt;&gt;&gt;&gt;&gt;</v>
      </c>
      <c r="J333" s="31" t="s">
        <v>125</v>
      </c>
      <c r="M333" s="31" t="s">
        <v>137</v>
      </c>
      <c r="P333" s="31">
        <f>Migrationsartikel!B331</f>
        <v>0</v>
      </c>
      <c r="S333"/>
      <c r="T333"/>
      <c r="U333">
        <f>Migrationsartikel!F331</f>
        <v>0</v>
      </c>
      <c r="V333">
        <f>Migrationsartikel!J331</f>
        <v>0</v>
      </c>
      <c r="W333">
        <f>Migrationsartikel!N331</f>
        <v>0</v>
      </c>
      <c r="X333">
        <f>Migrationsartikel!G331</f>
        <v>0</v>
      </c>
      <c r="Y333">
        <f>Migrationsartikel!K331</f>
        <v>0</v>
      </c>
      <c r="Z333">
        <f>Migrationsartikel!O331</f>
        <v>0</v>
      </c>
      <c r="AA333" s="31">
        <f>Migrationsartikel!H331</f>
        <v>0</v>
      </c>
      <c r="AB333" s="31">
        <f>Migrationsartikel!L331</f>
        <v>0</v>
      </c>
      <c r="AC333" s="31">
        <f>Migrationsartikel!P331</f>
        <v>0</v>
      </c>
      <c r="AD333">
        <f>Migrationsartikel!I331</f>
        <v>0</v>
      </c>
      <c r="AE333">
        <f>Migrationsartikel!M331</f>
        <v>0</v>
      </c>
      <c r="AF333">
        <f>Migrationsartikel!Q331</f>
        <v>0</v>
      </c>
      <c r="AG333" s="45">
        <f>Migrationsartikel!R331</f>
        <v>0</v>
      </c>
      <c r="AH333" s="46">
        <f>Migrationsartikel!T331</f>
        <v>0</v>
      </c>
      <c r="AI333" s="46" t="str">
        <f t="shared" si="15"/>
        <v>n/a</v>
      </c>
      <c r="AJ333" s="46" t="s">
        <v>176</v>
      </c>
      <c r="AK333">
        <f>Migrationsartikel!S331</f>
        <v>0</v>
      </c>
      <c r="AL333">
        <f>Migrationsartikel!S331</f>
        <v>0</v>
      </c>
      <c r="AM333">
        <f>Migrationsartikel!S331</f>
        <v>0</v>
      </c>
      <c r="AN333">
        <f>Migrationsartikel!U331</f>
        <v>0</v>
      </c>
      <c r="AO333" t="str">
        <f t="shared" si="16"/>
        <v>n/a</v>
      </c>
      <c r="AP333" t="str">
        <f t="shared" si="17"/>
        <v>n/a</v>
      </c>
      <c r="AQ333" s="31" t="s">
        <v>195</v>
      </c>
      <c r="AR333" s="47"/>
      <c r="AS333" s="47"/>
      <c r="AT333" s="31" t="s">
        <v>208</v>
      </c>
      <c r="AU333" s="47"/>
      <c r="AV333" s="47"/>
      <c r="AW333" t="b">
        <f>IF(Migrationsartikel!AB331="ja","true",FALSE)</f>
        <v>0</v>
      </c>
      <c r="AX333" t="b">
        <f>IF(Migrationsartikel!AC331="ja","true",FALSE)</f>
        <v>0</v>
      </c>
      <c r="AY333" t="b">
        <f>IF(Migrationsartikel!AD331="ja","true",FALSE)</f>
        <v>0</v>
      </c>
      <c r="AZ333" t="b">
        <f>IF(Migrationsartikel!AE331="ja","true",FALSE)</f>
        <v>0</v>
      </c>
      <c r="BA333" t="str">
        <f>IF(Migrationsartikel!AF331="ja","Denner Partner","")</f>
        <v/>
      </c>
      <c r="BB333" t="str">
        <f>IF(Migrationsartikel!AG331="ja","true","false")</f>
        <v>false</v>
      </c>
      <c r="BC333" t="s">
        <v>1923</v>
      </c>
      <c r="BD333" s="31" t="s">
        <v>235</v>
      </c>
      <c r="BE333" s="31" t="s">
        <v>233</v>
      </c>
    </row>
    <row r="334" spans="2:57" ht="21.75" customHeight="1" x14ac:dyDescent="0.45">
      <c r="B334" t="s">
        <v>115</v>
      </c>
      <c r="E334" s="31" t="s">
        <v>1760</v>
      </c>
      <c r="F334" t="str">
        <f>"Warengruppe&gt;&gt;"&amp;Migrationsartikel!V332&amp;"&gt;&gt;"&amp;Migrationsartikel!W332&amp;"&gt;&gt;"&amp;Migrationsartikel!X332</f>
        <v>Warengruppe&gt;&gt;&gt;&gt;&gt;&gt;</v>
      </c>
      <c r="J334" s="31" t="s">
        <v>125</v>
      </c>
      <c r="M334" s="31" t="s">
        <v>137</v>
      </c>
      <c r="P334" s="31">
        <f>Migrationsartikel!B332</f>
        <v>0</v>
      </c>
      <c r="S334"/>
      <c r="T334"/>
      <c r="U334">
        <f>Migrationsartikel!F332</f>
        <v>0</v>
      </c>
      <c r="V334">
        <f>Migrationsartikel!J332</f>
        <v>0</v>
      </c>
      <c r="W334">
        <f>Migrationsartikel!N332</f>
        <v>0</v>
      </c>
      <c r="X334">
        <f>Migrationsartikel!G332</f>
        <v>0</v>
      </c>
      <c r="Y334">
        <f>Migrationsartikel!K332</f>
        <v>0</v>
      </c>
      <c r="Z334">
        <f>Migrationsartikel!O332</f>
        <v>0</v>
      </c>
      <c r="AA334" s="31">
        <f>Migrationsartikel!H332</f>
        <v>0</v>
      </c>
      <c r="AB334" s="31">
        <f>Migrationsartikel!L332</f>
        <v>0</v>
      </c>
      <c r="AC334" s="31">
        <f>Migrationsartikel!P332</f>
        <v>0</v>
      </c>
      <c r="AD334">
        <f>Migrationsartikel!I332</f>
        <v>0</v>
      </c>
      <c r="AE334">
        <f>Migrationsartikel!M332</f>
        <v>0</v>
      </c>
      <c r="AF334">
        <f>Migrationsartikel!Q332</f>
        <v>0</v>
      </c>
      <c r="AG334" s="45">
        <f>Migrationsartikel!R332</f>
        <v>0</v>
      </c>
      <c r="AH334" s="46">
        <f>Migrationsartikel!T332</f>
        <v>0</v>
      </c>
      <c r="AI334" s="46" t="str">
        <f t="shared" si="15"/>
        <v>n/a</v>
      </c>
      <c r="AJ334" s="46" t="s">
        <v>176</v>
      </c>
      <c r="AK334">
        <f>Migrationsartikel!S332</f>
        <v>0</v>
      </c>
      <c r="AL334">
        <f>Migrationsartikel!S332</f>
        <v>0</v>
      </c>
      <c r="AM334">
        <f>Migrationsartikel!S332</f>
        <v>0</v>
      </c>
      <c r="AN334">
        <f>Migrationsartikel!U332</f>
        <v>0</v>
      </c>
      <c r="AO334" t="str">
        <f t="shared" si="16"/>
        <v>n/a</v>
      </c>
      <c r="AP334" t="str">
        <f t="shared" si="17"/>
        <v>n/a</v>
      </c>
      <c r="AQ334" s="31" t="s">
        <v>195</v>
      </c>
      <c r="AR334" s="47"/>
      <c r="AS334" s="47"/>
      <c r="AT334" s="31" t="s">
        <v>208</v>
      </c>
      <c r="AU334" s="47"/>
      <c r="AV334" s="47"/>
      <c r="AW334" t="b">
        <f>IF(Migrationsartikel!AB332="ja","true",FALSE)</f>
        <v>0</v>
      </c>
      <c r="AX334" t="b">
        <f>IF(Migrationsartikel!AC332="ja","true",FALSE)</f>
        <v>0</v>
      </c>
      <c r="AY334" t="b">
        <f>IF(Migrationsartikel!AD332="ja","true",FALSE)</f>
        <v>0</v>
      </c>
      <c r="AZ334" t="b">
        <f>IF(Migrationsartikel!AE332="ja","true",FALSE)</f>
        <v>0</v>
      </c>
      <c r="BA334" t="str">
        <f>IF(Migrationsartikel!AF332="ja","Denner Partner","")</f>
        <v/>
      </c>
      <c r="BB334" t="str">
        <f>IF(Migrationsartikel!AG332="ja","true","false")</f>
        <v>false</v>
      </c>
      <c r="BC334" t="s">
        <v>1923</v>
      </c>
      <c r="BD334" s="31" t="s">
        <v>235</v>
      </c>
      <c r="BE334" s="31" t="s">
        <v>233</v>
      </c>
    </row>
    <row r="335" spans="2:57" ht="21.75" customHeight="1" x14ac:dyDescent="0.45">
      <c r="B335" t="s">
        <v>115</v>
      </c>
      <c r="E335" s="31" t="s">
        <v>1761</v>
      </c>
      <c r="F335" t="str">
        <f>"Warengruppe&gt;&gt;"&amp;Migrationsartikel!V333&amp;"&gt;&gt;"&amp;Migrationsartikel!W333&amp;"&gt;&gt;"&amp;Migrationsartikel!X333</f>
        <v>Warengruppe&gt;&gt;&gt;&gt;&gt;&gt;</v>
      </c>
      <c r="J335" s="31" t="s">
        <v>125</v>
      </c>
      <c r="M335" s="31" t="s">
        <v>137</v>
      </c>
      <c r="P335" s="31">
        <f>Migrationsartikel!B333</f>
        <v>0</v>
      </c>
      <c r="S335"/>
      <c r="T335"/>
      <c r="U335">
        <f>Migrationsartikel!F333</f>
        <v>0</v>
      </c>
      <c r="V335">
        <f>Migrationsartikel!J333</f>
        <v>0</v>
      </c>
      <c r="W335">
        <f>Migrationsartikel!N333</f>
        <v>0</v>
      </c>
      <c r="X335">
        <f>Migrationsartikel!G333</f>
        <v>0</v>
      </c>
      <c r="Y335">
        <f>Migrationsartikel!K333</f>
        <v>0</v>
      </c>
      <c r="Z335">
        <f>Migrationsartikel!O333</f>
        <v>0</v>
      </c>
      <c r="AA335" s="31">
        <f>Migrationsartikel!H333</f>
        <v>0</v>
      </c>
      <c r="AB335" s="31">
        <f>Migrationsartikel!L333</f>
        <v>0</v>
      </c>
      <c r="AC335" s="31">
        <f>Migrationsartikel!P333</f>
        <v>0</v>
      </c>
      <c r="AD335">
        <f>Migrationsartikel!I333</f>
        <v>0</v>
      </c>
      <c r="AE335">
        <f>Migrationsartikel!M333</f>
        <v>0</v>
      </c>
      <c r="AF335">
        <f>Migrationsartikel!Q333</f>
        <v>0</v>
      </c>
      <c r="AG335" s="45">
        <f>Migrationsartikel!R333</f>
        <v>0</v>
      </c>
      <c r="AH335" s="46">
        <f>Migrationsartikel!T333</f>
        <v>0</v>
      </c>
      <c r="AI335" s="46" t="str">
        <f t="shared" si="15"/>
        <v>n/a</v>
      </c>
      <c r="AJ335" s="46" t="s">
        <v>176</v>
      </c>
      <c r="AK335">
        <f>Migrationsartikel!S333</f>
        <v>0</v>
      </c>
      <c r="AL335">
        <f>Migrationsartikel!S333</f>
        <v>0</v>
      </c>
      <c r="AM335">
        <f>Migrationsartikel!S333</f>
        <v>0</v>
      </c>
      <c r="AN335">
        <f>Migrationsartikel!U333</f>
        <v>0</v>
      </c>
      <c r="AO335" t="str">
        <f t="shared" si="16"/>
        <v>n/a</v>
      </c>
      <c r="AP335" t="str">
        <f t="shared" si="17"/>
        <v>n/a</v>
      </c>
      <c r="AQ335" s="31" t="s">
        <v>195</v>
      </c>
      <c r="AR335" s="47"/>
      <c r="AS335" s="47"/>
      <c r="AT335" s="31" t="s">
        <v>208</v>
      </c>
      <c r="AU335" s="47"/>
      <c r="AV335" s="47"/>
      <c r="AW335" t="b">
        <f>IF(Migrationsartikel!AB333="ja","true",FALSE)</f>
        <v>0</v>
      </c>
      <c r="AX335" t="b">
        <f>IF(Migrationsartikel!AC333="ja","true",FALSE)</f>
        <v>0</v>
      </c>
      <c r="AY335" t="b">
        <f>IF(Migrationsartikel!AD333="ja","true",FALSE)</f>
        <v>0</v>
      </c>
      <c r="AZ335" t="b">
        <f>IF(Migrationsartikel!AE333="ja","true",FALSE)</f>
        <v>0</v>
      </c>
      <c r="BA335" t="str">
        <f>IF(Migrationsartikel!AF333="ja","Denner Partner","")</f>
        <v/>
      </c>
      <c r="BB335" t="str">
        <f>IF(Migrationsartikel!AG333="ja","true","false")</f>
        <v>false</v>
      </c>
      <c r="BC335" t="s">
        <v>1923</v>
      </c>
      <c r="BD335" s="31" t="s">
        <v>235</v>
      </c>
      <c r="BE335" s="31" t="s">
        <v>233</v>
      </c>
    </row>
    <row r="336" spans="2:57" ht="21.75" customHeight="1" x14ac:dyDescent="0.45">
      <c r="B336" t="s">
        <v>115</v>
      </c>
      <c r="E336" s="31" t="s">
        <v>1762</v>
      </c>
      <c r="F336" t="str">
        <f>"Warengruppe&gt;&gt;"&amp;Migrationsartikel!V334&amp;"&gt;&gt;"&amp;Migrationsartikel!W334&amp;"&gt;&gt;"&amp;Migrationsartikel!X334</f>
        <v>Warengruppe&gt;&gt;&gt;&gt;&gt;&gt;</v>
      </c>
      <c r="J336" s="31" t="s">
        <v>125</v>
      </c>
      <c r="M336" s="31" t="s">
        <v>137</v>
      </c>
      <c r="P336" s="31">
        <f>Migrationsartikel!B334</f>
        <v>0</v>
      </c>
      <c r="S336"/>
      <c r="T336"/>
      <c r="U336">
        <f>Migrationsartikel!F334</f>
        <v>0</v>
      </c>
      <c r="V336">
        <f>Migrationsartikel!J334</f>
        <v>0</v>
      </c>
      <c r="W336">
        <f>Migrationsartikel!N334</f>
        <v>0</v>
      </c>
      <c r="X336">
        <f>Migrationsartikel!G334</f>
        <v>0</v>
      </c>
      <c r="Y336">
        <f>Migrationsartikel!K334</f>
        <v>0</v>
      </c>
      <c r="Z336">
        <f>Migrationsartikel!O334</f>
        <v>0</v>
      </c>
      <c r="AA336" s="31">
        <f>Migrationsartikel!H334</f>
        <v>0</v>
      </c>
      <c r="AB336" s="31">
        <f>Migrationsartikel!L334</f>
        <v>0</v>
      </c>
      <c r="AC336" s="31">
        <f>Migrationsartikel!P334</f>
        <v>0</v>
      </c>
      <c r="AD336">
        <f>Migrationsartikel!I334</f>
        <v>0</v>
      </c>
      <c r="AE336">
        <f>Migrationsartikel!M334</f>
        <v>0</v>
      </c>
      <c r="AF336">
        <f>Migrationsartikel!Q334</f>
        <v>0</v>
      </c>
      <c r="AG336" s="45">
        <f>Migrationsartikel!R334</f>
        <v>0</v>
      </c>
      <c r="AH336" s="46">
        <f>Migrationsartikel!T334</f>
        <v>0</v>
      </c>
      <c r="AI336" s="46" t="str">
        <f t="shared" si="15"/>
        <v>n/a</v>
      </c>
      <c r="AJ336" s="46" t="s">
        <v>176</v>
      </c>
      <c r="AK336">
        <f>Migrationsartikel!S334</f>
        <v>0</v>
      </c>
      <c r="AL336">
        <f>Migrationsartikel!S334</f>
        <v>0</v>
      </c>
      <c r="AM336">
        <f>Migrationsartikel!S334</f>
        <v>0</v>
      </c>
      <c r="AN336">
        <f>Migrationsartikel!U334</f>
        <v>0</v>
      </c>
      <c r="AO336" t="str">
        <f t="shared" si="16"/>
        <v>n/a</v>
      </c>
      <c r="AP336" t="str">
        <f t="shared" si="17"/>
        <v>n/a</v>
      </c>
      <c r="AQ336" s="31" t="s">
        <v>195</v>
      </c>
      <c r="AR336" s="47"/>
      <c r="AS336" s="47"/>
      <c r="AT336" s="31" t="s">
        <v>208</v>
      </c>
      <c r="AU336" s="47"/>
      <c r="AV336" s="47"/>
      <c r="AW336" t="b">
        <f>IF(Migrationsartikel!AB334="ja","true",FALSE)</f>
        <v>0</v>
      </c>
      <c r="AX336" t="b">
        <f>IF(Migrationsartikel!AC334="ja","true",FALSE)</f>
        <v>0</v>
      </c>
      <c r="AY336" t="b">
        <f>IF(Migrationsartikel!AD334="ja","true",FALSE)</f>
        <v>0</v>
      </c>
      <c r="AZ336" t="b">
        <f>IF(Migrationsartikel!AE334="ja","true",FALSE)</f>
        <v>0</v>
      </c>
      <c r="BA336" t="str">
        <f>IF(Migrationsartikel!AF334="ja","Denner Partner","")</f>
        <v/>
      </c>
      <c r="BB336" t="str">
        <f>IF(Migrationsartikel!AG334="ja","true","false")</f>
        <v>false</v>
      </c>
      <c r="BC336" t="s">
        <v>1923</v>
      </c>
      <c r="BD336" s="31" t="s">
        <v>235</v>
      </c>
      <c r="BE336" s="31" t="s">
        <v>233</v>
      </c>
    </row>
    <row r="337" spans="2:57" ht="21.75" customHeight="1" x14ac:dyDescent="0.45">
      <c r="B337" t="s">
        <v>115</v>
      </c>
      <c r="E337" s="31" t="s">
        <v>1763</v>
      </c>
      <c r="F337" t="str">
        <f>"Warengruppe&gt;&gt;"&amp;Migrationsartikel!V335&amp;"&gt;&gt;"&amp;Migrationsartikel!W335&amp;"&gt;&gt;"&amp;Migrationsartikel!X335</f>
        <v>Warengruppe&gt;&gt;&gt;&gt;&gt;&gt;</v>
      </c>
      <c r="J337" s="31" t="s">
        <v>125</v>
      </c>
      <c r="M337" s="31" t="s">
        <v>137</v>
      </c>
      <c r="P337" s="31">
        <f>Migrationsartikel!B335</f>
        <v>0</v>
      </c>
      <c r="S337"/>
      <c r="T337"/>
      <c r="U337">
        <f>Migrationsartikel!F335</f>
        <v>0</v>
      </c>
      <c r="V337">
        <f>Migrationsartikel!J335</f>
        <v>0</v>
      </c>
      <c r="W337">
        <f>Migrationsartikel!N335</f>
        <v>0</v>
      </c>
      <c r="X337">
        <f>Migrationsartikel!G335</f>
        <v>0</v>
      </c>
      <c r="Y337">
        <f>Migrationsartikel!K335</f>
        <v>0</v>
      </c>
      <c r="Z337">
        <f>Migrationsartikel!O335</f>
        <v>0</v>
      </c>
      <c r="AA337" s="31">
        <f>Migrationsartikel!H335</f>
        <v>0</v>
      </c>
      <c r="AB337" s="31">
        <f>Migrationsartikel!L335</f>
        <v>0</v>
      </c>
      <c r="AC337" s="31">
        <f>Migrationsartikel!P335</f>
        <v>0</v>
      </c>
      <c r="AD337">
        <f>Migrationsartikel!I335</f>
        <v>0</v>
      </c>
      <c r="AE337">
        <f>Migrationsartikel!M335</f>
        <v>0</v>
      </c>
      <c r="AF337">
        <f>Migrationsartikel!Q335</f>
        <v>0</v>
      </c>
      <c r="AG337" s="45">
        <f>Migrationsartikel!R335</f>
        <v>0</v>
      </c>
      <c r="AH337" s="46">
        <f>Migrationsartikel!T335</f>
        <v>0</v>
      </c>
      <c r="AI337" s="46" t="str">
        <f t="shared" si="15"/>
        <v>n/a</v>
      </c>
      <c r="AJ337" s="46" t="s">
        <v>176</v>
      </c>
      <c r="AK337">
        <f>Migrationsartikel!S335</f>
        <v>0</v>
      </c>
      <c r="AL337">
        <f>Migrationsartikel!S335</f>
        <v>0</v>
      </c>
      <c r="AM337">
        <f>Migrationsartikel!S335</f>
        <v>0</v>
      </c>
      <c r="AN337">
        <f>Migrationsartikel!U335</f>
        <v>0</v>
      </c>
      <c r="AO337" t="str">
        <f t="shared" si="16"/>
        <v>n/a</v>
      </c>
      <c r="AP337" t="str">
        <f t="shared" si="17"/>
        <v>n/a</v>
      </c>
      <c r="AQ337" s="31" t="s">
        <v>195</v>
      </c>
      <c r="AR337" s="47"/>
      <c r="AS337" s="47"/>
      <c r="AT337" s="31" t="s">
        <v>208</v>
      </c>
      <c r="AU337" s="47"/>
      <c r="AV337" s="47"/>
      <c r="AW337" t="b">
        <f>IF(Migrationsartikel!AB335="ja","true",FALSE)</f>
        <v>0</v>
      </c>
      <c r="AX337" t="b">
        <f>IF(Migrationsartikel!AC335="ja","true",FALSE)</f>
        <v>0</v>
      </c>
      <c r="AY337" t="b">
        <f>IF(Migrationsartikel!AD335="ja","true",FALSE)</f>
        <v>0</v>
      </c>
      <c r="AZ337" t="b">
        <f>IF(Migrationsartikel!AE335="ja","true",FALSE)</f>
        <v>0</v>
      </c>
      <c r="BA337" t="str">
        <f>IF(Migrationsartikel!AF335="ja","Denner Partner","")</f>
        <v/>
      </c>
      <c r="BB337" t="str">
        <f>IF(Migrationsartikel!AG335="ja","true","false")</f>
        <v>false</v>
      </c>
      <c r="BC337" t="s">
        <v>1923</v>
      </c>
      <c r="BD337" s="31" t="s">
        <v>235</v>
      </c>
      <c r="BE337" s="31" t="s">
        <v>233</v>
      </c>
    </row>
    <row r="338" spans="2:57" ht="21.75" customHeight="1" x14ac:dyDescent="0.45">
      <c r="B338" t="s">
        <v>115</v>
      </c>
      <c r="E338" s="31" t="s">
        <v>1764</v>
      </c>
      <c r="F338" t="str">
        <f>"Warengruppe&gt;&gt;"&amp;Migrationsartikel!V336&amp;"&gt;&gt;"&amp;Migrationsartikel!W336&amp;"&gt;&gt;"&amp;Migrationsartikel!X336</f>
        <v>Warengruppe&gt;&gt;&gt;&gt;&gt;&gt;</v>
      </c>
      <c r="J338" s="31" t="s">
        <v>125</v>
      </c>
      <c r="M338" s="31" t="s">
        <v>137</v>
      </c>
      <c r="P338" s="31">
        <f>Migrationsartikel!B336</f>
        <v>0</v>
      </c>
      <c r="S338"/>
      <c r="T338"/>
      <c r="U338">
        <f>Migrationsartikel!F336</f>
        <v>0</v>
      </c>
      <c r="V338">
        <f>Migrationsartikel!J336</f>
        <v>0</v>
      </c>
      <c r="W338">
        <f>Migrationsartikel!N336</f>
        <v>0</v>
      </c>
      <c r="X338">
        <f>Migrationsartikel!G336</f>
        <v>0</v>
      </c>
      <c r="Y338">
        <f>Migrationsartikel!K336</f>
        <v>0</v>
      </c>
      <c r="Z338">
        <f>Migrationsartikel!O336</f>
        <v>0</v>
      </c>
      <c r="AA338" s="31">
        <f>Migrationsartikel!H336</f>
        <v>0</v>
      </c>
      <c r="AB338" s="31">
        <f>Migrationsartikel!L336</f>
        <v>0</v>
      </c>
      <c r="AC338" s="31">
        <f>Migrationsartikel!P336</f>
        <v>0</v>
      </c>
      <c r="AD338">
        <f>Migrationsartikel!I336</f>
        <v>0</v>
      </c>
      <c r="AE338">
        <f>Migrationsartikel!M336</f>
        <v>0</v>
      </c>
      <c r="AF338">
        <f>Migrationsartikel!Q336</f>
        <v>0</v>
      </c>
      <c r="AG338" s="45">
        <f>Migrationsartikel!R336</f>
        <v>0</v>
      </c>
      <c r="AH338" s="46">
        <f>Migrationsartikel!T336</f>
        <v>0</v>
      </c>
      <c r="AI338" s="46" t="str">
        <f t="shared" si="15"/>
        <v>n/a</v>
      </c>
      <c r="AJ338" s="46" t="s">
        <v>176</v>
      </c>
      <c r="AK338">
        <f>Migrationsartikel!S336</f>
        <v>0</v>
      </c>
      <c r="AL338">
        <f>Migrationsartikel!S336</f>
        <v>0</v>
      </c>
      <c r="AM338">
        <f>Migrationsartikel!S336</f>
        <v>0</v>
      </c>
      <c r="AN338">
        <f>Migrationsartikel!U336</f>
        <v>0</v>
      </c>
      <c r="AO338" t="str">
        <f t="shared" si="16"/>
        <v>n/a</v>
      </c>
      <c r="AP338" t="str">
        <f t="shared" si="17"/>
        <v>n/a</v>
      </c>
      <c r="AQ338" s="31" t="s">
        <v>195</v>
      </c>
      <c r="AR338" s="47"/>
      <c r="AS338" s="47"/>
      <c r="AT338" s="31" t="s">
        <v>208</v>
      </c>
      <c r="AU338" s="47"/>
      <c r="AV338" s="47"/>
      <c r="AW338" t="b">
        <f>IF(Migrationsartikel!AB336="ja","true",FALSE)</f>
        <v>0</v>
      </c>
      <c r="AX338" t="b">
        <f>IF(Migrationsartikel!AC336="ja","true",FALSE)</f>
        <v>0</v>
      </c>
      <c r="AY338" t="b">
        <f>IF(Migrationsartikel!AD336="ja","true",FALSE)</f>
        <v>0</v>
      </c>
      <c r="AZ338" t="b">
        <f>IF(Migrationsartikel!AE336="ja","true",FALSE)</f>
        <v>0</v>
      </c>
      <c r="BA338" t="str">
        <f>IF(Migrationsartikel!AF336="ja","Denner Partner","")</f>
        <v/>
      </c>
      <c r="BB338" t="str">
        <f>IF(Migrationsartikel!AG336="ja","true","false")</f>
        <v>false</v>
      </c>
      <c r="BC338" t="s">
        <v>1923</v>
      </c>
      <c r="BD338" s="31" t="s">
        <v>235</v>
      </c>
      <c r="BE338" s="31" t="s">
        <v>233</v>
      </c>
    </row>
    <row r="339" spans="2:57" ht="21.75" customHeight="1" x14ac:dyDescent="0.45">
      <c r="B339" t="s">
        <v>115</v>
      </c>
      <c r="E339" s="31" t="s">
        <v>1765</v>
      </c>
      <c r="F339" t="str">
        <f>"Warengruppe&gt;&gt;"&amp;Migrationsartikel!V337&amp;"&gt;&gt;"&amp;Migrationsartikel!W337&amp;"&gt;&gt;"&amp;Migrationsartikel!X337</f>
        <v>Warengruppe&gt;&gt;&gt;&gt;&gt;&gt;</v>
      </c>
      <c r="J339" s="31" t="s">
        <v>125</v>
      </c>
      <c r="M339" s="31" t="s">
        <v>137</v>
      </c>
      <c r="P339" s="31">
        <f>Migrationsartikel!B337</f>
        <v>0</v>
      </c>
      <c r="S339"/>
      <c r="T339"/>
      <c r="U339">
        <f>Migrationsartikel!F337</f>
        <v>0</v>
      </c>
      <c r="V339">
        <f>Migrationsartikel!J337</f>
        <v>0</v>
      </c>
      <c r="W339">
        <f>Migrationsartikel!N337</f>
        <v>0</v>
      </c>
      <c r="X339">
        <f>Migrationsartikel!G337</f>
        <v>0</v>
      </c>
      <c r="Y339">
        <f>Migrationsartikel!K337</f>
        <v>0</v>
      </c>
      <c r="Z339">
        <f>Migrationsartikel!O337</f>
        <v>0</v>
      </c>
      <c r="AA339" s="31">
        <f>Migrationsartikel!H337</f>
        <v>0</v>
      </c>
      <c r="AB339" s="31">
        <f>Migrationsartikel!L337</f>
        <v>0</v>
      </c>
      <c r="AC339" s="31">
        <f>Migrationsartikel!P337</f>
        <v>0</v>
      </c>
      <c r="AD339">
        <f>Migrationsartikel!I337</f>
        <v>0</v>
      </c>
      <c r="AE339">
        <f>Migrationsartikel!M337</f>
        <v>0</v>
      </c>
      <c r="AF339">
        <f>Migrationsartikel!Q337</f>
        <v>0</v>
      </c>
      <c r="AG339" s="45">
        <f>Migrationsartikel!R337</f>
        <v>0</v>
      </c>
      <c r="AH339" s="46">
        <f>Migrationsartikel!T337</f>
        <v>0</v>
      </c>
      <c r="AI339" s="46" t="str">
        <f t="shared" si="15"/>
        <v>n/a</v>
      </c>
      <c r="AJ339" s="46" t="s">
        <v>176</v>
      </c>
      <c r="AK339">
        <f>Migrationsartikel!S337</f>
        <v>0</v>
      </c>
      <c r="AL339">
        <f>Migrationsartikel!S337</f>
        <v>0</v>
      </c>
      <c r="AM339">
        <f>Migrationsartikel!S337</f>
        <v>0</v>
      </c>
      <c r="AN339">
        <f>Migrationsartikel!U337</f>
        <v>0</v>
      </c>
      <c r="AO339" t="str">
        <f t="shared" si="16"/>
        <v>n/a</v>
      </c>
      <c r="AP339" t="str">
        <f t="shared" si="17"/>
        <v>n/a</v>
      </c>
      <c r="AQ339" s="31" t="s">
        <v>195</v>
      </c>
      <c r="AR339" s="47"/>
      <c r="AS339" s="47"/>
      <c r="AT339" s="31" t="s">
        <v>208</v>
      </c>
      <c r="AU339" s="47"/>
      <c r="AV339" s="47"/>
      <c r="AW339" t="b">
        <f>IF(Migrationsartikel!AB337="ja","true",FALSE)</f>
        <v>0</v>
      </c>
      <c r="AX339" t="b">
        <f>IF(Migrationsartikel!AC337="ja","true",FALSE)</f>
        <v>0</v>
      </c>
      <c r="AY339" t="b">
        <f>IF(Migrationsartikel!AD337="ja","true",FALSE)</f>
        <v>0</v>
      </c>
      <c r="AZ339" t="b">
        <f>IF(Migrationsartikel!AE337="ja","true",FALSE)</f>
        <v>0</v>
      </c>
      <c r="BA339" t="str">
        <f>IF(Migrationsartikel!AF337="ja","Denner Partner","")</f>
        <v/>
      </c>
      <c r="BB339" t="str">
        <f>IF(Migrationsartikel!AG337="ja","true","false")</f>
        <v>false</v>
      </c>
      <c r="BC339" t="s">
        <v>1923</v>
      </c>
      <c r="BD339" s="31" t="s">
        <v>235</v>
      </c>
      <c r="BE339" s="31" t="s">
        <v>233</v>
      </c>
    </row>
    <row r="340" spans="2:57" ht="21.75" customHeight="1" x14ac:dyDescent="0.45">
      <c r="B340" t="s">
        <v>115</v>
      </c>
      <c r="E340" s="31" t="s">
        <v>1766</v>
      </c>
      <c r="F340" t="str">
        <f>"Warengruppe&gt;&gt;"&amp;Migrationsartikel!V338&amp;"&gt;&gt;"&amp;Migrationsartikel!W338&amp;"&gt;&gt;"&amp;Migrationsartikel!X338</f>
        <v>Warengruppe&gt;&gt;&gt;&gt;&gt;&gt;</v>
      </c>
      <c r="J340" s="31" t="s">
        <v>125</v>
      </c>
      <c r="M340" s="31" t="s">
        <v>137</v>
      </c>
      <c r="P340" s="31">
        <f>Migrationsartikel!B338</f>
        <v>0</v>
      </c>
      <c r="S340"/>
      <c r="T340"/>
      <c r="U340">
        <f>Migrationsartikel!F338</f>
        <v>0</v>
      </c>
      <c r="V340">
        <f>Migrationsartikel!J338</f>
        <v>0</v>
      </c>
      <c r="W340">
        <f>Migrationsartikel!N338</f>
        <v>0</v>
      </c>
      <c r="X340">
        <f>Migrationsartikel!G338</f>
        <v>0</v>
      </c>
      <c r="Y340">
        <f>Migrationsartikel!K338</f>
        <v>0</v>
      </c>
      <c r="Z340">
        <f>Migrationsartikel!O338</f>
        <v>0</v>
      </c>
      <c r="AA340" s="31">
        <f>Migrationsartikel!H338</f>
        <v>0</v>
      </c>
      <c r="AB340" s="31">
        <f>Migrationsartikel!L338</f>
        <v>0</v>
      </c>
      <c r="AC340" s="31">
        <f>Migrationsartikel!P338</f>
        <v>0</v>
      </c>
      <c r="AD340">
        <f>Migrationsartikel!I338</f>
        <v>0</v>
      </c>
      <c r="AE340">
        <f>Migrationsartikel!M338</f>
        <v>0</v>
      </c>
      <c r="AF340">
        <f>Migrationsartikel!Q338</f>
        <v>0</v>
      </c>
      <c r="AG340" s="45">
        <f>Migrationsartikel!R338</f>
        <v>0</v>
      </c>
      <c r="AH340" s="46">
        <f>Migrationsartikel!T338</f>
        <v>0</v>
      </c>
      <c r="AI340" s="46" t="str">
        <f t="shared" si="15"/>
        <v>n/a</v>
      </c>
      <c r="AJ340" s="46" t="s">
        <v>176</v>
      </c>
      <c r="AK340">
        <f>Migrationsartikel!S338</f>
        <v>0</v>
      </c>
      <c r="AL340">
        <f>Migrationsartikel!S338</f>
        <v>0</v>
      </c>
      <c r="AM340">
        <f>Migrationsartikel!S338</f>
        <v>0</v>
      </c>
      <c r="AN340">
        <f>Migrationsartikel!U338</f>
        <v>0</v>
      </c>
      <c r="AO340" t="str">
        <f t="shared" si="16"/>
        <v>n/a</v>
      </c>
      <c r="AP340" t="str">
        <f t="shared" si="17"/>
        <v>n/a</v>
      </c>
      <c r="AQ340" s="31" t="s">
        <v>195</v>
      </c>
      <c r="AR340" s="47"/>
      <c r="AS340" s="47"/>
      <c r="AT340" s="31" t="s">
        <v>208</v>
      </c>
      <c r="AU340" s="47"/>
      <c r="AV340" s="47"/>
      <c r="AW340" t="b">
        <f>IF(Migrationsartikel!AB338="ja","true",FALSE)</f>
        <v>0</v>
      </c>
      <c r="AX340" t="b">
        <f>IF(Migrationsartikel!AC338="ja","true",FALSE)</f>
        <v>0</v>
      </c>
      <c r="AY340" t="b">
        <f>IF(Migrationsartikel!AD338="ja","true",FALSE)</f>
        <v>0</v>
      </c>
      <c r="AZ340" t="b">
        <f>IF(Migrationsartikel!AE338="ja","true",FALSE)</f>
        <v>0</v>
      </c>
      <c r="BA340" t="str">
        <f>IF(Migrationsartikel!AF338="ja","Denner Partner","")</f>
        <v/>
      </c>
      <c r="BB340" t="str">
        <f>IF(Migrationsartikel!AG338="ja","true","false")</f>
        <v>false</v>
      </c>
      <c r="BC340" t="s">
        <v>1923</v>
      </c>
      <c r="BD340" s="31" t="s">
        <v>235</v>
      </c>
      <c r="BE340" s="31" t="s">
        <v>233</v>
      </c>
    </row>
    <row r="341" spans="2:57" ht="21.75" customHeight="1" x14ac:dyDescent="0.45">
      <c r="B341" t="s">
        <v>115</v>
      </c>
      <c r="E341" s="31" t="s">
        <v>1767</v>
      </c>
      <c r="F341" t="str">
        <f>"Warengruppe&gt;&gt;"&amp;Migrationsartikel!V339&amp;"&gt;&gt;"&amp;Migrationsartikel!W339&amp;"&gt;&gt;"&amp;Migrationsartikel!X339</f>
        <v>Warengruppe&gt;&gt;&gt;&gt;&gt;&gt;</v>
      </c>
      <c r="J341" s="31" t="s">
        <v>125</v>
      </c>
      <c r="M341" s="31" t="s">
        <v>137</v>
      </c>
      <c r="P341" s="31">
        <f>Migrationsartikel!B339</f>
        <v>0</v>
      </c>
      <c r="S341"/>
      <c r="T341"/>
      <c r="U341">
        <f>Migrationsartikel!F339</f>
        <v>0</v>
      </c>
      <c r="V341">
        <f>Migrationsartikel!J339</f>
        <v>0</v>
      </c>
      <c r="W341">
        <f>Migrationsartikel!N339</f>
        <v>0</v>
      </c>
      <c r="X341">
        <f>Migrationsartikel!G339</f>
        <v>0</v>
      </c>
      <c r="Y341">
        <f>Migrationsartikel!K339</f>
        <v>0</v>
      </c>
      <c r="Z341">
        <f>Migrationsartikel!O339</f>
        <v>0</v>
      </c>
      <c r="AA341" s="31">
        <f>Migrationsartikel!H339</f>
        <v>0</v>
      </c>
      <c r="AB341" s="31">
        <f>Migrationsartikel!L339</f>
        <v>0</v>
      </c>
      <c r="AC341" s="31">
        <f>Migrationsartikel!P339</f>
        <v>0</v>
      </c>
      <c r="AD341">
        <f>Migrationsartikel!I339</f>
        <v>0</v>
      </c>
      <c r="AE341">
        <f>Migrationsartikel!M339</f>
        <v>0</v>
      </c>
      <c r="AF341">
        <f>Migrationsartikel!Q339</f>
        <v>0</v>
      </c>
      <c r="AG341" s="45">
        <f>Migrationsartikel!R339</f>
        <v>0</v>
      </c>
      <c r="AH341" s="46">
        <f>Migrationsartikel!T339</f>
        <v>0</v>
      </c>
      <c r="AI341" s="46" t="str">
        <f t="shared" si="15"/>
        <v>n/a</v>
      </c>
      <c r="AJ341" s="46" t="s">
        <v>176</v>
      </c>
      <c r="AK341">
        <f>Migrationsartikel!S339</f>
        <v>0</v>
      </c>
      <c r="AL341">
        <f>Migrationsartikel!S339</f>
        <v>0</v>
      </c>
      <c r="AM341">
        <f>Migrationsartikel!S339</f>
        <v>0</v>
      </c>
      <c r="AN341">
        <f>Migrationsartikel!U339</f>
        <v>0</v>
      </c>
      <c r="AO341" t="str">
        <f t="shared" si="16"/>
        <v>n/a</v>
      </c>
      <c r="AP341" t="str">
        <f t="shared" si="17"/>
        <v>n/a</v>
      </c>
      <c r="AQ341" s="31" t="s">
        <v>195</v>
      </c>
      <c r="AR341" s="47"/>
      <c r="AS341" s="47"/>
      <c r="AT341" s="31" t="s">
        <v>208</v>
      </c>
      <c r="AU341" s="47"/>
      <c r="AV341" s="47"/>
      <c r="AW341" t="b">
        <f>IF(Migrationsartikel!AB339="ja","true",FALSE)</f>
        <v>0</v>
      </c>
      <c r="AX341" t="b">
        <f>IF(Migrationsartikel!AC339="ja","true",FALSE)</f>
        <v>0</v>
      </c>
      <c r="AY341" t="b">
        <f>IF(Migrationsartikel!AD339="ja","true",FALSE)</f>
        <v>0</v>
      </c>
      <c r="AZ341" t="b">
        <f>IF(Migrationsartikel!AE339="ja","true",FALSE)</f>
        <v>0</v>
      </c>
      <c r="BA341" t="str">
        <f>IF(Migrationsartikel!AF339="ja","Denner Partner","")</f>
        <v/>
      </c>
      <c r="BB341" t="str">
        <f>IF(Migrationsartikel!AG339="ja","true","false")</f>
        <v>false</v>
      </c>
      <c r="BC341" t="s">
        <v>1923</v>
      </c>
      <c r="BD341" s="31" t="s">
        <v>235</v>
      </c>
      <c r="BE341" s="31" t="s">
        <v>233</v>
      </c>
    </row>
    <row r="342" spans="2:57" ht="21.75" customHeight="1" x14ac:dyDescent="0.45">
      <c r="B342" t="s">
        <v>115</v>
      </c>
      <c r="E342" s="31" t="s">
        <v>1768</v>
      </c>
      <c r="F342" t="str">
        <f>"Warengruppe&gt;&gt;"&amp;Migrationsartikel!V340&amp;"&gt;&gt;"&amp;Migrationsartikel!W340&amp;"&gt;&gt;"&amp;Migrationsartikel!X340</f>
        <v>Warengruppe&gt;&gt;&gt;&gt;&gt;&gt;</v>
      </c>
      <c r="J342" s="31" t="s">
        <v>125</v>
      </c>
      <c r="M342" s="31" t="s">
        <v>137</v>
      </c>
      <c r="P342" s="31">
        <f>Migrationsartikel!B340</f>
        <v>0</v>
      </c>
      <c r="S342"/>
      <c r="T342"/>
      <c r="U342">
        <f>Migrationsartikel!F340</f>
        <v>0</v>
      </c>
      <c r="V342">
        <f>Migrationsartikel!J340</f>
        <v>0</v>
      </c>
      <c r="W342">
        <f>Migrationsartikel!N340</f>
        <v>0</v>
      </c>
      <c r="X342">
        <f>Migrationsartikel!G340</f>
        <v>0</v>
      </c>
      <c r="Y342">
        <f>Migrationsartikel!K340</f>
        <v>0</v>
      </c>
      <c r="Z342">
        <f>Migrationsartikel!O340</f>
        <v>0</v>
      </c>
      <c r="AA342" s="31">
        <f>Migrationsartikel!H340</f>
        <v>0</v>
      </c>
      <c r="AB342" s="31">
        <f>Migrationsartikel!L340</f>
        <v>0</v>
      </c>
      <c r="AC342" s="31">
        <f>Migrationsartikel!P340</f>
        <v>0</v>
      </c>
      <c r="AD342">
        <f>Migrationsartikel!I340</f>
        <v>0</v>
      </c>
      <c r="AE342">
        <f>Migrationsartikel!M340</f>
        <v>0</v>
      </c>
      <c r="AF342">
        <f>Migrationsartikel!Q340</f>
        <v>0</v>
      </c>
      <c r="AG342" s="45">
        <f>Migrationsartikel!R340</f>
        <v>0</v>
      </c>
      <c r="AH342" s="46">
        <f>Migrationsartikel!T340</f>
        <v>0</v>
      </c>
      <c r="AI342" s="46" t="str">
        <f t="shared" si="15"/>
        <v>n/a</v>
      </c>
      <c r="AJ342" s="46" t="s">
        <v>176</v>
      </c>
      <c r="AK342">
        <f>Migrationsartikel!S340</f>
        <v>0</v>
      </c>
      <c r="AL342">
        <f>Migrationsartikel!S340</f>
        <v>0</v>
      </c>
      <c r="AM342">
        <f>Migrationsartikel!S340</f>
        <v>0</v>
      </c>
      <c r="AN342">
        <f>Migrationsartikel!U340</f>
        <v>0</v>
      </c>
      <c r="AO342" t="str">
        <f t="shared" si="16"/>
        <v>n/a</v>
      </c>
      <c r="AP342" t="str">
        <f t="shared" si="17"/>
        <v>n/a</v>
      </c>
      <c r="AQ342" s="31" t="s">
        <v>195</v>
      </c>
      <c r="AR342" s="47"/>
      <c r="AS342" s="47"/>
      <c r="AT342" s="31" t="s">
        <v>208</v>
      </c>
      <c r="AU342" s="47"/>
      <c r="AV342" s="47"/>
      <c r="AW342" t="b">
        <f>IF(Migrationsartikel!AB340="ja","true",FALSE)</f>
        <v>0</v>
      </c>
      <c r="AX342" t="b">
        <f>IF(Migrationsartikel!AC340="ja","true",FALSE)</f>
        <v>0</v>
      </c>
      <c r="AY342" t="b">
        <f>IF(Migrationsartikel!AD340="ja","true",FALSE)</f>
        <v>0</v>
      </c>
      <c r="AZ342" t="b">
        <f>IF(Migrationsartikel!AE340="ja","true",FALSE)</f>
        <v>0</v>
      </c>
      <c r="BA342" t="str">
        <f>IF(Migrationsartikel!AF340="ja","Denner Partner","")</f>
        <v/>
      </c>
      <c r="BB342" t="str">
        <f>IF(Migrationsartikel!AG340="ja","true","false")</f>
        <v>false</v>
      </c>
      <c r="BC342" t="s">
        <v>1923</v>
      </c>
      <c r="BD342" s="31" t="s">
        <v>235</v>
      </c>
      <c r="BE342" s="31" t="s">
        <v>233</v>
      </c>
    </row>
    <row r="343" spans="2:57" ht="21.75" customHeight="1" x14ac:dyDescent="0.45">
      <c r="B343" t="s">
        <v>115</v>
      </c>
      <c r="E343" s="31" t="s">
        <v>1769</v>
      </c>
      <c r="F343" t="str">
        <f>"Warengruppe&gt;&gt;"&amp;Migrationsartikel!V341&amp;"&gt;&gt;"&amp;Migrationsartikel!W341&amp;"&gt;&gt;"&amp;Migrationsartikel!X341</f>
        <v>Warengruppe&gt;&gt;&gt;&gt;&gt;&gt;</v>
      </c>
      <c r="J343" s="31" t="s">
        <v>125</v>
      </c>
      <c r="M343" s="31" t="s">
        <v>137</v>
      </c>
      <c r="P343" s="31">
        <f>Migrationsartikel!B341</f>
        <v>0</v>
      </c>
      <c r="S343"/>
      <c r="T343"/>
      <c r="U343">
        <f>Migrationsartikel!F341</f>
        <v>0</v>
      </c>
      <c r="V343">
        <f>Migrationsartikel!J341</f>
        <v>0</v>
      </c>
      <c r="W343">
        <f>Migrationsartikel!N341</f>
        <v>0</v>
      </c>
      <c r="X343">
        <f>Migrationsartikel!G341</f>
        <v>0</v>
      </c>
      <c r="Y343">
        <f>Migrationsartikel!K341</f>
        <v>0</v>
      </c>
      <c r="Z343">
        <f>Migrationsartikel!O341</f>
        <v>0</v>
      </c>
      <c r="AA343" s="31">
        <f>Migrationsartikel!H341</f>
        <v>0</v>
      </c>
      <c r="AB343" s="31">
        <f>Migrationsartikel!L341</f>
        <v>0</v>
      </c>
      <c r="AC343" s="31">
        <f>Migrationsartikel!P341</f>
        <v>0</v>
      </c>
      <c r="AD343">
        <f>Migrationsartikel!I341</f>
        <v>0</v>
      </c>
      <c r="AE343">
        <f>Migrationsartikel!M341</f>
        <v>0</v>
      </c>
      <c r="AF343">
        <f>Migrationsartikel!Q341</f>
        <v>0</v>
      </c>
      <c r="AG343" s="45">
        <f>Migrationsartikel!R341</f>
        <v>0</v>
      </c>
      <c r="AH343" s="46">
        <f>Migrationsartikel!T341</f>
        <v>0</v>
      </c>
      <c r="AI343" s="46" t="str">
        <f t="shared" si="15"/>
        <v>n/a</v>
      </c>
      <c r="AJ343" s="46" t="s">
        <v>176</v>
      </c>
      <c r="AK343">
        <f>Migrationsartikel!S341</f>
        <v>0</v>
      </c>
      <c r="AL343">
        <f>Migrationsartikel!S341</f>
        <v>0</v>
      </c>
      <c r="AM343">
        <f>Migrationsartikel!S341</f>
        <v>0</v>
      </c>
      <c r="AN343">
        <f>Migrationsartikel!U341</f>
        <v>0</v>
      </c>
      <c r="AO343" t="str">
        <f t="shared" si="16"/>
        <v>n/a</v>
      </c>
      <c r="AP343" t="str">
        <f t="shared" si="17"/>
        <v>n/a</v>
      </c>
      <c r="AQ343" s="31" t="s">
        <v>195</v>
      </c>
      <c r="AR343" s="47"/>
      <c r="AS343" s="47"/>
      <c r="AT343" s="31" t="s">
        <v>208</v>
      </c>
      <c r="AU343" s="47"/>
      <c r="AV343" s="47"/>
      <c r="AW343" t="b">
        <f>IF(Migrationsartikel!AB341="ja","true",FALSE)</f>
        <v>0</v>
      </c>
      <c r="AX343" t="b">
        <f>IF(Migrationsartikel!AC341="ja","true",FALSE)</f>
        <v>0</v>
      </c>
      <c r="AY343" t="b">
        <f>IF(Migrationsartikel!AD341="ja","true",FALSE)</f>
        <v>0</v>
      </c>
      <c r="AZ343" t="b">
        <f>IF(Migrationsartikel!AE341="ja","true",FALSE)</f>
        <v>0</v>
      </c>
      <c r="BA343" t="str">
        <f>IF(Migrationsartikel!AF341="ja","Denner Partner","")</f>
        <v/>
      </c>
      <c r="BB343" t="str">
        <f>IF(Migrationsartikel!AG341="ja","true","false")</f>
        <v>false</v>
      </c>
      <c r="BC343" t="s">
        <v>1923</v>
      </c>
      <c r="BD343" s="31" t="s">
        <v>235</v>
      </c>
      <c r="BE343" s="31" t="s">
        <v>233</v>
      </c>
    </row>
    <row r="344" spans="2:57" ht="21.75" customHeight="1" x14ac:dyDescent="0.45">
      <c r="B344" t="s">
        <v>115</v>
      </c>
      <c r="E344" s="31" t="s">
        <v>1770</v>
      </c>
      <c r="F344" t="str">
        <f>"Warengruppe&gt;&gt;"&amp;Migrationsartikel!V342&amp;"&gt;&gt;"&amp;Migrationsartikel!W342&amp;"&gt;&gt;"&amp;Migrationsartikel!X342</f>
        <v>Warengruppe&gt;&gt;&gt;&gt;&gt;&gt;</v>
      </c>
      <c r="J344" s="31" t="s">
        <v>125</v>
      </c>
      <c r="M344" s="31" t="s">
        <v>137</v>
      </c>
      <c r="P344" s="31">
        <f>Migrationsartikel!B342</f>
        <v>0</v>
      </c>
      <c r="S344"/>
      <c r="T344"/>
      <c r="U344">
        <f>Migrationsartikel!F342</f>
        <v>0</v>
      </c>
      <c r="V344">
        <f>Migrationsartikel!J342</f>
        <v>0</v>
      </c>
      <c r="W344">
        <f>Migrationsartikel!N342</f>
        <v>0</v>
      </c>
      <c r="X344">
        <f>Migrationsartikel!G342</f>
        <v>0</v>
      </c>
      <c r="Y344">
        <f>Migrationsartikel!K342</f>
        <v>0</v>
      </c>
      <c r="Z344">
        <f>Migrationsartikel!O342</f>
        <v>0</v>
      </c>
      <c r="AA344" s="31">
        <f>Migrationsartikel!H342</f>
        <v>0</v>
      </c>
      <c r="AB344" s="31">
        <f>Migrationsartikel!L342</f>
        <v>0</v>
      </c>
      <c r="AC344" s="31">
        <f>Migrationsartikel!P342</f>
        <v>0</v>
      </c>
      <c r="AD344">
        <f>Migrationsartikel!I342</f>
        <v>0</v>
      </c>
      <c r="AE344">
        <f>Migrationsartikel!M342</f>
        <v>0</v>
      </c>
      <c r="AF344">
        <f>Migrationsartikel!Q342</f>
        <v>0</v>
      </c>
      <c r="AG344" s="45">
        <f>Migrationsartikel!R342</f>
        <v>0</v>
      </c>
      <c r="AH344" s="46">
        <f>Migrationsartikel!T342</f>
        <v>0</v>
      </c>
      <c r="AI344" s="46" t="str">
        <f t="shared" si="15"/>
        <v>n/a</v>
      </c>
      <c r="AJ344" s="46" t="s">
        <v>176</v>
      </c>
      <c r="AK344">
        <f>Migrationsartikel!S342</f>
        <v>0</v>
      </c>
      <c r="AL344">
        <f>Migrationsartikel!S342</f>
        <v>0</v>
      </c>
      <c r="AM344">
        <f>Migrationsartikel!S342</f>
        <v>0</v>
      </c>
      <c r="AN344">
        <f>Migrationsartikel!U342</f>
        <v>0</v>
      </c>
      <c r="AO344" t="str">
        <f t="shared" si="16"/>
        <v>n/a</v>
      </c>
      <c r="AP344" t="str">
        <f t="shared" si="17"/>
        <v>n/a</v>
      </c>
      <c r="AQ344" s="31" t="s">
        <v>195</v>
      </c>
      <c r="AR344" s="47"/>
      <c r="AS344" s="47"/>
      <c r="AT344" s="31" t="s">
        <v>208</v>
      </c>
      <c r="AU344" s="47"/>
      <c r="AV344" s="47"/>
      <c r="AW344" t="b">
        <f>IF(Migrationsartikel!AB342="ja","true",FALSE)</f>
        <v>0</v>
      </c>
      <c r="AX344" t="b">
        <f>IF(Migrationsartikel!AC342="ja","true",FALSE)</f>
        <v>0</v>
      </c>
      <c r="AY344" t="b">
        <f>IF(Migrationsartikel!AD342="ja","true",FALSE)</f>
        <v>0</v>
      </c>
      <c r="AZ344" t="b">
        <f>IF(Migrationsartikel!AE342="ja","true",FALSE)</f>
        <v>0</v>
      </c>
      <c r="BA344" t="str">
        <f>IF(Migrationsartikel!AF342="ja","Denner Partner","")</f>
        <v/>
      </c>
      <c r="BB344" t="str">
        <f>IF(Migrationsartikel!AG342="ja","true","false")</f>
        <v>false</v>
      </c>
      <c r="BC344" t="s">
        <v>1923</v>
      </c>
      <c r="BD344" s="31" t="s">
        <v>235</v>
      </c>
      <c r="BE344" s="31" t="s">
        <v>233</v>
      </c>
    </row>
    <row r="345" spans="2:57" ht="21.75" customHeight="1" x14ac:dyDescent="0.45">
      <c r="B345" t="s">
        <v>115</v>
      </c>
      <c r="E345" s="31" t="s">
        <v>1771</v>
      </c>
      <c r="F345" t="str">
        <f>"Warengruppe&gt;&gt;"&amp;Migrationsartikel!V343&amp;"&gt;&gt;"&amp;Migrationsartikel!W343&amp;"&gt;&gt;"&amp;Migrationsartikel!X343</f>
        <v>Warengruppe&gt;&gt;&gt;&gt;&gt;&gt;</v>
      </c>
      <c r="J345" s="31" t="s">
        <v>125</v>
      </c>
      <c r="M345" s="31" t="s">
        <v>137</v>
      </c>
      <c r="P345" s="31">
        <f>Migrationsartikel!B343</f>
        <v>0</v>
      </c>
      <c r="S345"/>
      <c r="T345"/>
      <c r="U345">
        <f>Migrationsartikel!F343</f>
        <v>0</v>
      </c>
      <c r="V345">
        <f>Migrationsartikel!J343</f>
        <v>0</v>
      </c>
      <c r="W345">
        <f>Migrationsartikel!N343</f>
        <v>0</v>
      </c>
      <c r="X345">
        <f>Migrationsartikel!G343</f>
        <v>0</v>
      </c>
      <c r="Y345">
        <f>Migrationsartikel!K343</f>
        <v>0</v>
      </c>
      <c r="Z345">
        <f>Migrationsartikel!O343</f>
        <v>0</v>
      </c>
      <c r="AA345" s="31">
        <f>Migrationsartikel!H343</f>
        <v>0</v>
      </c>
      <c r="AB345" s="31">
        <f>Migrationsartikel!L343</f>
        <v>0</v>
      </c>
      <c r="AC345" s="31">
        <f>Migrationsartikel!P343</f>
        <v>0</v>
      </c>
      <c r="AD345">
        <f>Migrationsartikel!I343</f>
        <v>0</v>
      </c>
      <c r="AE345">
        <f>Migrationsartikel!M343</f>
        <v>0</v>
      </c>
      <c r="AF345">
        <f>Migrationsartikel!Q343</f>
        <v>0</v>
      </c>
      <c r="AG345" s="45">
        <f>Migrationsartikel!R343</f>
        <v>0</v>
      </c>
      <c r="AH345" s="46">
        <f>Migrationsartikel!T343</f>
        <v>0</v>
      </c>
      <c r="AI345" s="46" t="str">
        <f t="shared" si="15"/>
        <v>n/a</v>
      </c>
      <c r="AJ345" s="46" t="s">
        <v>176</v>
      </c>
      <c r="AK345">
        <f>Migrationsartikel!S343</f>
        <v>0</v>
      </c>
      <c r="AL345">
        <f>Migrationsartikel!S343</f>
        <v>0</v>
      </c>
      <c r="AM345">
        <f>Migrationsartikel!S343</f>
        <v>0</v>
      </c>
      <c r="AN345">
        <f>Migrationsartikel!U343</f>
        <v>0</v>
      </c>
      <c r="AO345" t="str">
        <f t="shared" si="16"/>
        <v>n/a</v>
      </c>
      <c r="AP345" t="str">
        <f t="shared" si="17"/>
        <v>n/a</v>
      </c>
      <c r="AQ345" s="31" t="s">
        <v>195</v>
      </c>
      <c r="AR345" s="47"/>
      <c r="AS345" s="47"/>
      <c r="AT345" s="31" t="s">
        <v>208</v>
      </c>
      <c r="AU345" s="47"/>
      <c r="AV345" s="47"/>
      <c r="AW345" t="b">
        <f>IF(Migrationsartikel!AB343="ja","true",FALSE)</f>
        <v>0</v>
      </c>
      <c r="AX345" t="b">
        <f>IF(Migrationsartikel!AC343="ja","true",FALSE)</f>
        <v>0</v>
      </c>
      <c r="AY345" t="b">
        <f>IF(Migrationsartikel!AD343="ja","true",FALSE)</f>
        <v>0</v>
      </c>
      <c r="AZ345" t="b">
        <f>IF(Migrationsartikel!AE343="ja","true",FALSE)</f>
        <v>0</v>
      </c>
      <c r="BA345" t="str">
        <f>IF(Migrationsartikel!AF343="ja","Denner Partner","")</f>
        <v/>
      </c>
      <c r="BB345" t="str">
        <f>IF(Migrationsartikel!AG343="ja","true","false")</f>
        <v>false</v>
      </c>
      <c r="BC345" t="s">
        <v>1923</v>
      </c>
      <c r="BD345" s="31" t="s">
        <v>235</v>
      </c>
      <c r="BE345" s="31" t="s">
        <v>233</v>
      </c>
    </row>
    <row r="346" spans="2:57" ht="21.75" customHeight="1" x14ac:dyDescent="0.45">
      <c r="B346" t="s">
        <v>115</v>
      </c>
      <c r="E346" s="31" t="s">
        <v>1772</v>
      </c>
      <c r="F346" t="str">
        <f>"Warengruppe&gt;&gt;"&amp;Migrationsartikel!V344&amp;"&gt;&gt;"&amp;Migrationsartikel!W344&amp;"&gt;&gt;"&amp;Migrationsartikel!X344</f>
        <v>Warengruppe&gt;&gt;&gt;&gt;&gt;&gt;</v>
      </c>
      <c r="J346" s="31" t="s">
        <v>125</v>
      </c>
      <c r="M346" s="31" t="s">
        <v>137</v>
      </c>
      <c r="P346" s="31">
        <f>Migrationsartikel!B344</f>
        <v>0</v>
      </c>
      <c r="S346"/>
      <c r="T346"/>
      <c r="U346">
        <f>Migrationsartikel!F344</f>
        <v>0</v>
      </c>
      <c r="V346">
        <f>Migrationsartikel!J344</f>
        <v>0</v>
      </c>
      <c r="W346">
        <f>Migrationsartikel!N344</f>
        <v>0</v>
      </c>
      <c r="X346">
        <f>Migrationsartikel!G344</f>
        <v>0</v>
      </c>
      <c r="Y346">
        <f>Migrationsartikel!K344</f>
        <v>0</v>
      </c>
      <c r="Z346">
        <f>Migrationsartikel!O344</f>
        <v>0</v>
      </c>
      <c r="AA346" s="31">
        <f>Migrationsartikel!H344</f>
        <v>0</v>
      </c>
      <c r="AB346" s="31">
        <f>Migrationsartikel!L344</f>
        <v>0</v>
      </c>
      <c r="AC346" s="31">
        <f>Migrationsartikel!P344</f>
        <v>0</v>
      </c>
      <c r="AD346">
        <f>Migrationsartikel!I344</f>
        <v>0</v>
      </c>
      <c r="AE346">
        <f>Migrationsartikel!M344</f>
        <v>0</v>
      </c>
      <c r="AF346">
        <f>Migrationsartikel!Q344</f>
        <v>0</v>
      </c>
      <c r="AG346" s="45">
        <f>Migrationsartikel!R344</f>
        <v>0</v>
      </c>
      <c r="AH346" s="46">
        <f>Migrationsartikel!T344</f>
        <v>0</v>
      </c>
      <c r="AI346" s="46" t="str">
        <f t="shared" si="15"/>
        <v>n/a</v>
      </c>
      <c r="AJ346" s="46" t="s">
        <v>176</v>
      </c>
      <c r="AK346">
        <f>Migrationsartikel!S344</f>
        <v>0</v>
      </c>
      <c r="AL346">
        <f>Migrationsartikel!S344</f>
        <v>0</v>
      </c>
      <c r="AM346">
        <f>Migrationsartikel!S344</f>
        <v>0</v>
      </c>
      <c r="AN346">
        <f>Migrationsartikel!U344</f>
        <v>0</v>
      </c>
      <c r="AO346" t="str">
        <f t="shared" si="16"/>
        <v>n/a</v>
      </c>
      <c r="AP346" t="str">
        <f t="shared" si="17"/>
        <v>n/a</v>
      </c>
      <c r="AQ346" s="31" t="s">
        <v>195</v>
      </c>
      <c r="AR346" s="47"/>
      <c r="AS346" s="47"/>
      <c r="AT346" s="31" t="s">
        <v>208</v>
      </c>
      <c r="AU346" s="47"/>
      <c r="AV346" s="47"/>
      <c r="AW346" t="b">
        <f>IF(Migrationsartikel!AB344="ja","true",FALSE)</f>
        <v>0</v>
      </c>
      <c r="AX346" t="b">
        <f>IF(Migrationsartikel!AC344="ja","true",FALSE)</f>
        <v>0</v>
      </c>
      <c r="AY346" t="b">
        <f>IF(Migrationsartikel!AD344="ja","true",FALSE)</f>
        <v>0</v>
      </c>
      <c r="AZ346" t="b">
        <f>IF(Migrationsartikel!AE344="ja","true",FALSE)</f>
        <v>0</v>
      </c>
      <c r="BA346" t="str">
        <f>IF(Migrationsartikel!AF344="ja","Denner Partner","")</f>
        <v/>
      </c>
      <c r="BB346" t="str">
        <f>IF(Migrationsartikel!AG344="ja","true","false")</f>
        <v>false</v>
      </c>
      <c r="BC346" t="s">
        <v>1923</v>
      </c>
      <c r="BD346" s="31" t="s">
        <v>235</v>
      </c>
      <c r="BE346" s="31" t="s">
        <v>233</v>
      </c>
    </row>
    <row r="347" spans="2:57" ht="21.75" customHeight="1" x14ac:dyDescent="0.45">
      <c r="B347" t="s">
        <v>115</v>
      </c>
      <c r="E347" s="31" t="s">
        <v>1773</v>
      </c>
      <c r="F347" t="str">
        <f>"Warengruppe&gt;&gt;"&amp;Migrationsartikel!V345&amp;"&gt;&gt;"&amp;Migrationsartikel!W345&amp;"&gt;&gt;"&amp;Migrationsartikel!X345</f>
        <v>Warengruppe&gt;&gt;&gt;&gt;&gt;&gt;</v>
      </c>
      <c r="J347" s="31" t="s">
        <v>125</v>
      </c>
      <c r="M347" s="31" t="s">
        <v>137</v>
      </c>
      <c r="P347" s="31">
        <f>Migrationsartikel!B345</f>
        <v>0</v>
      </c>
      <c r="S347"/>
      <c r="T347"/>
      <c r="U347">
        <f>Migrationsartikel!F345</f>
        <v>0</v>
      </c>
      <c r="V347">
        <f>Migrationsartikel!J345</f>
        <v>0</v>
      </c>
      <c r="W347">
        <f>Migrationsartikel!N345</f>
        <v>0</v>
      </c>
      <c r="X347">
        <f>Migrationsartikel!G345</f>
        <v>0</v>
      </c>
      <c r="Y347">
        <f>Migrationsartikel!K345</f>
        <v>0</v>
      </c>
      <c r="Z347">
        <f>Migrationsartikel!O345</f>
        <v>0</v>
      </c>
      <c r="AA347" s="31">
        <f>Migrationsartikel!H345</f>
        <v>0</v>
      </c>
      <c r="AB347" s="31">
        <f>Migrationsartikel!L345</f>
        <v>0</v>
      </c>
      <c r="AC347" s="31">
        <f>Migrationsartikel!P345</f>
        <v>0</v>
      </c>
      <c r="AD347">
        <f>Migrationsartikel!I345</f>
        <v>0</v>
      </c>
      <c r="AE347">
        <f>Migrationsartikel!M345</f>
        <v>0</v>
      </c>
      <c r="AF347">
        <f>Migrationsartikel!Q345</f>
        <v>0</v>
      </c>
      <c r="AG347" s="45">
        <f>Migrationsartikel!R345</f>
        <v>0</v>
      </c>
      <c r="AH347" s="46">
        <f>Migrationsartikel!T345</f>
        <v>0</v>
      </c>
      <c r="AI347" s="46" t="str">
        <f t="shared" si="15"/>
        <v>n/a</v>
      </c>
      <c r="AJ347" s="46" t="s">
        <v>176</v>
      </c>
      <c r="AK347">
        <f>Migrationsartikel!S345</f>
        <v>0</v>
      </c>
      <c r="AL347">
        <f>Migrationsartikel!S345</f>
        <v>0</v>
      </c>
      <c r="AM347">
        <f>Migrationsartikel!S345</f>
        <v>0</v>
      </c>
      <c r="AN347">
        <f>Migrationsartikel!U345</f>
        <v>0</v>
      </c>
      <c r="AO347" t="str">
        <f t="shared" si="16"/>
        <v>n/a</v>
      </c>
      <c r="AP347" t="str">
        <f t="shared" si="17"/>
        <v>n/a</v>
      </c>
      <c r="AQ347" s="31" t="s">
        <v>195</v>
      </c>
      <c r="AR347" s="47"/>
      <c r="AS347" s="47"/>
      <c r="AT347" s="31" t="s">
        <v>208</v>
      </c>
      <c r="AU347" s="47"/>
      <c r="AV347" s="47"/>
      <c r="AW347" t="b">
        <f>IF(Migrationsartikel!AB345="ja","true",FALSE)</f>
        <v>0</v>
      </c>
      <c r="AX347" t="b">
        <f>IF(Migrationsartikel!AC345="ja","true",FALSE)</f>
        <v>0</v>
      </c>
      <c r="AY347" t="b">
        <f>IF(Migrationsartikel!AD345="ja","true",FALSE)</f>
        <v>0</v>
      </c>
      <c r="AZ347" t="b">
        <f>IF(Migrationsartikel!AE345="ja","true",FALSE)</f>
        <v>0</v>
      </c>
      <c r="BA347" t="str">
        <f>IF(Migrationsartikel!AF345="ja","Denner Partner","")</f>
        <v/>
      </c>
      <c r="BB347" t="str">
        <f>IF(Migrationsartikel!AG345="ja","true","false")</f>
        <v>false</v>
      </c>
      <c r="BC347" t="s">
        <v>1923</v>
      </c>
      <c r="BD347" s="31" t="s">
        <v>235</v>
      </c>
      <c r="BE347" s="31" t="s">
        <v>233</v>
      </c>
    </row>
    <row r="348" spans="2:57" ht="21.75" customHeight="1" x14ac:dyDescent="0.45">
      <c r="B348" t="s">
        <v>115</v>
      </c>
      <c r="E348" s="31" t="s">
        <v>1774</v>
      </c>
      <c r="F348" t="str">
        <f>"Warengruppe&gt;&gt;"&amp;Migrationsartikel!V346&amp;"&gt;&gt;"&amp;Migrationsartikel!W346&amp;"&gt;&gt;"&amp;Migrationsartikel!X346</f>
        <v>Warengruppe&gt;&gt;&gt;&gt;&gt;&gt;</v>
      </c>
      <c r="J348" s="31" t="s">
        <v>125</v>
      </c>
      <c r="M348" s="31" t="s">
        <v>137</v>
      </c>
      <c r="P348" s="31">
        <f>Migrationsartikel!B346</f>
        <v>0</v>
      </c>
      <c r="S348"/>
      <c r="T348"/>
      <c r="U348">
        <f>Migrationsartikel!F346</f>
        <v>0</v>
      </c>
      <c r="V348">
        <f>Migrationsartikel!J346</f>
        <v>0</v>
      </c>
      <c r="W348">
        <f>Migrationsartikel!N346</f>
        <v>0</v>
      </c>
      <c r="X348">
        <f>Migrationsartikel!G346</f>
        <v>0</v>
      </c>
      <c r="Y348">
        <f>Migrationsartikel!K346</f>
        <v>0</v>
      </c>
      <c r="Z348">
        <f>Migrationsartikel!O346</f>
        <v>0</v>
      </c>
      <c r="AA348" s="31">
        <f>Migrationsartikel!H346</f>
        <v>0</v>
      </c>
      <c r="AB348" s="31">
        <f>Migrationsartikel!L346</f>
        <v>0</v>
      </c>
      <c r="AC348" s="31">
        <f>Migrationsartikel!P346</f>
        <v>0</v>
      </c>
      <c r="AD348">
        <f>Migrationsartikel!I346</f>
        <v>0</v>
      </c>
      <c r="AE348">
        <f>Migrationsartikel!M346</f>
        <v>0</v>
      </c>
      <c r="AF348">
        <f>Migrationsartikel!Q346</f>
        <v>0</v>
      </c>
      <c r="AG348" s="45">
        <f>Migrationsartikel!R346</f>
        <v>0</v>
      </c>
      <c r="AH348" s="46">
        <f>Migrationsartikel!T346</f>
        <v>0</v>
      </c>
      <c r="AI348" s="46" t="str">
        <f t="shared" si="15"/>
        <v>n/a</v>
      </c>
      <c r="AJ348" s="46" t="s">
        <v>176</v>
      </c>
      <c r="AK348">
        <f>Migrationsartikel!S346</f>
        <v>0</v>
      </c>
      <c r="AL348">
        <f>Migrationsartikel!S346</f>
        <v>0</v>
      </c>
      <c r="AM348">
        <f>Migrationsartikel!S346</f>
        <v>0</v>
      </c>
      <c r="AN348">
        <f>Migrationsartikel!U346</f>
        <v>0</v>
      </c>
      <c r="AO348" t="str">
        <f t="shared" si="16"/>
        <v>n/a</v>
      </c>
      <c r="AP348" t="str">
        <f t="shared" si="17"/>
        <v>n/a</v>
      </c>
      <c r="AQ348" s="31" t="s">
        <v>195</v>
      </c>
      <c r="AR348" s="47"/>
      <c r="AS348" s="47"/>
      <c r="AT348" s="31" t="s">
        <v>208</v>
      </c>
      <c r="AU348" s="47"/>
      <c r="AV348" s="47"/>
      <c r="AW348" t="b">
        <f>IF(Migrationsartikel!AB346="ja","true",FALSE)</f>
        <v>0</v>
      </c>
      <c r="AX348" t="b">
        <f>IF(Migrationsartikel!AC346="ja","true",FALSE)</f>
        <v>0</v>
      </c>
      <c r="AY348" t="b">
        <f>IF(Migrationsartikel!AD346="ja","true",FALSE)</f>
        <v>0</v>
      </c>
      <c r="AZ348" t="b">
        <f>IF(Migrationsartikel!AE346="ja","true",FALSE)</f>
        <v>0</v>
      </c>
      <c r="BA348" t="str">
        <f>IF(Migrationsartikel!AF346="ja","Denner Partner","")</f>
        <v/>
      </c>
      <c r="BB348" t="str">
        <f>IF(Migrationsartikel!AG346="ja","true","false")</f>
        <v>false</v>
      </c>
      <c r="BC348" t="s">
        <v>1923</v>
      </c>
      <c r="BD348" s="31" t="s">
        <v>235</v>
      </c>
      <c r="BE348" s="31" t="s">
        <v>233</v>
      </c>
    </row>
    <row r="349" spans="2:57" ht="21.75" customHeight="1" x14ac:dyDescent="0.45">
      <c r="B349" t="s">
        <v>115</v>
      </c>
      <c r="E349" s="31" t="s">
        <v>1775</v>
      </c>
      <c r="F349" t="str">
        <f>"Warengruppe&gt;&gt;"&amp;Migrationsartikel!V347&amp;"&gt;&gt;"&amp;Migrationsartikel!W347&amp;"&gt;&gt;"&amp;Migrationsartikel!X347</f>
        <v>Warengruppe&gt;&gt;&gt;&gt;&gt;&gt;</v>
      </c>
      <c r="J349" s="31" t="s">
        <v>125</v>
      </c>
      <c r="M349" s="31" t="s">
        <v>137</v>
      </c>
      <c r="P349" s="31">
        <f>Migrationsartikel!B347</f>
        <v>0</v>
      </c>
      <c r="S349"/>
      <c r="T349"/>
      <c r="U349">
        <f>Migrationsartikel!F347</f>
        <v>0</v>
      </c>
      <c r="V349">
        <f>Migrationsartikel!J347</f>
        <v>0</v>
      </c>
      <c r="W349">
        <f>Migrationsartikel!N347</f>
        <v>0</v>
      </c>
      <c r="X349">
        <f>Migrationsartikel!G347</f>
        <v>0</v>
      </c>
      <c r="Y349">
        <f>Migrationsartikel!K347</f>
        <v>0</v>
      </c>
      <c r="Z349">
        <f>Migrationsartikel!O347</f>
        <v>0</v>
      </c>
      <c r="AA349" s="31">
        <f>Migrationsartikel!H347</f>
        <v>0</v>
      </c>
      <c r="AB349" s="31">
        <f>Migrationsartikel!L347</f>
        <v>0</v>
      </c>
      <c r="AC349" s="31">
        <f>Migrationsartikel!P347</f>
        <v>0</v>
      </c>
      <c r="AD349">
        <f>Migrationsartikel!I347</f>
        <v>0</v>
      </c>
      <c r="AE349">
        <f>Migrationsartikel!M347</f>
        <v>0</v>
      </c>
      <c r="AF349">
        <f>Migrationsartikel!Q347</f>
        <v>0</v>
      </c>
      <c r="AG349" s="45">
        <f>Migrationsartikel!R347</f>
        <v>0</v>
      </c>
      <c r="AH349" s="46">
        <f>Migrationsartikel!T347</f>
        <v>0</v>
      </c>
      <c r="AI349" s="46" t="str">
        <f t="shared" si="15"/>
        <v>n/a</v>
      </c>
      <c r="AJ349" s="46" t="s">
        <v>176</v>
      </c>
      <c r="AK349">
        <f>Migrationsartikel!S347</f>
        <v>0</v>
      </c>
      <c r="AL349">
        <f>Migrationsartikel!S347</f>
        <v>0</v>
      </c>
      <c r="AM349">
        <f>Migrationsartikel!S347</f>
        <v>0</v>
      </c>
      <c r="AN349">
        <f>Migrationsartikel!U347</f>
        <v>0</v>
      </c>
      <c r="AO349" t="str">
        <f t="shared" si="16"/>
        <v>n/a</v>
      </c>
      <c r="AP349" t="str">
        <f t="shared" si="17"/>
        <v>n/a</v>
      </c>
      <c r="AQ349" s="31" t="s">
        <v>195</v>
      </c>
      <c r="AR349" s="47"/>
      <c r="AS349" s="47"/>
      <c r="AT349" s="31" t="s">
        <v>208</v>
      </c>
      <c r="AU349" s="47"/>
      <c r="AV349" s="47"/>
      <c r="AW349" t="b">
        <f>IF(Migrationsartikel!AB347="ja","true",FALSE)</f>
        <v>0</v>
      </c>
      <c r="AX349" t="b">
        <f>IF(Migrationsartikel!AC347="ja","true",FALSE)</f>
        <v>0</v>
      </c>
      <c r="AY349" t="b">
        <f>IF(Migrationsartikel!AD347="ja","true",FALSE)</f>
        <v>0</v>
      </c>
      <c r="AZ349" t="b">
        <f>IF(Migrationsartikel!AE347="ja","true",FALSE)</f>
        <v>0</v>
      </c>
      <c r="BA349" t="str">
        <f>IF(Migrationsartikel!AF347="ja","Denner Partner","")</f>
        <v/>
      </c>
      <c r="BB349" t="str">
        <f>IF(Migrationsartikel!AG347="ja","true","false")</f>
        <v>false</v>
      </c>
      <c r="BC349" t="s">
        <v>1923</v>
      </c>
      <c r="BD349" s="31" t="s">
        <v>235</v>
      </c>
      <c r="BE349" s="31" t="s">
        <v>233</v>
      </c>
    </row>
    <row r="350" spans="2:57" ht="21.75" customHeight="1" x14ac:dyDescent="0.45">
      <c r="B350" t="s">
        <v>115</v>
      </c>
      <c r="E350" s="31" t="s">
        <v>1776</v>
      </c>
      <c r="F350" t="str">
        <f>"Warengruppe&gt;&gt;"&amp;Migrationsartikel!V348&amp;"&gt;&gt;"&amp;Migrationsartikel!W348&amp;"&gt;&gt;"&amp;Migrationsartikel!X348</f>
        <v>Warengruppe&gt;&gt;&gt;&gt;&gt;&gt;</v>
      </c>
      <c r="J350" s="31" t="s">
        <v>125</v>
      </c>
      <c r="M350" s="31" t="s">
        <v>137</v>
      </c>
      <c r="P350" s="31">
        <f>Migrationsartikel!B348</f>
        <v>0</v>
      </c>
      <c r="S350"/>
      <c r="T350"/>
      <c r="U350">
        <f>Migrationsartikel!F348</f>
        <v>0</v>
      </c>
      <c r="V350">
        <f>Migrationsartikel!J348</f>
        <v>0</v>
      </c>
      <c r="W350">
        <f>Migrationsartikel!N348</f>
        <v>0</v>
      </c>
      <c r="X350">
        <f>Migrationsartikel!G348</f>
        <v>0</v>
      </c>
      <c r="Y350">
        <f>Migrationsartikel!K348</f>
        <v>0</v>
      </c>
      <c r="Z350">
        <f>Migrationsartikel!O348</f>
        <v>0</v>
      </c>
      <c r="AA350" s="31">
        <f>Migrationsartikel!H348</f>
        <v>0</v>
      </c>
      <c r="AB350" s="31">
        <f>Migrationsartikel!L348</f>
        <v>0</v>
      </c>
      <c r="AC350" s="31">
        <f>Migrationsartikel!P348</f>
        <v>0</v>
      </c>
      <c r="AD350">
        <f>Migrationsartikel!I348</f>
        <v>0</v>
      </c>
      <c r="AE350">
        <f>Migrationsartikel!M348</f>
        <v>0</v>
      </c>
      <c r="AF350">
        <f>Migrationsartikel!Q348</f>
        <v>0</v>
      </c>
      <c r="AG350" s="45">
        <f>Migrationsartikel!R348</f>
        <v>0</v>
      </c>
      <c r="AH350" s="46">
        <f>Migrationsartikel!T348</f>
        <v>0</v>
      </c>
      <c r="AI350" s="46" t="str">
        <f t="shared" si="15"/>
        <v>n/a</v>
      </c>
      <c r="AJ350" s="46" t="s">
        <v>176</v>
      </c>
      <c r="AK350">
        <f>Migrationsartikel!S348</f>
        <v>0</v>
      </c>
      <c r="AL350">
        <f>Migrationsartikel!S348</f>
        <v>0</v>
      </c>
      <c r="AM350">
        <f>Migrationsartikel!S348</f>
        <v>0</v>
      </c>
      <c r="AN350">
        <f>Migrationsartikel!U348</f>
        <v>0</v>
      </c>
      <c r="AO350" t="str">
        <f t="shared" si="16"/>
        <v>n/a</v>
      </c>
      <c r="AP350" t="str">
        <f t="shared" si="17"/>
        <v>n/a</v>
      </c>
      <c r="AQ350" s="31" t="s">
        <v>195</v>
      </c>
      <c r="AR350" s="47"/>
      <c r="AS350" s="47"/>
      <c r="AT350" s="31" t="s">
        <v>208</v>
      </c>
      <c r="AU350" s="47"/>
      <c r="AV350" s="47"/>
      <c r="AW350" t="b">
        <f>IF(Migrationsartikel!AB348="ja","true",FALSE)</f>
        <v>0</v>
      </c>
      <c r="AX350" t="b">
        <f>IF(Migrationsartikel!AC348="ja","true",FALSE)</f>
        <v>0</v>
      </c>
      <c r="AY350" t="b">
        <f>IF(Migrationsartikel!AD348="ja","true",FALSE)</f>
        <v>0</v>
      </c>
      <c r="AZ350" t="b">
        <f>IF(Migrationsartikel!AE348="ja","true",FALSE)</f>
        <v>0</v>
      </c>
      <c r="BA350" t="str">
        <f>IF(Migrationsartikel!AF348="ja","Denner Partner","")</f>
        <v/>
      </c>
      <c r="BB350" t="str">
        <f>IF(Migrationsartikel!AG348="ja","true","false")</f>
        <v>false</v>
      </c>
      <c r="BC350" t="s">
        <v>1923</v>
      </c>
      <c r="BD350" s="31" t="s">
        <v>235</v>
      </c>
      <c r="BE350" s="31" t="s">
        <v>233</v>
      </c>
    </row>
    <row r="351" spans="2:57" ht="21.75" customHeight="1" x14ac:dyDescent="0.45">
      <c r="B351" t="s">
        <v>115</v>
      </c>
      <c r="E351" s="31" t="s">
        <v>1777</v>
      </c>
      <c r="F351" t="str">
        <f>"Warengruppe&gt;&gt;"&amp;Migrationsartikel!V349&amp;"&gt;&gt;"&amp;Migrationsartikel!W349&amp;"&gt;&gt;"&amp;Migrationsartikel!X349</f>
        <v>Warengruppe&gt;&gt;&gt;&gt;&gt;&gt;</v>
      </c>
      <c r="J351" s="31" t="s">
        <v>125</v>
      </c>
      <c r="M351" s="31" t="s">
        <v>137</v>
      </c>
      <c r="P351" s="31">
        <f>Migrationsartikel!B349</f>
        <v>0</v>
      </c>
      <c r="S351"/>
      <c r="T351"/>
      <c r="U351">
        <f>Migrationsartikel!F349</f>
        <v>0</v>
      </c>
      <c r="V351">
        <f>Migrationsartikel!J349</f>
        <v>0</v>
      </c>
      <c r="W351">
        <f>Migrationsartikel!N349</f>
        <v>0</v>
      </c>
      <c r="X351">
        <f>Migrationsartikel!G349</f>
        <v>0</v>
      </c>
      <c r="Y351">
        <f>Migrationsartikel!K349</f>
        <v>0</v>
      </c>
      <c r="Z351">
        <f>Migrationsartikel!O349</f>
        <v>0</v>
      </c>
      <c r="AA351" s="31">
        <f>Migrationsartikel!H349</f>
        <v>0</v>
      </c>
      <c r="AB351" s="31">
        <f>Migrationsartikel!L349</f>
        <v>0</v>
      </c>
      <c r="AC351" s="31">
        <f>Migrationsartikel!P349</f>
        <v>0</v>
      </c>
      <c r="AD351">
        <f>Migrationsartikel!I349</f>
        <v>0</v>
      </c>
      <c r="AE351">
        <f>Migrationsartikel!M349</f>
        <v>0</v>
      </c>
      <c r="AF351">
        <f>Migrationsartikel!Q349</f>
        <v>0</v>
      </c>
      <c r="AG351" s="45">
        <f>Migrationsartikel!R349</f>
        <v>0</v>
      </c>
      <c r="AH351" s="46">
        <f>Migrationsartikel!T349</f>
        <v>0</v>
      </c>
      <c r="AI351" s="46" t="str">
        <f t="shared" si="15"/>
        <v>n/a</v>
      </c>
      <c r="AJ351" s="46" t="s">
        <v>176</v>
      </c>
      <c r="AK351">
        <f>Migrationsartikel!S349</f>
        <v>0</v>
      </c>
      <c r="AL351">
        <f>Migrationsartikel!S349</f>
        <v>0</v>
      </c>
      <c r="AM351">
        <f>Migrationsartikel!S349</f>
        <v>0</v>
      </c>
      <c r="AN351">
        <f>Migrationsartikel!U349</f>
        <v>0</v>
      </c>
      <c r="AO351" t="str">
        <f t="shared" si="16"/>
        <v>n/a</v>
      </c>
      <c r="AP351" t="str">
        <f t="shared" si="17"/>
        <v>n/a</v>
      </c>
      <c r="AQ351" s="31" t="s">
        <v>195</v>
      </c>
      <c r="AR351" s="47"/>
      <c r="AS351" s="47"/>
      <c r="AT351" s="31" t="s">
        <v>208</v>
      </c>
      <c r="AU351" s="47"/>
      <c r="AV351" s="47"/>
      <c r="AW351" t="b">
        <f>IF(Migrationsartikel!AB349="ja","true",FALSE)</f>
        <v>0</v>
      </c>
      <c r="AX351" t="b">
        <f>IF(Migrationsartikel!AC349="ja","true",FALSE)</f>
        <v>0</v>
      </c>
      <c r="AY351" t="b">
        <f>IF(Migrationsartikel!AD349="ja","true",FALSE)</f>
        <v>0</v>
      </c>
      <c r="AZ351" t="b">
        <f>IF(Migrationsartikel!AE349="ja","true",FALSE)</f>
        <v>0</v>
      </c>
      <c r="BA351" t="str">
        <f>IF(Migrationsartikel!AF349="ja","Denner Partner","")</f>
        <v/>
      </c>
      <c r="BB351" t="str">
        <f>IF(Migrationsartikel!AG349="ja","true","false")</f>
        <v>false</v>
      </c>
      <c r="BC351" t="s">
        <v>1923</v>
      </c>
      <c r="BD351" s="31" t="s">
        <v>235</v>
      </c>
      <c r="BE351" s="31" t="s">
        <v>233</v>
      </c>
    </row>
    <row r="352" spans="2:57" ht="21.75" customHeight="1" x14ac:dyDescent="0.45">
      <c r="B352" t="s">
        <v>115</v>
      </c>
      <c r="E352" s="31" t="s">
        <v>1778</v>
      </c>
      <c r="F352" t="str">
        <f>"Warengruppe&gt;&gt;"&amp;Migrationsartikel!V350&amp;"&gt;&gt;"&amp;Migrationsartikel!W350&amp;"&gt;&gt;"&amp;Migrationsartikel!X350</f>
        <v>Warengruppe&gt;&gt;&gt;&gt;&gt;&gt;</v>
      </c>
      <c r="J352" s="31" t="s">
        <v>125</v>
      </c>
      <c r="M352" s="31" t="s">
        <v>137</v>
      </c>
      <c r="P352" s="31">
        <f>Migrationsartikel!B350</f>
        <v>0</v>
      </c>
      <c r="S352"/>
      <c r="T352"/>
      <c r="U352">
        <f>Migrationsartikel!F350</f>
        <v>0</v>
      </c>
      <c r="V352">
        <f>Migrationsartikel!J350</f>
        <v>0</v>
      </c>
      <c r="W352">
        <f>Migrationsartikel!N350</f>
        <v>0</v>
      </c>
      <c r="X352">
        <f>Migrationsartikel!G350</f>
        <v>0</v>
      </c>
      <c r="Y352">
        <f>Migrationsartikel!K350</f>
        <v>0</v>
      </c>
      <c r="Z352">
        <f>Migrationsartikel!O350</f>
        <v>0</v>
      </c>
      <c r="AA352" s="31">
        <f>Migrationsartikel!H350</f>
        <v>0</v>
      </c>
      <c r="AB352" s="31">
        <f>Migrationsartikel!L350</f>
        <v>0</v>
      </c>
      <c r="AC352" s="31">
        <f>Migrationsartikel!P350</f>
        <v>0</v>
      </c>
      <c r="AD352">
        <f>Migrationsartikel!I350</f>
        <v>0</v>
      </c>
      <c r="AE352">
        <f>Migrationsartikel!M350</f>
        <v>0</v>
      </c>
      <c r="AF352">
        <f>Migrationsartikel!Q350</f>
        <v>0</v>
      </c>
      <c r="AG352" s="45">
        <f>Migrationsartikel!R350</f>
        <v>0</v>
      </c>
      <c r="AH352" s="46">
        <f>Migrationsartikel!T350</f>
        <v>0</v>
      </c>
      <c r="AI352" s="46" t="str">
        <f t="shared" si="15"/>
        <v>n/a</v>
      </c>
      <c r="AJ352" s="46" t="s">
        <v>176</v>
      </c>
      <c r="AK352">
        <f>Migrationsartikel!S350</f>
        <v>0</v>
      </c>
      <c r="AL352">
        <f>Migrationsartikel!S350</f>
        <v>0</v>
      </c>
      <c r="AM352">
        <f>Migrationsartikel!S350</f>
        <v>0</v>
      </c>
      <c r="AN352">
        <f>Migrationsartikel!U350</f>
        <v>0</v>
      </c>
      <c r="AO352" t="str">
        <f t="shared" si="16"/>
        <v>n/a</v>
      </c>
      <c r="AP352" t="str">
        <f t="shared" si="17"/>
        <v>n/a</v>
      </c>
      <c r="AQ352" s="31" t="s">
        <v>195</v>
      </c>
      <c r="AR352" s="47"/>
      <c r="AS352" s="47"/>
      <c r="AT352" s="31" t="s">
        <v>208</v>
      </c>
      <c r="AU352" s="47"/>
      <c r="AV352" s="47"/>
      <c r="AW352" t="b">
        <f>IF(Migrationsartikel!AB350="ja","true",FALSE)</f>
        <v>0</v>
      </c>
      <c r="AX352" t="b">
        <f>IF(Migrationsartikel!AC350="ja","true",FALSE)</f>
        <v>0</v>
      </c>
      <c r="AY352" t="b">
        <f>IF(Migrationsartikel!AD350="ja","true",FALSE)</f>
        <v>0</v>
      </c>
      <c r="AZ352" t="b">
        <f>IF(Migrationsartikel!AE350="ja","true",FALSE)</f>
        <v>0</v>
      </c>
      <c r="BA352" t="str">
        <f>IF(Migrationsartikel!AF350="ja","Denner Partner","")</f>
        <v/>
      </c>
      <c r="BB352" t="str">
        <f>IF(Migrationsartikel!AG350="ja","true","false")</f>
        <v>false</v>
      </c>
      <c r="BC352" t="s">
        <v>1923</v>
      </c>
      <c r="BD352" s="31" t="s">
        <v>235</v>
      </c>
      <c r="BE352" s="31" t="s">
        <v>233</v>
      </c>
    </row>
    <row r="353" spans="2:57" ht="21.75" customHeight="1" x14ac:dyDescent="0.45">
      <c r="B353" t="s">
        <v>115</v>
      </c>
      <c r="E353" s="31" t="s">
        <v>1779</v>
      </c>
      <c r="F353" t="str">
        <f>"Warengruppe&gt;&gt;"&amp;Migrationsartikel!V351&amp;"&gt;&gt;"&amp;Migrationsartikel!W351&amp;"&gt;&gt;"&amp;Migrationsartikel!X351</f>
        <v>Warengruppe&gt;&gt;&gt;&gt;&gt;&gt;</v>
      </c>
      <c r="J353" s="31" t="s">
        <v>125</v>
      </c>
      <c r="M353" s="31" t="s">
        <v>137</v>
      </c>
      <c r="P353" s="31">
        <f>Migrationsartikel!B351</f>
        <v>0</v>
      </c>
      <c r="S353"/>
      <c r="T353"/>
      <c r="U353">
        <f>Migrationsartikel!F351</f>
        <v>0</v>
      </c>
      <c r="V353">
        <f>Migrationsartikel!J351</f>
        <v>0</v>
      </c>
      <c r="W353">
        <f>Migrationsartikel!N351</f>
        <v>0</v>
      </c>
      <c r="X353">
        <f>Migrationsartikel!G351</f>
        <v>0</v>
      </c>
      <c r="Y353">
        <f>Migrationsartikel!K351</f>
        <v>0</v>
      </c>
      <c r="Z353">
        <f>Migrationsartikel!O351</f>
        <v>0</v>
      </c>
      <c r="AA353" s="31">
        <f>Migrationsartikel!H351</f>
        <v>0</v>
      </c>
      <c r="AB353" s="31">
        <f>Migrationsartikel!L351</f>
        <v>0</v>
      </c>
      <c r="AC353" s="31">
        <f>Migrationsartikel!P351</f>
        <v>0</v>
      </c>
      <c r="AD353">
        <f>Migrationsartikel!I351</f>
        <v>0</v>
      </c>
      <c r="AE353">
        <f>Migrationsartikel!M351</f>
        <v>0</v>
      </c>
      <c r="AF353">
        <f>Migrationsartikel!Q351</f>
        <v>0</v>
      </c>
      <c r="AG353" s="45">
        <f>Migrationsartikel!R351</f>
        <v>0</v>
      </c>
      <c r="AH353" s="46">
        <f>Migrationsartikel!T351</f>
        <v>0</v>
      </c>
      <c r="AI353" s="46" t="str">
        <f t="shared" si="15"/>
        <v>n/a</v>
      </c>
      <c r="AJ353" s="46" t="s">
        <v>176</v>
      </c>
      <c r="AK353">
        <f>Migrationsartikel!S351</f>
        <v>0</v>
      </c>
      <c r="AL353">
        <f>Migrationsartikel!S351</f>
        <v>0</v>
      </c>
      <c r="AM353">
        <f>Migrationsartikel!S351</f>
        <v>0</v>
      </c>
      <c r="AN353">
        <f>Migrationsartikel!U351</f>
        <v>0</v>
      </c>
      <c r="AO353" t="str">
        <f t="shared" si="16"/>
        <v>n/a</v>
      </c>
      <c r="AP353" t="str">
        <f t="shared" si="17"/>
        <v>n/a</v>
      </c>
      <c r="AQ353" s="31" t="s">
        <v>195</v>
      </c>
      <c r="AR353" s="47"/>
      <c r="AS353" s="47"/>
      <c r="AT353" s="31" t="s">
        <v>208</v>
      </c>
      <c r="AU353" s="47"/>
      <c r="AV353" s="47"/>
      <c r="AW353" t="b">
        <f>IF(Migrationsartikel!AB351="ja","true",FALSE)</f>
        <v>0</v>
      </c>
      <c r="AX353" t="b">
        <f>IF(Migrationsartikel!AC351="ja","true",FALSE)</f>
        <v>0</v>
      </c>
      <c r="AY353" t="b">
        <f>IF(Migrationsartikel!AD351="ja","true",FALSE)</f>
        <v>0</v>
      </c>
      <c r="AZ353" t="b">
        <f>IF(Migrationsartikel!AE351="ja","true",FALSE)</f>
        <v>0</v>
      </c>
      <c r="BA353" t="str">
        <f>IF(Migrationsartikel!AF351="ja","Denner Partner","")</f>
        <v/>
      </c>
      <c r="BB353" t="str">
        <f>IF(Migrationsartikel!AG351="ja","true","false")</f>
        <v>false</v>
      </c>
      <c r="BC353" t="s">
        <v>1923</v>
      </c>
      <c r="BD353" s="31" t="s">
        <v>235</v>
      </c>
      <c r="BE353" s="31" t="s">
        <v>233</v>
      </c>
    </row>
    <row r="354" spans="2:57" ht="21.75" customHeight="1" x14ac:dyDescent="0.45">
      <c r="B354" t="s">
        <v>115</v>
      </c>
      <c r="E354" s="31" t="s">
        <v>1780</v>
      </c>
      <c r="F354" t="str">
        <f>"Warengruppe&gt;&gt;"&amp;Migrationsartikel!V352&amp;"&gt;&gt;"&amp;Migrationsartikel!W352&amp;"&gt;&gt;"&amp;Migrationsartikel!X352</f>
        <v>Warengruppe&gt;&gt;&gt;&gt;&gt;&gt;</v>
      </c>
      <c r="J354" s="31" t="s">
        <v>125</v>
      </c>
      <c r="M354" s="31" t="s">
        <v>137</v>
      </c>
      <c r="P354" s="31">
        <f>Migrationsartikel!B352</f>
        <v>0</v>
      </c>
      <c r="S354"/>
      <c r="T354"/>
      <c r="U354">
        <f>Migrationsartikel!F352</f>
        <v>0</v>
      </c>
      <c r="V354">
        <f>Migrationsartikel!J352</f>
        <v>0</v>
      </c>
      <c r="W354">
        <f>Migrationsartikel!N352</f>
        <v>0</v>
      </c>
      <c r="X354">
        <f>Migrationsartikel!G352</f>
        <v>0</v>
      </c>
      <c r="Y354">
        <f>Migrationsartikel!K352</f>
        <v>0</v>
      </c>
      <c r="Z354">
        <f>Migrationsartikel!O352</f>
        <v>0</v>
      </c>
      <c r="AA354" s="31">
        <f>Migrationsartikel!H352</f>
        <v>0</v>
      </c>
      <c r="AB354" s="31">
        <f>Migrationsartikel!L352</f>
        <v>0</v>
      </c>
      <c r="AC354" s="31">
        <f>Migrationsartikel!P352</f>
        <v>0</v>
      </c>
      <c r="AD354">
        <f>Migrationsartikel!I352</f>
        <v>0</v>
      </c>
      <c r="AE354">
        <f>Migrationsartikel!M352</f>
        <v>0</v>
      </c>
      <c r="AF354">
        <f>Migrationsartikel!Q352</f>
        <v>0</v>
      </c>
      <c r="AG354" s="45">
        <f>Migrationsartikel!R352</f>
        <v>0</v>
      </c>
      <c r="AH354" s="46">
        <f>Migrationsartikel!T352</f>
        <v>0</v>
      </c>
      <c r="AI354" s="46" t="str">
        <f t="shared" si="15"/>
        <v>n/a</v>
      </c>
      <c r="AJ354" s="46" t="s">
        <v>176</v>
      </c>
      <c r="AK354">
        <f>Migrationsartikel!S352</f>
        <v>0</v>
      </c>
      <c r="AL354">
        <f>Migrationsartikel!S352</f>
        <v>0</v>
      </c>
      <c r="AM354">
        <f>Migrationsartikel!S352</f>
        <v>0</v>
      </c>
      <c r="AN354">
        <f>Migrationsartikel!U352</f>
        <v>0</v>
      </c>
      <c r="AO354" t="str">
        <f t="shared" si="16"/>
        <v>n/a</v>
      </c>
      <c r="AP354" t="str">
        <f t="shared" si="17"/>
        <v>n/a</v>
      </c>
      <c r="AQ354" s="31" t="s">
        <v>195</v>
      </c>
      <c r="AR354" s="47"/>
      <c r="AS354" s="47"/>
      <c r="AT354" s="31" t="s">
        <v>208</v>
      </c>
      <c r="AU354" s="47"/>
      <c r="AV354" s="47"/>
      <c r="AW354" t="b">
        <f>IF(Migrationsartikel!AB352="ja","true",FALSE)</f>
        <v>0</v>
      </c>
      <c r="AX354" t="b">
        <f>IF(Migrationsartikel!AC352="ja","true",FALSE)</f>
        <v>0</v>
      </c>
      <c r="AY354" t="b">
        <f>IF(Migrationsartikel!AD352="ja","true",FALSE)</f>
        <v>0</v>
      </c>
      <c r="AZ354" t="b">
        <f>IF(Migrationsartikel!AE352="ja","true",FALSE)</f>
        <v>0</v>
      </c>
      <c r="BA354" t="str">
        <f>IF(Migrationsartikel!AF352="ja","Denner Partner","")</f>
        <v/>
      </c>
      <c r="BB354" t="str">
        <f>IF(Migrationsartikel!AG352="ja","true","false")</f>
        <v>false</v>
      </c>
      <c r="BC354" t="s">
        <v>1923</v>
      </c>
      <c r="BD354" s="31" t="s">
        <v>235</v>
      </c>
      <c r="BE354" s="31" t="s">
        <v>233</v>
      </c>
    </row>
    <row r="355" spans="2:57" ht="21.75" customHeight="1" x14ac:dyDescent="0.45">
      <c r="B355" t="s">
        <v>115</v>
      </c>
      <c r="E355" s="31" t="s">
        <v>1781</v>
      </c>
      <c r="F355" t="str">
        <f>"Warengruppe&gt;&gt;"&amp;Migrationsartikel!V353&amp;"&gt;&gt;"&amp;Migrationsartikel!W353&amp;"&gt;&gt;"&amp;Migrationsartikel!X353</f>
        <v>Warengruppe&gt;&gt;&gt;&gt;&gt;&gt;</v>
      </c>
      <c r="J355" s="31" t="s">
        <v>125</v>
      </c>
      <c r="M355" s="31" t="s">
        <v>137</v>
      </c>
      <c r="P355" s="31">
        <f>Migrationsartikel!B353</f>
        <v>0</v>
      </c>
      <c r="S355"/>
      <c r="T355"/>
      <c r="U355">
        <f>Migrationsartikel!F353</f>
        <v>0</v>
      </c>
      <c r="V355">
        <f>Migrationsartikel!J353</f>
        <v>0</v>
      </c>
      <c r="W355">
        <f>Migrationsartikel!N353</f>
        <v>0</v>
      </c>
      <c r="X355">
        <f>Migrationsartikel!G353</f>
        <v>0</v>
      </c>
      <c r="Y355">
        <f>Migrationsartikel!K353</f>
        <v>0</v>
      </c>
      <c r="Z355">
        <f>Migrationsartikel!O353</f>
        <v>0</v>
      </c>
      <c r="AA355" s="31">
        <f>Migrationsartikel!H353</f>
        <v>0</v>
      </c>
      <c r="AB355" s="31">
        <f>Migrationsartikel!L353</f>
        <v>0</v>
      </c>
      <c r="AC355" s="31">
        <f>Migrationsartikel!P353</f>
        <v>0</v>
      </c>
      <c r="AD355">
        <f>Migrationsartikel!I353</f>
        <v>0</v>
      </c>
      <c r="AE355">
        <f>Migrationsartikel!M353</f>
        <v>0</v>
      </c>
      <c r="AF355">
        <f>Migrationsartikel!Q353</f>
        <v>0</v>
      </c>
      <c r="AG355" s="45">
        <f>Migrationsartikel!R353</f>
        <v>0</v>
      </c>
      <c r="AH355" s="46">
        <f>Migrationsartikel!T353</f>
        <v>0</v>
      </c>
      <c r="AI355" s="46" t="str">
        <f t="shared" si="15"/>
        <v>n/a</v>
      </c>
      <c r="AJ355" s="46" t="s">
        <v>176</v>
      </c>
      <c r="AK355">
        <f>Migrationsartikel!S353</f>
        <v>0</v>
      </c>
      <c r="AL355">
        <f>Migrationsartikel!S353</f>
        <v>0</v>
      </c>
      <c r="AM355">
        <f>Migrationsartikel!S353</f>
        <v>0</v>
      </c>
      <c r="AN355">
        <f>Migrationsartikel!U353</f>
        <v>0</v>
      </c>
      <c r="AO355" t="str">
        <f t="shared" si="16"/>
        <v>n/a</v>
      </c>
      <c r="AP355" t="str">
        <f t="shared" si="17"/>
        <v>n/a</v>
      </c>
      <c r="AQ355" s="31" t="s">
        <v>195</v>
      </c>
      <c r="AR355" s="47"/>
      <c r="AS355" s="47"/>
      <c r="AT355" s="31" t="s">
        <v>208</v>
      </c>
      <c r="AU355" s="47"/>
      <c r="AV355" s="47"/>
      <c r="AW355" t="b">
        <f>IF(Migrationsartikel!AB353="ja","true",FALSE)</f>
        <v>0</v>
      </c>
      <c r="AX355" t="b">
        <f>IF(Migrationsartikel!AC353="ja","true",FALSE)</f>
        <v>0</v>
      </c>
      <c r="AY355" t="b">
        <f>IF(Migrationsartikel!AD353="ja","true",FALSE)</f>
        <v>0</v>
      </c>
      <c r="AZ355" t="b">
        <f>IF(Migrationsartikel!AE353="ja","true",FALSE)</f>
        <v>0</v>
      </c>
      <c r="BA355" t="str">
        <f>IF(Migrationsartikel!AF353="ja","Denner Partner","")</f>
        <v/>
      </c>
      <c r="BB355" t="str">
        <f>IF(Migrationsartikel!AG353="ja","true","false")</f>
        <v>false</v>
      </c>
      <c r="BC355" t="s">
        <v>1923</v>
      </c>
      <c r="BD355" s="31" t="s">
        <v>235</v>
      </c>
      <c r="BE355" s="31" t="s">
        <v>233</v>
      </c>
    </row>
    <row r="356" spans="2:57" ht="21.75" customHeight="1" x14ac:dyDescent="0.45">
      <c r="B356" t="s">
        <v>115</v>
      </c>
      <c r="E356" s="31" t="s">
        <v>1782</v>
      </c>
      <c r="F356" t="str">
        <f>"Warengruppe&gt;&gt;"&amp;Migrationsartikel!V354&amp;"&gt;&gt;"&amp;Migrationsartikel!W354&amp;"&gt;&gt;"&amp;Migrationsartikel!X354</f>
        <v>Warengruppe&gt;&gt;&gt;&gt;&gt;&gt;</v>
      </c>
      <c r="J356" s="31" t="s">
        <v>125</v>
      </c>
      <c r="M356" s="31" t="s">
        <v>137</v>
      </c>
      <c r="P356" s="31">
        <f>Migrationsartikel!B354</f>
        <v>0</v>
      </c>
      <c r="S356"/>
      <c r="T356"/>
      <c r="U356">
        <f>Migrationsartikel!F354</f>
        <v>0</v>
      </c>
      <c r="V356">
        <f>Migrationsartikel!J354</f>
        <v>0</v>
      </c>
      <c r="W356">
        <f>Migrationsartikel!N354</f>
        <v>0</v>
      </c>
      <c r="X356">
        <f>Migrationsartikel!G354</f>
        <v>0</v>
      </c>
      <c r="Y356">
        <f>Migrationsartikel!K354</f>
        <v>0</v>
      </c>
      <c r="Z356">
        <f>Migrationsartikel!O354</f>
        <v>0</v>
      </c>
      <c r="AA356" s="31">
        <f>Migrationsartikel!H354</f>
        <v>0</v>
      </c>
      <c r="AB356" s="31">
        <f>Migrationsartikel!L354</f>
        <v>0</v>
      </c>
      <c r="AC356" s="31">
        <f>Migrationsartikel!P354</f>
        <v>0</v>
      </c>
      <c r="AD356">
        <f>Migrationsartikel!I354</f>
        <v>0</v>
      </c>
      <c r="AE356">
        <f>Migrationsartikel!M354</f>
        <v>0</v>
      </c>
      <c r="AF356">
        <f>Migrationsartikel!Q354</f>
        <v>0</v>
      </c>
      <c r="AG356" s="45">
        <f>Migrationsartikel!R354</f>
        <v>0</v>
      </c>
      <c r="AH356" s="46">
        <f>Migrationsartikel!T354</f>
        <v>0</v>
      </c>
      <c r="AI356" s="46" t="str">
        <f t="shared" si="15"/>
        <v>n/a</v>
      </c>
      <c r="AJ356" s="46" t="s">
        <v>176</v>
      </c>
      <c r="AK356">
        <f>Migrationsartikel!S354</f>
        <v>0</v>
      </c>
      <c r="AL356">
        <f>Migrationsartikel!S354</f>
        <v>0</v>
      </c>
      <c r="AM356">
        <f>Migrationsartikel!S354</f>
        <v>0</v>
      </c>
      <c r="AN356">
        <f>Migrationsartikel!U354</f>
        <v>0</v>
      </c>
      <c r="AO356" t="str">
        <f t="shared" si="16"/>
        <v>n/a</v>
      </c>
      <c r="AP356" t="str">
        <f t="shared" si="17"/>
        <v>n/a</v>
      </c>
      <c r="AQ356" s="31" t="s">
        <v>195</v>
      </c>
      <c r="AR356" s="47"/>
      <c r="AS356" s="47"/>
      <c r="AT356" s="31" t="s">
        <v>208</v>
      </c>
      <c r="AU356" s="47"/>
      <c r="AV356" s="47"/>
      <c r="AW356" t="b">
        <f>IF(Migrationsartikel!AB354="ja","true",FALSE)</f>
        <v>0</v>
      </c>
      <c r="AX356" t="b">
        <f>IF(Migrationsartikel!AC354="ja","true",FALSE)</f>
        <v>0</v>
      </c>
      <c r="AY356" t="b">
        <f>IF(Migrationsartikel!AD354="ja","true",FALSE)</f>
        <v>0</v>
      </c>
      <c r="AZ356" t="b">
        <f>IF(Migrationsartikel!AE354="ja","true",FALSE)</f>
        <v>0</v>
      </c>
      <c r="BA356" t="str">
        <f>IF(Migrationsartikel!AF354="ja","Denner Partner","")</f>
        <v/>
      </c>
      <c r="BB356" t="str">
        <f>IF(Migrationsartikel!AG354="ja","true","false")</f>
        <v>false</v>
      </c>
      <c r="BC356" t="s">
        <v>1923</v>
      </c>
      <c r="BD356" s="31" t="s">
        <v>235</v>
      </c>
      <c r="BE356" s="31" t="s">
        <v>233</v>
      </c>
    </row>
    <row r="357" spans="2:57" ht="21.75" customHeight="1" x14ac:dyDescent="0.45">
      <c r="B357" t="s">
        <v>115</v>
      </c>
      <c r="E357" s="31" t="s">
        <v>1783</v>
      </c>
      <c r="F357" t="str">
        <f>"Warengruppe&gt;&gt;"&amp;Migrationsartikel!V355&amp;"&gt;&gt;"&amp;Migrationsartikel!W355&amp;"&gt;&gt;"&amp;Migrationsartikel!X355</f>
        <v>Warengruppe&gt;&gt;&gt;&gt;&gt;&gt;</v>
      </c>
      <c r="J357" s="31" t="s">
        <v>125</v>
      </c>
      <c r="M357" s="31" t="s">
        <v>137</v>
      </c>
      <c r="P357" s="31">
        <f>Migrationsartikel!B355</f>
        <v>0</v>
      </c>
      <c r="S357"/>
      <c r="T357"/>
      <c r="U357">
        <f>Migrationsartikel!F355</f>
        <v>0</v>
      </c>
      <c r="V357">
        <f>Migrationsartikel!J355</f>
        <v>0</v>
      </c>
      <c r="W357">
        <f>Migrationsartikel!N355</f>
        <v>0</v>
      </c>
      <c r="X357">
        <f>Migrationsartikel!G355</f>
        <v>0</v>
      </c>
      <c r="Y357">
        <f>Migrationsartikel!K355</f>
        <v>0</v>
      </c>
      <c r="Z357">
        <f>Migrationsartikel!O355</f>
        <v>0</v>
      </c>
      <c r="AA357" s="31">
        <f>Migrationsartikel!H355</f>
        <v>0</v>
      </c>
      <c r="AB357" s="31">
        <f>Migrationsartikel!L355</f>
        <v>0</v>
      </c>
      <c r="AC357" s="31">
        <f>Migrationsartikel!P355</f>
        <v>0</v>
      </c>
      <c r="AD357">
        <f>Migrationsartikel!I355</f>
        <v>0</v>
      </c>
      <c r="AE357">
        <f>Migrationsartikel!M355</f>
        <v>0</v>
      </c>
      <c r="AF357">
        <f>Migrationsartikel!Q355</f>
        <v>0</v>
      </c>
      <c r="AG357" s="45">
        <f>Migrationsartikel!R355</f>
        <v>0</v>
      </c>
      <c r="AH357" s="46">
        <f>Migrationsartikel!T355</f>
        <v>0</v>
      </c>
      <c r="AI357" s="46" t="str">
        <f t="shared" si="15"/>
        <v>n/a</v>
      </c>
      <c r="AJ357" s="46" t="s">
        <v>176</v>
      </c>
      <c r="AK357">
        <f>Migrationsartikel!S355</f>
        <v>0</v>
      </c>
      <c r="AL357">
        <f>Migrationsartikel!S355</f>
        <v>0</v>
      </c>
      <c r="AM357">
        <f>Migrationsartikel!S355</f>
        <v>0</v>
      </c>
      <c r="AN357">
        <f>Migrationsartikel!U355</f>
        <v>0</v>
      </c>
      <c r="AO357" t="str">
        <f t="shared" si="16"/>
        <v>n/a</v>
      </c>
      <c r="AP357" t="str">
        <f t="shared" si="17"/>
        <v>n/a</v>
      </c>
      <c r="AQ357" s="31" t="s">
        <v>195</v>
      </c>
      <c r="AR357" s="47"/>
      <c r="AS357" s="47"/>
      <c r="AT357" s="31" t="s">
        <v>208</v>
      </c>
      <c r="AU357" s="47"/>
      <c r="AV357" s="47"/>
      <c r="AW357" t="b">
        <f>IF(Migrationsartikel!AB355="ja","true",FALSE)</f>
        <v>0</v>
      </c>
      <c r="AX357" t="b">
        <f>IF(Migrationsartikel!AC355="ja","true",FALSE)</f>
        <v>0</v>
      </c>
      <c r="AY357" t="b">
        <f>IF(Migrationsartikel!AD355="ja","true",FALSE)</f>
        <v>0</v>
      </c>
      <c r="AZ357" t="b">
        <f>IF(Migrationsartikel!AE355="ja","true",FALSE)</f>
        <v>0</v>
      </c>
      <c r="BA357" t="str">
        <f>IF(Migrationsartikel!AF355="ja","Denner Partner","")</f>
        <v/>
      </c>
      <c r="BB357" t="str">
        <f>IF(Migrationsartikel!AG355="ja","true","false")</f>
        <v>false</v>
      </c>
      <c r="BC357" t="s">
        <v>1923</v>
      </c>
      <c r="BD357" s="31" t="s">
        <v>235</v>
      </c>
      <c r="BE357" s="31" t="s">
        <v>233</v>
      </c>
    </row>
    <row r="358" spans="2:57" ht="21.75" customHeight="1" x14ac:dyDescent="0.45">
      <c r="B358" t="s">
        <v>115</v>
      </c>
      <c r="E358" s="31" t="s">
        <v>1784</v>
      </c>
      <c r="F358" t="str">
        <f>"Warengruppe&gt;&gt;"&amp;Migrationsartikel!V356&amp;"&gt;&gt;"&amp;Migrationsartikel!W356&amp;"&gt;&gt;"&amp;Migrationsartikel!X356</f>
        <v>Warengruppe&gt;&gt;&gt;&gt;&gt;&gt;</v>
      </c>
      <c r="J358" s="31" t="s">
        <v>125</v>
      </c>
      <c r="M358" s="31" t="s">
        <v>137</v>
      </c>
      <c r="P358" s="31">
        <f>Migrationsartikel!B356</f>
        <v>0</v>
      </c>
      <c r="S358"/>
      <c r="T358"/>
      <c r="U358">
        <f>Migrationsartikel!F356</f>
        <v>0</v>
      </c>
      <c r="V358">
        <f>Migrationsartikel!J356</f>
        <v>0</v>
      </c>
      <c r="W358">
        <f>Migrationsartikel!N356</f>
        <v>0</v>
      </c>
      <c r="X358">
        <f>Migrationsartikel!G356</f>
        <v>0</v>
      </c>
      <c r="Y358">
        <f>Migrationsartikel!K356</f>
        <v>0</v>
      </c>
      <c r="Z358">
        <f>Migrationsartikel!O356</f>
        <v>0</v>
      </c>
      <c r="AA358" s="31">
        <f>Migrationsartikel!H356</f>
        <v>0</v>
      </c>
      <c r="AB358" s="31">
        <f>Migrationsartikel!L356</f>
        <v>0</v>
      </c>
      <c r="AC358" s="31">
        <f>Migrationsartikel!P356</f>
        <v>0</v>
      </c>
      <c r="AD358">
        <f>Migrationsartikel!I356</f>
        <v>0</v>
      </c>
      <c r="AE358">
        <f>Migrationsartikel!M356</f>
        <v>0</v>
      </c>
      <c r="AF358">
        <f>Migrationsartikel!Q356</f>
        <v>0</v>
      </c>
      <c r="AG358" s="45">
        <f>Migrationsartikel!R356</f>
        <v>0</v>
      </c>
      <c r="AH358" s="46">
        <f>Migrationsartikel!T356</f>
        <v>0</v>
      </c>
      <c r="AI358" s="46" t="str">
        <f t="shared" si="15"/>
        <v>n/a</v>
      </c>
      <c r="AJ358" s="46" t="s">
        <v>176</v>
      </c>
      <c r="AK358">
        <f>Migrationsartikel!S356</f>
        <v>0</v>
      </c>
      <c r="AL358">
        <f>Migrationsartikel!S356</f>
        <v>0</v>
      </c>
      <c r="AM358">
        <f>Migrationsartikel!S356</f>
        <v>0</v>
      </c>
      <c r="AN358">
        <f>Migrationsartikel!U356</f>
        <v>0</v>
      </c>
      <c r="AO358" t="str">
        <f t="shared" si="16"/>
        <v>n/a</v>
      </c>
      <c r="AP358" t="str">
        <f t="shared" si="17"/>
        <v>n/a</v>
      </c>
      <c r="AQ358" s="31" t="s">
        <v>195</v>
      </c>
      <c r="AR358" s="47"/>
      <c r="AS358" s="47"/>
      <c r="AT358" s="31" t="s">
        <v>208</v>
      </c>
      <c r="AU358" s="47"/>
      <c r="AV358" s="47"/>
      <c r="AW358" t="b">
        <f>IF(Migrationsartikel!AB356="ja","true",FALSE)</f>
        <v>0</v>
      </c>
      <c r="AX358" t="b">
        <f>IF(Migrationsartikel!AC356="ja","true",FALSE)</f>
        <v>0</v>
      </c>
      <c r="AY358" t="b">
        <f>IF(Migrationsartikel!AD356="ja","true",FALSE)</f>
        <v>0</v>
      </c>
      <c r="AZ358" t="b">
        <f>IF(Migrationsartikel!AE356="ja","true",FALSE)</f>
        <v>0</v>
      </c>
      <c r="BA358" t="str">
        <f>IF(Migrationsartikel!AF356="ja","Denner Partner","")</f>
        <v/>
      </c>
      <c r="BB358" t="str">
        <f>IF(Migrationsartikel!AG356="ja","true","false")</f>
        <v>false</v>
      </c>
      <c r="BC358" t="s">
        <v>1923</v>
      </c>
      <c r="BD358" s="31" t="s">
        <v>235</v>
      </c>
      <c r="BE358" s="31" t="s">
        <v>233</v>
      </c>
    </row>
    <row r="359" spans="2:57" ht="21.75" customHeight="1" x14ac:dyDescent="0.45">
      <c r="B359" t="s">
        <v>115</v>
      </c>
      <c r="E359" s="31" t="s">
        <v>1785</v>
      </c>
      <c r="F359" t="str">
        <f>"Warengruppe&gt;&gt;"&amp;Migrationsartikel!V357&amp;"&gt;&gt;"&amp;Migrationsartikel!W357&amp;"&gt;&gt;"&amp;Migrationsartikel!X357</f>
        <v>Warengruppe&gt;&gt;&gt;&gt;&gt;&gt;</v>
      </c>
      <c r="J359" s="31" t="s">
        <v>125</v>
      </c>
      <c r="M359" s="31" t="s">
        <v>137</v>
      </c>
      <c r="P359" s="31">
        <f>Migrationsartikel!B357</f>
        <v>0</v>
      </c>
      <c r="S359"/>
      <c r="T359"/>
      <c r="U359">
        <f>Migrationsartikel!F357</f>
        <v>0</v>
      </c>
      <c r="V359">
        <f>Migrationsartikel!J357</f>
        <v>0</v>
      </c>
      <c r="W359">
        <f>Migrationsartikel!N357</f>
        <v>0</v>
      </c>
      <c r="X359">
        <f>Migrationsartikel!G357</f>
        <v>0</v>
      </c>
      <c r="Y359">
        <f>Migrationsartikel!K357</f>
        <v>0</v>
      </c>
      <c r="Z359">
        <f>Migrationsartikel!O357</f>
        <v>0</v>
      </c>
      <c r="AA359" s="31">
        <f>Migrationsartikel!H357</f>
        <v>0</v>
      </c>
      <c r="AB359" s="31">
        <f>Migrationsartikel!L357</f>
        <v>0</v>
      </c>
      <c r="AC359" s="31">
        <f>Migrationsartikel!P357</f>
        <v>0</v>
      </c>
      <c r="AD359">
        <f>Migrationsartikel!I357</f>
        <v>0</v>
      </c>
      <c r="AE359">
        <f>Migrationsartikel!M357</f>
        <v>0</v>
      </c>
      <c r="AF359">
        <f>Migrationsartikel!Q357</f>
        <v>0</v>
      </c>
      <c r="AG359" s="45">
        <f>Migrationsartikel!R357</f>
        <v>0</v>
      </c>
      <c r="AH359" s="46">
        <f>Migrationsartikel!T357</f>
        <v>0</v>
      </c>
      <c r="AI359" s="46" t="str">
        <f t="shared" si="15"/>
        <v>n/a</v>
      </c>
      <c r="AJ359" s="46" t="s">
        <v>176</v>
      </c>
      <c r="AK359">
        <f>Migrationsartikel!S357</f>
        <v>0</v>
      </c>
      <c r="AL359">
        <f>Migrationsartikel!S357</f>
        <v>0</v>
      </c>
      <c r="AM359">
        <f>Migrationsartikel!S357</f>
        <v>0</v>
      </c>
      <c r="AN359">
        <f>Migrationsartikel!U357</f>
        <v>0</v>
      </c>
      <c r="AO359" t="str">
        <f t="shared" si="16"/>
        <v>n/a</v>
      </c>
      <c r="AP359" t="str">
        <f t="shared" si="17"/>
        <v>n/a</v>
      </c>
      <c r="AQ359" s="31" t="s">
        <v>195</v>
      </c>
      <c r="AR359" s="47"/>
      <c r="AS359" s="47"/>
      <c r="AT359" s="31" t="s">
        <v>208</v>
      </c>
      <c r="AU359" s="47"/>
      <c r="AV359" s="47"/>
      <c r="AW359" t="b">
        <f>IF(Migrationsartikel!AB357="ja","true",FALSE)</f>
        <v>0</v>
      </c>
      <c r="AX359" t="b">
        <f>IF(Migrationsartikel!AC357="ja","true",FALSE)</f>
        <v>0</v>
      </c>
      <c r="AY359" t="b">
        <f>IF(Migrationsartikel!AD357="ja","true",FALSE)</f>
        <v>0</v>
      </c>
      <c r="AZ359" t="b">
        <f>IF(Migrationsartikel!AE357="ja","true",FALSE)</f>
        <v>0</v>
      </c>
      <c r="BA359" t="str">
        <f>IF(Migrationsartikel!AF357="ja","Denner Partner","")</f>
        <v/>
      </c>
      <c r="BB359" t="str">
        <f>IF(Migrationsartikel!AG357="ja","true","false")</f>
        <v>false</v>
      </c>
      <c r="BC359" t="s">
        <v>1923</v>
      </c>
      <c r="BD359" s="31" t="s">
        <v>235</v>
      </c>
      <c r="BE359" s="31" t="s">
        <v>233</v>
      </c>
    </row>
    <row r="360" spans="2:57" ht="21.75" customHeight="1" x14ac:dyDescent="0.45">
      <c r="B360" t="s">
        <v>115</v>
      </c>
      <c r="E360" s="31" t="s">
        <v>1786</v>
      </c>
      <c r="F360" t="str">
        <f>"Warengruppe&gt;&gt;"&amp;Migrationsartikel!V358&amp;"&gt;&gt;"&amp;Migrationsartikel!W358&amp;"&gt;&gt;"&amp;Migrationsartikel!X358</f>
        <v>Warengruppe&gt;&gt;&gt;&gt;&gt;&gt;</v>
      </c>
      <c r="J360" s="31" t="s">
        <v>125</v>
      </c>
      <c r="M360" s="31" t="s">
        <v>137</v>
      </c>
      <c r="P360" s="31">
        <f>Migrationsartikel!B358</f>
        <v>0</v>
      </c>
      <c r="S360"/>
      <c r="T360"/>
      <c r="U360">
        <f>Migrationsartikel!F358</f>
        <v>0</v>
      </c>
      <c r="V360">
        <f>Migrationsartikel!J358</f>
        <v>0</v>
      </c>
      <c r="W360">
        <f>Migrationsartikel!N358</f>
        <v>0</v>
      </c>
      <c r="X360">
        <f>Migrationsartikel!G358</f>
        <v>0</v>
      </c>
      <c r="Y360">
        <f>Migrationsartikel!K358</f>
        <v>0</v>
      </c>
      <c r="Z360">
        <f>Migrationsartikel!O358</f>
        <v>0</v>
      </c>
      <c r="AA360" s="31">
        <f>Migrationsartikel!H358</f>
        <v>0</v>
      </c>
      <c r="AB360" s="31">
        <f>Migrationsartikel!L358</f>
        <v>0</v>
      </c>
      <c r="AC360" s="31">
        <f>Migrationsartikel!P358</f>
        <v>0</v>
      </c>
      <c r="AD360">
        <f>Migrationsartikel!I358</f>
        <v>0</v>
      </c>
      <c r="AE360">
        <f>Migrationsartikel!M358</f>
        <v>0</v>
      </c>
      <c r="AF360">
        <f>Migrationsartikel!Q358</f>
        <v>0</v>
      </c>
      <c r="AG360" s="45">
        <f>Migrationsartikel!R358</f>
        <v>0</v>
      </c>
      <c r="AH360" s="46">
        <f>Migrationsartikel!T358</f>
        <v>0</v>
      </c>
      <c r="AI360" s="46" t="str">
        <f t="shared" si="15"/>
        <v>n/a</v>
      </c>
      <c r="AJ360" s="46" t="s">
        <v>176</v>
      </c>
      <c r="AK360">
        <f>Migrationsartikel!S358</f>
        <v>0</v>
      </c>
      <c r="AL360">
        <f>Migrationsartikel!S358</f>
        <v>0</v>
      </c>
      <c r="AM360">
        <f>Migrationsartikel!S358</f>
        <v>0</v>
      </c>
      <c r="AN360">
        <f>Migrationsartikel!U358</f>
        <v>0</v>
      </c>
      <c r="AO360" t="str">
        <f t="shared" si="16"/>
        <v>n/a</v>
      </c>
      <c r="AP360" t="str">
        <f t="shared" si="17"/>
        <v>n/a</v>
      </c>
      <c r="AQ360" s="31" t="s">
        <v>195</v>
      </c>
      <c r="AR360" s="47"/>
      <c r="AS360" s="47"/>
      <c r="AT360" s="31" t="s">
        <v>208</v>
      </c>
      <c r="AU360" s="47"/>
      <c r="AV360" s="47"/>
      <c r="AW360" t="b">
        <f>IF(Migrationsartikel!AB358="ja","true",FALSE)</f>
        <v>0</v>
      </c>
      <c r="AX360" t="b">
        <f>IF(Migrationsartikel!AC358="ja","true",FALSE)</f>
        <v>0</v>
      </c>
      <c r="AY360" t="b">
        <f>IF(Migrationsartikel!AD358="ja","true",FALSE)</f>
        <v>0</v>
      </c>
      <c r="AZ360" t="b">
        <f>IF(Migrationsartikel!AE358="ja","true",FALSE)</f>
        <v>0</v>
      </c>
      <c r="BA360" t="str">
        <f>IF(Migrationsartikel!AF358="ja","Denner Partner","")</f>
        <v/>
      </c>
      <c r="BB360" t="str">
        <f>IF(Migrationsartikel!AG358="ja","true","false")</f>
        <v>false</v>
      </c>
      <c r="BC360" t="s">
        <v>1923</v>
      </c>
      <c r="BD360" s="31" t="s">
        <v>235</v>
      </c>
      <c r="BE360" s="31" t="s">
        <v>233</v>
      </c>
    </row>
    <row r="361" spans="2:57" ht="21.75" customHeight="1" x14ac:dyDescent="0.45">
      <c r="B361" t="s">
        <v>115</v>
      </c>
      <c r="E361" s="31" t="s">
        <v>1787</v>
      </c>
      <c r="F361" t="str">
        <f>"Warengruppe&gt;&gt;"&amp;Migrationsartikel!V359&amp;"&gt;&gt;"&amp;Migrationsartikel!W359&amp;"&gt;&gt;"&amp;Migrationsartikel!X359</f>
        <v>Warengruppe&gt;&gt;&gt;&gt;&gt;&gt;</v>
      </c>
      <c r="J361" s="31" t="s">
        <v>125</v>
      </c>
      <c r="M361" s="31" t="s">
        <v>137</v>
      </c>
      <c r="P361" s="31">
        <f>Migrationsartikel!B359</f>
        <v>0</v>
      </c>
      <c r="S361"/>
      <c r="T361"/>
      <c r="U361">
        <f>Migrationsartikel!F359</f>
        <v>0</v>
      </c>
      <c r="V361">
        <f>Migrationsartikel!J359</f>
        <v>0</v>
      </c>
      <c r="W361">
        <f>Migrationsartikel!N359</f>
        <v>0</v>
      </c>
      <c r="X361">
        <f>Migrationsartikel!G359</f>
        <v>0</v>
      </c>
      <c r="Y361">
        <f>Migrationsartikel!K359</f>
        <v>0</v>
      </c>
      <c r="Z361">
        <f>Migrationsartikel!O359</f>
        <v>0</v>
      </c>
      <c r="AA361" s="31">
        <f>Migrationsartikel!H359</f>
        <v>0</v>
      </c>
      <c r="AB361" s="31">
        <f>Migrationsartikel!L359</f>
        <v>0</v>
      </c>
      <c r="AC361" s="31">
        <f>Migrationsartikel!P359</f>
        <v>0</v>
      </c>
      <c r="AD361">
        <f>Migrationsartikel!I359</f>
        <v>0</v>
      </c>
      <c r="AE361">
        <f>Migrationsartikel!M359</f>
        <v>0</v>
      </c>
      <c r="AF361">
        <f>Migrationsartikel!Q359</f>
        <v>0</v>
      </c>
      <c r="AG361" s="45">
        <f>Migrationsartikel!R359</f>
        <v>0</v>
      </c>
      <c r="AH361" s="46">
        <f>Migrationsartikel!T359</f>
        <v>0</v>
      </c>
      <c r="AI361" s="46" t="str">
        <f t="shared" si="15"/>
        <v>n/a</v>
      </c>
      <c r="AJ361" s="46" t="s">
        <v>176</v>
      </c>
      <c r="AK361">
        <f>Migrationsartikel!S359</f>
        <v>0</v>
      </c>
      <c r="AL361">
        <f>Migrationsartikel!S359</f>
        <v>0</v>
      </c>
      <c r="AM361">
        <f>Migrationsartikel!S359</f>
        <v>0</v>
      </c>
      <c r="AN361">
        <f>Migrationsartikel!U359</f>
        <v>0</v>
      </c>
      <c r="AO361" t="str">
        <f t="shared" si="16"/>
        <v>n/a</v>
      </c>
      <c r="AP361" t="str">
        <f t="shared" si="17"/>
        <v>n/a</v>
      </c>
      <c r="AQ361" s="31" t="s">
        <v>195</v>
      </c>
      <c r="AR361" s="47"/>
      <c r="AS361" s="47"/>
      <c r="AT361" s="31" t="s">
        <v>208</v>
      </c>
      <c r="AU361" s="47"/>
      <c r="AV361" s="47"/>
      <c r="AW361" t="b">
        <f>IF(Migrationsartikel!AB359="ja","true",FALSE)</f>
        <v>0</v>
      </c>
      <c r="AX361" t="b">
        <f>IF(Migrationsartikel!AC359="ja","true",FALSE)</f>
        <v>0</v>
      </c>
      <c r="AY361" t="b">
        <f>IF(Migrationsartikel!AD359="ja","true",FALSE)</f>
        <v>0</v>
      </c>
      <c r="AZ361" t="b">
        <f>IF(Migrationsartikel!AE359="ja","true",FALSE)</f>
        <v>0</v>
      </c>
      <c r="BA361" t="str">
        <f>IF(Migrationsartikel!AF359="ja","Denner Partner","")</f>
        <v/>
      </c>
      <c r="BB361" t="str">
        <f>IF(Migrationsartikel!AG359="ja","true","false")</f>
        <v>false</v>
      </c>
      <c r="BC361" t="s">
        <v>1923</v>
      </c>
      <c r="BD361" s="31" t="s">
        <v>235</v>
      </c>
      <c r="BE361" s="31" t="s">
        <v>233</v>
      </c>
    </row>
    <row r="362" spans="2:57" ht="21.75" customHeight="1" x14ac:dyDescent="0.45">
      <c r="B362" t="s">
        <v>115</v>
      </c>
      <c r="E362" s="31" t="s">
        <v>1788</v>
      </c>
      <c r="F362" t="str">
        <f>"Warengruppe&gt;&gt;"&amp;Migrationsartikel!V360&amp;"&gt;&gt;"&amp;Migrationsartikel!W360&amp;"&gt;&gt;"&amp;Migrationsartikel!X360</f>
        <v>Warengruppe&gt;&gt;&gt;&gt;&gt;&gt;</v>
      </c>
      <c r="J362" s="31" t="s">
        <v>125</v>
      </c>
      <c r="M362" s="31" t="s">
        <v>137</v>
      </c>
      <c r="P362" s="31">
        <f>Migrationsartikel!B360</f>
        <v>0</v>
      </c>
      <c r="S362"/>
      <c r="T362"/>
      <c r="U362">
        <f>Migrationsartikel!F360</f>
        <v>0</v>
      </c>
      <c r="V362">
        <f>Migrationsartikel!J360</f>
        <v>0</v>
      </c>
      <c r="W362">
        <f>Migrationsartikel!N360</f>
        <v>0</v>
      </c>
      <c r="X362">
        <f>Migrationsartikel!G360</f>
        <v>0</v>
      </c>
      <c r="Y362">
        <f>Migrationsartikel!K360</f>
        <v>0</v>
      </c>
      <c r="Z362">
        <f>Migrationsartikel!O360</f>
        <v>0</v>
      </c>
      <c r="AA362" s="31">
        <f>Migrationsartikel!H360</f>
        <v>0</v>
      </c>
      <c r="AB362" s="31">
        <f>Migrationsartikel!L360</f>
        <v>0</v>
      </c>
      <c r="AC362" s="31">
        <f>Migrationsartikel!P360</f>
        <v>0</v>
      </c>
      <c r="AD362">
        <f>Migrationsartikel!I360</f>
        <v>0</v>
      </c>
      <c r="AE362">
        <f>Migrationsartikel!M360</f>
        <v>0</v>
      </c>
      <c r="AF362">
        <f>Migrationsartikel!Q360</f>
        <v>0</v>
      </c>
      <c r="AG362" s="45">
        <f>Migrationsartikel!R360</f>
        <v>0</v>
      </c>
      <c r="AH362" s="46">
        <f>Migrationsartikel!T360</f>
        <v>0</v>
      </c>
      <c r="AI362" s="46" t="str">
        <f t="shared" si="15"/>
        <v>n/a</v>
      </c>
      <c r="AJ362" s="46" t="s">
        <v>176</v>
      </c>
      <c r="AK362">
        <f>Migrationsartikel!S360</f>
        <v>0</v>
      </c>
      <c r="AL362">
        <f>Migrationsartikel!S360</f>
        <v>0</v>
      </c>
      <c r="AM362">
        <f>Migrationsartikel!S360</f>
        <v>0</v>
      </c>
      <c r="AN362">
        <f>Migrationsartikel!U360</f>
        <v>0</v>
      </c>
      <c r="AO362" t="str">
        <f t="shared" si="16"/>
        <v>n/a</v>
      </c>
      <c r="AP362" t="str">
        <f t="shared" si="17"/>
        <v>n/a</v>
      </c>
      <c r="AQ362" s="31" t="s">
        <v>195</v>
      </c>
      <c r="AR362" s="47"/>
      <c r="AS362" s="47"/>
      <c r="AT362" s="31" t="s">
        <v>208</v>
      </c>
      <c r="AU362" s="47"/>
      <c r="AV362" s="47"/>
      <c r="AW362" t="b">
        <f>IF(Migrationsartikel!AB360="ja","true",FALSE)</f>
        <v>0</v>
      </c>
      <c r="AX362" t="b">
        <f>IF(Migrationsartikel!AC360="ja","true",FALSE)</f>
        <v>0</v>
      </c>
      <c r="AY362" t="b">
        <f>IF(Migrationsartikel!AD360="ja","true",FALSE)</f>
        <v>0</v>
      </c>
      <c r="AZ362" t="b">
        <f>IF(Migrationsartikel!AE360="ja","true",FALSE)</f>
        <v>0</v>
      </c>
      <c r="BA362" t="str">
        <f>IF(Migrationsartikel!AF360="ja","Denner Partner","")</f>
        <v/>
      </c>
      <c r="BB362" t="str">
        <f>IF(Migrationsartikel!AG360="ja","true","false")</f>
        <v>false</v>
      </c>
      <c r="BC362" t="s">
        <v>1923</v>
      </c>
      <c r="BD362" s="31" t="s">
        <v>235</v>
      </c>
      <c r="BE362" s="31" t="s">
        <v>233</v>
      </c>
    </row>
    <row r="363" spans="2:57" ht="21.75" customHeight="1" x14ac:dyDescent="0.45">
      <c r="B363" t="s">
        <v>115</v>
      </c>
      <c r="E363" s="31" t="s">
        <v>1789</v>
      </c>
      <c r="F363" t="str">
        <f>"Warengruppe&gt;&gt;"&amp;Migrationsartikel!V361&amp;"&gt;&gt;"&amp;Migrationsartikel!W361&amp;"&gt;&gt;"&amp;Migrationsartikel!X361</f>
        <v>Warengruppe&gt;&gt;&gt;&gt;&gt;&gt;</v>
      </c>
      <c r="J363" s="31" t="s">
        <v>125</v>
      </c>
      <c r="M363" s="31" t="s">
        <v>137</v>
      </c>
      <c r="P363" s="31">
        <f>Migrationsartikel!B361</f>
        <v>0</v>
      </c>
      <c r="S363"/>
      <c r="T363"/>
      <c r="U363">
        <f>Migrationsartikel!F361</f>
        <v>0</v>
      </c>
      <c r="V363">
        <f>Migrationsartikel!J361</f>
        <v>0</v>
      </c>
      <c r="W363">
        <f>Migrationsartikel!N361</f>
        <v>0</v>
      </c>
      <c r="X363">
        <f>Migrationsartikel!G361</f>
        <v>0</v>
      </c>
      <c r="Y363">
        <f>Migrationsartikel!K361</f>
        <v>0</v>
      </c>
      <c r="Z363">
        <f>Migrationsartikel!O361</f>
        <v>0</v>
      </c>
      <c r="AA363" s="31">
        <f>Migrationsartikel!H361</f>
        <v>0</v>
      </c>
      <c r="AB363" s="31">
        <f>Migrationsartikel!L361</f>
        <v>0</v>
      </c>
      <c r="AC363" s="31">
        <f>Migrationsartikel!P361</f>
        <v>0</v>
      </c>
      <c r="AD363">
        <f>Migrationsartikel!I361</f>
        <v>0</v>
      </c>
      <c r="AE363">
        <f>Migrationsartikel!M361</f>
        <v>0</v>
      </c>
      <c r="AF363">
        <f>Migrationsartikel!Q361</f>
        <v>0</v>
      </c>
      <c r="AG363" s="45">
        <f>Migrationsartikel!R361</f>
        <v>0</v>
      </c>
      <c r="AH363" s="46">
        <f>Migrationsartikel!T361</f>
        <v>0</v>
      </c>
      <c r="AI363" s="46" t="str">
        <f t="shared" si="15"/>
        <v>n/a</v>
      </c>
      <c r="AJ363" s="46" t="s">
        <v>176</v>
      </c>
      <c r="AK363">
        <f>Migrationsartikel!S361</f>
        <v>0</v>
      </c>
      <c r="AL363">
        <f>Migrationsartikel!S361</f>
        <v>0</v>
      </c>
      <c r="AM363">
        <f>Migrationsartikel!S361</f>
        <v>0</v>
      </c>
      <c r="AN363">
        <f>Migrationsartikel!U361</f>
        <v>0</v>
      </c>
      <c r="AO363" t="str">
        <f t="shared" si="16"/>
        <v>n/a</v>
      </c>
      <c r="AP363" t="str">
        <f t="shared" si="17"/>
        <v>n/a</v>
      </c>
      <c r="AQ363" s="31" t="s">
        <v>195</v>
      </c>
      <c r="AR363" s="47"/>
      <c r="AS363" s="47"/>
      <c r="AT363" s="31" t="s">
        <v>208</v>
      </c>
      <c r="AU363" s="47"/>
      <c r="AV363" s="47"/>
      <c r="AW363" t="b">
        <f>IF(Migrationsartikel!AB361="ja","true",FALSE)</f>
        <v>0</v>
      </c>
      <c r="AX363" t="b">
        <f>IF(Migrationsartikel!AC361="ja","true",FALSE)</f>
        <v>0</v>
      </c>
      <c r="AY363" t="b">
        <f>IF(Migrationsartikel!AD361="ja","true",FALSE)</f>
        <v>0</v>
      </c>
      <c r="AZ363" t="b">
        <f>IF(Migrationsartikel!AE361="ja","true",FALSE)</f>
        <v>0</v>
      </c>
      <c r="BA363" t="str">
        <f>IF(Migrationsartikel!AF361="ja","Denner Partner","")</f>
        <v/>
      </c>
      <c r="BB363" t="str">
        <f>IF(Migrationsartikel!AG361="ja","true","false")</f>
        <v>false</v>
      </c>
      <c r="BC363" t="s">
        <v>1923</v>
      </c>
      <c r="BD363" s="31" t="s">
        <v>235</v>
      </c>
      <c r="BE363" s="31" t="s">
        <v>233</v>
      </c>
    </row>
    <row r="364" spans="2:57" ht="21.75" customHeight="1" x14ac:dyDescent="0.45">
      <c r="B364" t="s">
        <v>115</v>
      </c>
      <c r="E364" s="31" t="s">
        <v>1790</v>
      </c>
      <c r="F364" t="str">
        <f>"Warengruppe&gt;&gt;"&amp;Migrationsartikel!V362&amp;"&gt;&gt;"&amp;Migrationsartikel!W362&amp;"&gt;&gt;"&amp;Migrationsartikel!X362</f>
        <v>Warengruppe&gt;&gt;&gt;&gt;&gt;&gt;</v>
      </c>
      <c r="J364" s="31" t="s">
        <v>125</v>
      </c>
      <c r="M364" s="31" t="s">
        <v>137</v>
      </c>
      <c r="P364" s="31">
        <f>Migrationsartikel!B362</f>
        <v>0</v>
      </c>
      <c r="S364"/>
      <c r="T364"/>
      <c r="U364">
        <f>Migrationsartikel!F362</f>
        <v>0</v>
      </c>
      <c r="V364">
        <f>Migrationsartikel!J362</f>
        <v>0</v>
      </c>
      <c r="W364">
        <f>Migrationsartikel!N362</f>
        <v>0</v>
      </c>
      <c r="X364">
        <f>Migrationsartikel!G362</f>
        <v>0</v>
      </c>
      <c r="Y364">
        <f>Migrationsartikel!K362</f>
        <v>0</v>
      </c>
      <c r="Z364">
        <f>Migrationsartikel!O362</f>
        <v>0</v>
      </c>
      <c r="AA364" s="31">
        <f>Migrationsartikel!H362</f>
        <v>0</v>
      </c>
      <c r="AB364" s="31">
        <f>Migrationsartikel!L362</f>
        <v>0</v>
      </c>
      <c r="AC364" s="31">
        <f>Migrationsartikel!P362</f>
        <v>0</v>
      </c>
      <c r="AD364">
        <f>Migrationsartikel!I362</f>
        <v>0</v>
      </c>
      <c r="AE364">
        <f>Migrationsartikel!M362</f>
        <v>0</v>
      </c>
      <c r="AF364">
        <f>Migrationsartikel!Q362</f>
        <v>0</v>
      </c>
      <c r="AG364" s="45">
        <f>Migrationsartikel!R362</f>
        <v>0</v>
      </c>
      <c r="AH364" s="46">
        <f>Migrationsartikel!T362</f>
        <v>0</v>
      </c>
      <c r="AI364" s="46" t="str">
        <f t="shared" si="15"/>
        <v>n/a</v>
      </c>
      <c r="AJ364" s="46" t="s">
        <v>176</v>
      </c>
      <c r="AK364">
        <f>Migrationsartikel!S362</f>
        <v>0</v>
      </c>
      <c r="AL364">
        <f>Migrationsartikel!S362</f>
        <v>0</v>
      </c>
      <c r="AM364">
        <f>Migrationsartikel!S362</f>
        <v>0</v>
      </c>
      <c r="AN364">
        <f>Migrationsartikel!U362</f>
        <v>0</v>
      </c>
      <c r="AO364" t="str">
        <f t="shared" si="16"/>
        <v>n/a</v>
      </c>
      <c r="AP364" t="str">
        <f t="shared" si="17"/>
        <v>n/a</v>
      </c>
      <c r="AQ364" s="31" t="s">
        <v>195</v>
      </c>
      <c r="AR364" s="47"/>
      <c r="AS364" s="47"/>
      <c r="AT364" s="31" t="s">
        <v>208</v>
      </c>
      <c r="AU364" s="47"/>
      <c r="AV364" s="47"/>
      <c r="AW364" t="b">
        <f>IF(Migrationsartikel!AB362="ja","true",FALSE)</f>
        <v>0</v>
      </c>
      <c r="AX364" t="b">
        <f>IF(Migrationsartikel!AC362="ja","true",FALSE)</f>
        <v>0</v>
      </c>
      <c r="AY364" t="b">
        <f>IF(Migrationsartikel!AD362="ja","true",FALSE)</f>
        <v>0</v>
      </c>
      <c r="AZ364" t="b">
        <f>IF(Migrationsartikel!AE362="ja","true",FALSE)</f>
        <v>0</v>
      </c>
      <c r="BA364" t="str">
        <f>IF(Migrationsartikel!AF362="ja","Denner Partner","")</f>
        <v/>
      </c>
      <c r="BB364" t="str">
        <f>IF(Migrationsartikel!AG362="ja","true","false")</f>
        <v>false</v>
      </c>
      <c r="BC364" t="s">
        <v>1923</v>
      </c>
      <c r="BD364" s="31" t="s">
        <v>235</v>
      </c>
      <c r="BE364" s="31" t="s">
        <v>233</v>
      </c>
    </row>
    <row r="365" spans="2:57" ht="21.75" customHeight="1" x14ac:dyDescent="0.45">
      <c r="B365" t="s">
        <v>115</v>
      </c>
      <c r="E365" s="31" t="s">
        <v>1791</v>
      </c>
      <c r="F365" t="str">
        <f>"Warengruppe&gt;&gt;"&amp;Migrationsartikel!V363&amp;"&gt;&gt;"&amp;Migrationsartikel!W363&amp;"&gt;&gt;"&amp;Migrationsartikel!X363</f>
        <v>Warengruppe&gt;&gt;&gt;&gt;&gt;&gt;</v>
      </c>
      <c r="J365" s="31" t="s">
        <v>125</v>
      </c>
      <c r="M365" s="31" t="s">
        <v>137</v>
      </c>
      <c r="P365" s="31">
        <f>Migrationsartikel!B363</f>
        <v>0</v>
      </c>
      <c r="S365"/>
      <c r="T365"/>
      <c r="U365">
        <f>Migrationsartikel!F363</f>
        <v>0</v>
      </c>
      <c r="V365">
        <f>Migrationsartikel!J363</f>
        <v>0</v>
      </c>
      <c r="W365">
        <f>Migrationsartikel!N363</f>
        <v>0</v>
      </c>
      <c r="X365">
        <f>Migrationsartikel!G363</f>
        <v>0</v>
      </c>
      <c r="Y365">
        <f>Migrationsartikel!K363</f>
        <v>0</v>
      </c>
      <c r="Z365">
        <f>Migrationsartikel!O363</f>
        <v>0</v>
      </c>
      <c r="AA365" s="31">
        <f>Migrationsartikel!H363</f>
        <v>0</v>
      </c>
      <c r="AB365" s="31">
        <f>Migrationsartikel!L363</f>
        <v>0</v>
      </c>
      <c r="AC365" s="31">
        <f>Migrationsartikel!P363</f>
        <v>0</v>
      </c>
      <c r="AD365">
        <f>Migrationsartikel!I363</f>
        <v>0</v>
      </c>
      <c r="AE365">
        <f>Migrationsartikel!M363</f>
        <v>0</v>
      </c>
      <c r="AF365">
        <f>Migrationsartikel!Q363</f>
        <v>0</v>
      </c>
      <c r="AG365" s="45">
        <f>Migrationsartikel!R363</f>
        <v>0</v>
      </c>
      <c r="AH365" s="46">
        <f>Migrationsartikel!T363</f>
        <v>0</v>
      </c>
      <c r="AI365" s="46" t="str">
        <f t="shared" si="15"/>
        <v>n/a</v>
      </c>
      <c r="AJ365" s="46" t="s">
        <v>176</v>
      </c>
      <c r="AK365">
        <f>Migrationsartikel!S363</f>
        <v>0</v>
      </c>
      <c r="AL365">
        <f>Migrationsartikel!S363</f>
        <v>0</v>
      </c>
      <c r="AM365">
        <f>Migrationsartikel!S363</f>
        <v>0</v>
      </c>
      <c r="AN365">
        <f>Migrationsartikel!U363</f>
        <v>0</v>
      </c>
      <c r="AO365" t="str">
        <f t="shared" si="16"/>
        <v>n/a</v>
      </c>
      <c r="AP365" t="str">
        <f t="shared" si="17"/>
        <v>n/a</v>
      </c>
      <c r="AQ365" s="31" t="s">
        <v>195</v>
      </c>
      <c r="AR365" s="47"/>
      <c r="AS365" s="47"/>
      <c r="AT365" s="31" t="s">
        <v>208</v>
      </c>
      <c r="AU365" s="47"/>
      <c r="AV365" s="47"/>
      <c r="AW365" t="b">
        <f>IF(Migrationsartikel!AB363="ja","true",FALSE)</f>
        <v>0</v>
      </c>
      <c r="AX365" t="b">
        <f>IF(Migrationsartikel!AC363="ja","true",FALSE)</f>
        <v>0</v>
      </c>
      <c r="AY365" t="b">
        <f>IF(Migrationsartikel!AD363="ja","true",FALSE)</f>
        <v>0</v>
      </c>
      <c r="AZ365" t="b">
        <f>IF(Migrationsartikel!AE363="ja","true",FALSE)</f>
        <v>0</v>
      </c>
      <c r="BA365" t="str">
        <f>IF(Migrationsartikel!AF363="ja","Denner Partner","")</f>
        <v/>
      </c>
      <c r="BB365" t="str">
        <f>IF(Migrationsartikel!AG363="ja","true","false")</f>
        <v>false</v>
      </c>
      <c r="BC365" t="s">
        <v>1923</v>
      </c>
      <c r="BD365" s="31" t="s">
        <v>235</v>
      </c>
      <c r="BE365" s="31" t="s">
        <v>233</v>
      </c>
    </row>
    <row r="366" spans="2:57" ht="21.75" customHeight="1" x14ac:dyDescent="0.45">
      <c r="B366" t="s">
        <v>115</v>
      </c>
      <c r="E366" s="31" t="s">
        <v>1792</v>
      </c>
      <c r="F366" t="str">
        <f>"Warengruppe&gt;&gt;"&amp;Migrationsartikel!V364&amp;"&gt;&gt;"&amp;Migrationsartikel!W364&amp;"&gt;&gt;"&amp;Migrationsartikel!X364</f>
        <v>Warengruppe&gt;&gt;&gt;&gt;&gt;&gt;</v>
      </c>
      <c r="J366" s="31" t="s">
        <v>125</v>
      </c>
      <c r="M366" s="31" t="s">
        <v>137</v>
      </c>
      <c r="P366" s="31">
        <f>Migrationsartikel!B364</f>
        <v>0</v>
      </c>
      <c r="S366"/>
      <c r="T366"/>
      <c r="U366">
        <f>Migrationsartikel!F364</f>
        <v>0</v>
      </c>
      <c r="V366">
        <f>Migrationsartikel!J364</f>
        <v>0</v>
      </c>
      <c r="W366">
        <f>Migrationsartikel!N364</f>
        <v>0</v>
      </c>
      <c r="X366">
        <f>Migrationsartikel!G364</f>
        <v>0</v>
      </c>
      <c r="Y366">
        <f>Migrationsartikel!K364</f>
        <v>0</v>
      </c>
      <c r="Z366">
        <f>Migrationsartikel!O364</f>
        <v>0</v>
      </c>
      <c r="AA366" s="31">
        <f>Migrationsartikel!H364</f>
        <v>0</v>
      </c>
      <c r="AB366" s="31">
        <f>Migrationsartikel!L364</f>
        <v>0</v>
      </c>
      <c r="AC366" s="31">
        <f>Migrationsartikel!P364</f>
        <v>0</v>
      </c>
      <c r="AD366">
        <f>Migrationsartikel!I364</f>
        <v>0</v>
      </c>
      <c r="AE366">
        <f>Migrationsartikel!M364</f>
        <v>0</v>
      </c>
      <c r="AF366">
        <f>Migrationsartikel!Q364</f>
        <v>0</v>
      </c>
      <c r="AG366" s="45">
        <f>Migrationsartikel!R364</f>
        <v>0</v>
      </c>
      <c r="AH366" s="46">
        <f>Migrationsartikel!T364</f>
        <v>0</v>
      </c>
      <c r="AI366" s="46" t="str">
        <f t="shared" si="15"/>
        <v>n/a</v>
      </c>
      <c r="AJ366" s="46" t="s">
        <v>176</v>
      </c>
      <c r="AK366">
        <f>Migrationsartikel!S364</f>
        <v>0</v>
      </c>
      <c r="AL366">
        <f>Migrationsartikel!S364</f>
        <v>0</v>
      </c>
      <c r="AM366">
        <f>Migrationsartikel!S364</f>
        <v>0</v>
      </c>
      <c r="AN366">
        <f>Migrationsartikel!U364</f>
        <v>0</v>
      </c>
      <c r="AO366" t="str">
        <f t="shared" si="16"/>
        <v>n/a</v>
      </c>
      <c r="AP366" t="str">
        <f t="shared" si="17"/>
        <v>n/a</v>
      </c>
      <c r="AQ366" s="31" t="s">
        <v>195</v>
      </c>
      <c r="AR366" s="47"/>
      <c r="AS366" s="47"/>
      <c r="AT366" s="31" t="s">
        <v>208</v>
      </c>
      <c r="AU366" s="47"/>
      <c r="AV366" s="47"/>
      <c r="AW366" t="b">
        <f>IF(Migrationsartikel!AB364="ja","true",FALSE)</f>
        <v>0</v>
      </c>
      <c r="AX366" t="b">
        <f>IF(Migrationsartikel!AC364="ja","true",FALSE)</f>
        <v>0</v>
      </c>
      <c r="AY366" t="b">
        <f>IF(Migrationsartikel!AD364="ja","true",FALSE)</f>
        <v>0</v>
      </c>
      <c r="AZ366" t="b">
        <f>IF(Migrationsartikel!AE364="ja","true",FALSE)</f>
        <v>0</v>
      </c>
      <c r="BA366" t="str">
        <f>IF(Migrationsartikel!AF364="ja","Denner Partner","")</f>
        <v/>
      </c>
      <c r="BB366" t="str">
        <f>IF(Migrationsartikel!AG364="ja","true","false")</f>
        <v>false</v>
      </c>
      <c r="BC366" t="s">
        <v>1923</v>
      </c>
      <c r="BD366" s="31" t="s">
        <v>235</v>
      </c>
      <c r="BE366" s="31" t="s">
        <v>233</v>
      </c>
    </row>
    <row r="367" spans="2:57" ht="21.75" customHeight="1" x14ac:dyDescent="0.45">
      <c r="B367" t="s">
        <v>115</v>
      </c>
      <c r="E367" s="31" t="s">
        <v>1793</v>
      </c>
      <c r="F367" t="str">
        <f>"Warengruppe&gt;&gt;"&amp;Migrationsartikel!V365&amp;"&gt;&gt;"&amp;Migrationsartikel!W365&amp;"&gt;&gt;"&amp;Migrationsartikel!X365</f>
        <v>Warengruppe&gt;&gt;&gt;&gt;&gt;&gt;</v>
      </c>
      <c r="J367" s="31" t="s">
        <v>125</v>
      </c>
      <c r="M367" s="31" t="s">
        <v>137</v>
      </c>
      <c r="P367" s="31">
        <f>Migrationsartikel!B365</f>
        <v>0</v>
      </c>
      <c r="S367"/>
      <c r="T367"/>
      <c r="U367">
        <f>Migrationsartikel!F365</f>
        <v>0</v>
      </c>
      <c r="V367">
        <f>Migrationsartikel!J365</f>
        <v>0</v>
      </c>
      <c r="W367">
        <f>Migrationsartikel!N365</f>
        <v>0</v>
      </c>
      <c r="X367">
        <f>Migrationsartikel!G365</f>
        <v>0</v>
      </c>
      <c r="Y367">
        <f>Migrationsartikel!K365</f>
        <v>0</v>
      </c>
      <c r="Z367">
        <f>Migrationsartikel!O365</f>
        <v>0</v>
      </c>
      <c r="AA367" s="31">
        <f>Migrationsartikel!H365</f>
        <v>0</v>
      </c>
      <c r="AB367" s="31">
        <f>Migrationsartikel!L365</f>
        <v>0</v>
      </c>
      <c r="AC367" s="31">
        <f>Migrationsartikel!P365</f>
        <v>0</v>
      </c>
      <c r="AD367">
        <f>Migrationsartikel!I365</f>
        <v>0</v>
      </c>
      <c r="AE367">
        <f>Migrationsartikel!M365</f>
        <v>0</v>
      </c>
      <c r="AF367">
        <f>Migrationsartikel!Q365</f>
        <v>0</v>
      </c>
      <c r="AG367" s="45">
        <f>Migrationsartikel!R365</f>
        <v>0</v>
      </c>
      <c r="AH367" s="46">
        <f>Migrationsartikel!T365</f>
        <v>0</v>
      </c>
      <c r="AI367" s="46" t="str">
        <f t="shared" si="15"/>
        <v>n/a</v>
      </c>
      <c r="AJ367" s="46" t="s">
        <v>176</v>
      </c>
      <c r="AK367">
        <f>Migrationsartikel!S365</f>
        <v>0</v>
      </c>
      <c r="AL367">
        <f>Migrationsartikel!S365</f>
        <v>0</v>
      </c>
      <c r="AM367">
        <f>Migrationsartikel!S365</f>
        <v>0</v>
      </c>
      <c r="AN367">
        <f>Migrationsartikel!U365</f>
        <v>0</v>
      </c>
      <c r="AO367" t="str">
        <f t="shared" si="16"/>
        <v>n/a</v>
      </c>
      <c r="AP367" t="str">
        <f t="shared" si="17"/>
        <v>n/a</v>
      </c>
      <c r="AQ367" s="31" t="s">
        <v>195</v>
      </c>
      <c r="AR367" s="47"/>
      <c r="AS367" s="47"/>
      <c r="AT367" s="31" t="s">
        <v>208</v>
      </c>
      <c r="AU367" s="47"/>
      <c r="AV367" s="47"/>
      <c r="AW367" t="b">
        <f>IF(Migrationsartikel!AB365="ja","true",FALSE)</f>
        <v>0</v>
      </c>
      <c r="AX367" t="b">
        <f>IF(Migrationsartikel!AC365="ja","true",FALSE)</f>
        <v>0</v>
      </c>
      <c r="AY367" t="b">
        <f>IF(Migrationsartikel!AD365="ja","true",FALSE)</f>
        <v>0</v>
      </c>
      <c r="AZ367" t="b">
        <f>IF(Migrationsartikel!AE365="ja","true",FALSE)</f>
        <v>0</v>
      </c>
      <c r="BA367" t="str">
        <f>IF(Migrationsartikel!AF365="ja","Denner Partner","")</f>
        <v/>
      </c>
      <c r="BB367" t="str">
        <f>IF(Migrationsartikel!AG365="ja","true","false")</f>
        <v>false</v>
      </c>
      <c r="BC367" t="s">
        <v>1923</v>
      </c>
      <c r="BD367" s="31" t="s">
        <v>235</v>
      </c>
      <c r="BE367" s="31" t="s">
        <v>233</v>
      </c>
    </row>
    <row r="368" spans="2:57" ht="21.75" customHeight="1" x14ac:dyDescent="0.45">
      <c r="B368" t="s">
        <v>115</v>
      </c>
      <c r="E368" s="31" t="s">
        <v>1794</v>
      </c>
      <c r="F368" t="str">
        <f>"Warengruppe&gt;&gt;"&amp;Migrationsartikel!V366&amp;"&gt;&gt;"&amp;Migrationsartikel!W366&amp;"&gt;&gt;"&amp;Migrationsartikel!X366</f>
        <v>Warengruppe&gt;&gt;&gt;&gt;&gt;&gt;</v>
      </c>
      <c r="J368" s="31" t="s">
        <v>125</v>
      </c>
      <c r="M368" s="31" t="s">
        <v>137</v>
      </c>
      <c r="P368" s="31">
        <f>Migrationsartikel!B366</f>
        <v>0</v>
      </c>
      <c r="S368"/>
      <c r="T368"/>
      <c r="U368">
        <f>Migrationsartikel!F366</f>
        <v>0</v>
      </c>
      <c r="V368">
        <f>Migrationsartikel!J366</f>
        <v>0</v>
      </c>
      <c r="W368">
        <f>Migrationsartikel!N366</f>
        <v>0</v>
      </c>
      <c r="X368">
        <f>Migrationsartikel!G366</f>
        <v>0</v>
      </c>
      <c r="Y368">
        <f>Migrationsartikel!K366</f>
        <v>0</v>
      </c>
      <c r="Z368">
        <f>Migrationsartikel!O366</f>
        <v>0</v>
      </c>
      <c r="AA368" s="31">
        <f>Migrationsartikel!H366</f>
        <v>0</v>
      </c>
      <c r="AB368" s="31">
        <f>Migrationsartikel!L366</f>
        <v>0</v>
      </c>
      <c r="AC368" s="31">
        <f>Migrationsartikel!P366</f>
        <v>0</v>
      </c>
      <c r="AD368">
        <f>Migrationsartikel!I366</f>
        <v>0</v>
      </c>
      <c r="AE368">
        <f>Migrationsartikel!M366</f>
        <v>0</v>
      </c>
      <c r="AF368">
        <f>Migrationsartikel!Q366</f>
        <v>0</v>
      </c>
      <c r="AG368" s="45">
        <f>Migrationsartikel!R366</f>
        <v>0</v>
      </c>
      <c r="AH368" s="46">
        <f>Migrationsartikel!T366</f>
        <v>0</v>
      </c>
      <c r="AI368" s="46" t="str">
        <f t="shared" si="15"/>
        <v>n/a</v>
      </c>
      <c r="AJ368" s="46" t="s">
        <v>176</v>
      </c>
      <c r="AK368">
        <f>Migrationsartikel!S366</f>
        <v>0</v>
      </c>
      <c r="AL368">
        <f>Migrationsartikel!S366</f>
        <v>0</v>
      </c>
      <c r="AM368">
        <f>Migrationsartikel!S366</f>
        <v>0</v>
      </c>
      <c r="AN368">
        <f>Migrationsartikel!U366</f>
        <v>0</v>
      </c>
      <c r="AO368" t="str">
        <f t="shared" si="16"/>
        <v>n/a</v>
      </c>
      <c r="AP368" t="str">
        <f t="shared" si="17"/>
        <v>n/a</v>
      </c>
      <c r="AQ368" s="31" t="s">
        <v>195</v>
      </c>
      <c r="AR368" s="47"/>
      <c r="AS368" s="47"/>
      <c r="AT368" s="31" t="s">
        <v>208</v>
      </c>
      <c r="AU368" s="47"/>
      <c r="AV368" s="47"/>
      <c r="AW368" t="b">
        <f>IF(Migrationsartikel!AB366="ja","true",FALSE)</f>
        <v>0</v>
      </c>
      <c r="AX368" t="b">
        <f>IF(Migrationsartikel!AC366="ja","true",FALSE)</f>
        <v>0</v>
      </c>
      <c r="AY368" t="b">
        <f>IF(Migrationsartikel!AD366="ja","true",FALSE)</f>
        <v>0</v>
      </c>
      <c r="AZ368" t="b">
        <f>IF(Migrationsartikel!AE366="ja","true",FALSE)</f>
        <v>0</v>
      </c>
      <c r="BA368" t="str">
        <f>IF(Migrationsartikel!AF366="ja","Denner Partner","")</f>
        <v/>
      </c>
      <c r="BB368" t="str">
        <f>IF(Migrationsartikel!AG366="ja","true","false")</f>
        <v>false</v>
      </c>
      <c r="BC368" t="s">
        <v>1923</v>
      </c>
      <c r="BD368" s="31" t="s">
        <v>235</v>
      </c>
      <c r="BE368" s="31" t="s">
        <v>233</v>
      </c>
    </row>
    <row r="369" spans="2:57" ht="21.75" customHeight="1" x14ac:dyDescent="0.45">
      <c r="B369" t="s">
        <v>115</v>
      </c>
      <c r="E369" s="31" t="s">
        <v>1795</v>
      </c>
      <c r="F369" t="str">
        <f>"Warengruppe&gt;&gt;"&amp;Migrationsartikel!V367&amp;"&gt;&gt;"&amp;Migrationsartikel!W367&amp;"&gt;&gt;"&amp;Migrationsartikel!X367</f>
        <v>Warengruppe&gt;&gt;&gt;&gt;&gt;&gt;</v>
      </c>
      <c r="J369" s="31" t="s">
        <v>125</v>
      </c>
      <c r="M369" s="31" t="s">
        <v>137</v>
      </c>
      <c r="P369" s="31">
        <f>Migrationsartikel!B367</f>
        <v>0</v>
      </c>
      <c r="S369"/>
      <c r="T369"/>
      <c r="U369">
        <f>Migrationsartikel!F367</f>
        <v>0</v>
      </c>
      <c r="V369">
        <f>Migrationsartikel!J367</f>
        <v>0</v>
      </c>
      <c r="W369">
        <f>Migrationsartikel!N367</f>
        <v>0</v>
      </c>
      <c r="X369">
        <f>Migrationsartikel!G367</f>
        <v>0</v>
      </c>
      <c r="Y369">
        <f>Migrationsartikel!K367</f>
        <v>0</v>
      </c>
      <c r="Z369">
        <f>Migrationsartikel!O367</f>
        <v>0</v>
      </c>
      <c r="AA369" s="31">
        <f>Migrationsartikel!H367</f>
        <v>0</v>
      </c>
      <c r="AB369" s="31">
        <f>Migrationsartikel!L367</f>
        <v>0</v>
      </c>
      <c r="AC369" s="31">
        <f>Migrationsartikel!P367</f>
        <v>0</v>
      </c>
      <c r="AD369">
        <f>Migrationsartikel!I367</f>
        <v>0</v>
      </c>
      <c r="AE369">
        <f>Migrationsartikel!M367</f>
        <v>0</v>
      </c>
      <c r="AF369">
        <f>Migrationsartikel!Q367</f>
        <v>0</v>
      </c>
      <c r="AG369" s="45">
        <f>Migrationsartikel!R367</f>
        <v>0</v>
      </c>
      <c r="AH369" s="46">
        <f>Migrationsartikel!T367</f>
        <v>0</v>
      </c>
      <c r="AI369" s="46" t="str">
        <f t="shared" si="15"/>
        <v>n/a</v>
      </c>
      <c r="AJ369" s="46" t="s">
        <v>176</v>
      </c>
      <c r="AK369">
        <f>Migrationsartikel!S367</f>
        <v>0</v>
      </c>
      <c r="AL369">
        <f>Migrationsartikel!S367</f>
        <v>0</v>
      </c>
      <c r="AM369">
        <f>Migrationsartikel!S367</f>
        <v>0</v>
      </c>
      <c r="AN369">
        <f>Migrationsartikel!U367</f>
        <v>0</v>
      </c>
      <c r="AO369" t="str">
        <f t="shared" si="16"/>
        <v>n/a</v>
      </c>
      <c r="AP369" t="str">
        <f t="shared" si="17"/>
        <v>n/a</v>
      </c>
      <c r="AQ369" s="31" t="s">
        <v>195</v>
      </c>
      <c r="AR369" s="47"/>
      <c r="AS369" s="47"/>
      <c r="AT369" s="31" t="s">
        <v>208</v>
      </c>
      <c r="AU369" s="47"/>
      <c r="AV369" s="47"/>
      <c r="AW369" t="b">
        <f>IF(Migrationsartikel!AB367="ja","true",FALSE)</f>
        <v>0</v>
      </c>
      <c r="AX369" t="b">
        <f>IF(Migrationsartikel!AC367="ja","true",FALSE)</f>
        <v>0</v>
      </c>
      <c r="AY369" t="b">
        <f>IF(Migrationsartikel!AD367="ja","true",FALSE)</f>
        <v>0</v>
      </c>
      <c r="AZ369" t="b">
        <f>IF(Migrationsartikel!AE367="ja","true",FALSE)</f>
        <v>0</v>
      </c>
      <c r="BA369" t="str">
        <f>IF(Migrationsartikel!AF367="ja","Denner Partner","")</f>
        <v/>
      </c>
      <c r="BB369" t="str">
        <f>IF(Migrationsartikel!AG367="ja","true","false")</f>
        <v>false</v>
      </c>
      <c r="BC369" t="s">
        <v>1923</v>
      </c>
      <c r="BD369" s="31" t="s">
        <v>235</v>
      </c>
      <c r="BE369" s="31" t="s">
        <v>233</v>
      </c>
    </row>
    <row r="370" spans="2:57" ht="21.75" customHeight="1" x14ac:dyDescent="0.45">
      <c r="B370" t="s">
        <v>115</v>
      </c>
      <c r="E370" s="31" t="s">
        <v>1796</v>
      </c>
      <c r="F370" t="str">
        <f>"Warengruppe&gt;&gt;"&amp;Migrationsartikel!V368&amp;"&gt;&gt;"&amp;Migrationsartikel!W368&amp;"&gt;&gt;"&amp;Migrationsartikel!X368</f>
        <v>Warengruppe&gt;&gt;&gt;&gt;&gt;&gt;</v>
      </c>
      <c r="J370" s="31" t="s">
        <v>125</v>
      </c>
      <c r="M370" s="31" t="s">
        <v>137</v>
      </c>
      <c r="P370" s="31">
        <f>Migrationsartikel!B368</f>
        <v>0</v>
      </c>
      <c r="S370"/>
      <c r="T370"/>
      <c r="U370">
        <f>Migrationsartikel!F368</f>
        <v>0</v>
      </c>
      <c r="V370">
        <f>Migrationsartikel!J368</f>
        <v>0</v>
      </c>
      <c r="W370">
        <f>Migrationsartikel!N368</f>
        <v>0</v>
      </c>
      <c r="X370">
        <f>Migrationsartikel!G368</f>
        <v>0</v>
      </c>
      <c r="Y370">
        <f>Migrationsartikel!K368</f>
        <v>0</v>
      </c>
      <c r="Z370">
        <f>Migrationsartikel!O368</f>
        <v>0</v>
      </c>
      <c r="AA370" s="31">
        <f>Migrationsartikel!H368</f>
        <v>0</v>
      </c>
      <c r="AB370" s="31">
        <f>Migrationsartikel!L368</f>
        <v>0</v>
      </c>
      <c r="AC370" s="31">
        <f>Migrationsartikel!P368</f>
        <v>0</v>
      </c>
      <c r="AD370">
        <f>Migrationsartikel!I368</f>
        <v>0</v>
      </c>
      <c r="AE370">
        <f>Migrationsartikel!M368</f>
        <v>0</v>
      </c>
      <c r="AF370">
        <f>Migrationsartikel!Q368</f>
        <v>0</v>
      </c>
      <c r="AG370" s="45">
        <f>Migrationsartikel!R368</f>
        <v>0</v>
      </c>
      <c r="AH370" s="46">
        <f>Migrationsartikel!T368</f>
        <v>0</v>
      </c>
      <c r="AI370" s="46" t="str">
        <f t="shared" si="15"/>
        <v>n/a</v>
      </c>
      <c r="AJ370" s="46" t="s">
        <v>176</v>
      </c>
      <c r="AK370">
        <f>Migrationsartikel!S368</f>
        <v>0</v>
      </c>
      <c r="AL370">
        <f>Migrationsartikel!S368</f>
        <v>0</v>
      </c>
      <c r="AM370">
        <f>Migrationsartikel!S368</f>
        <v>0</v>
      </c>
      <c r="AN370">
        <f>Migrationsartikel!U368</f>
        <v>0</v>
      </c>
      <c r="AO370" t="str">
        <f t="shared" si="16"/>
        <v>n/a</v>
      </c>
      <c r="AP370" t="str">
        <f t="shared" si="17"/>
        <v>n/a</v>
      </c>
      <c r="AQ370" s="31" t="s">
        <v>195</v>
      </c>
      <c r="AR370" s="47"/>
      <c r="AS370" s="47"/>
      <c r="AT370" s="31" t="s">
        <v>208</v>
      </c>
      <c r="AU370" s="47"/>
      <c r="AV370" s="47"/>
      <c r="AW370" t="b">
        <f>IF(Migrationsartikel!AB368="ja","true",FALSE)</f>
        <v>0</v>
      </c>
      <c r="AX370" t="b">
        <f>IF(Migrationsartikel!AC368="ja","true",FALSE)</f>
        <v>0</v>
      </c>
      <c r="AY370" t="b">
        <f>IF(Migrationsartikel!AD368="ja","true",FALSE)</f>
        <v>0</v>
      </c>
      <c r="AZ370" t="b">
        <f>IF(Migrationsartikel!AE368="ja","true",FALSE)</f>
        <v>0</v>
      </c>
      <c r="BA370" t="str">
        <f>IF(Migrationsartikel!AF368="ja","Denner Partner","")</f>
        <v/>
      </c>
      <c r="BB370" t="str">
        <f>IF(Migrationsartikel!AG368="ja","true","false")</f>
        <v>false</v>
      </c>
      <c r="BC370" t="s">
        <v>1923</v>
      </c>
      <c r="BD370" s="31" t="s">
        <v>235</v>
      </c>
      <c r="BE370" s="31" t="s">
        <v>233</v>
      </c>
    </row>
    <row r="371" spans="2:57" ht="21.75" customHeight="1" x14ac:dyDescent="0.45">
      <c r="B371" t="s">
        <v>115</v>
      </c>
      <c r="E371" s="31" t="s">
        <v>1797</v>
      </c>
      <c r="F371" t="str">
        <f>"Warengruppe&gt;&gt;"&amp;Migrationsartikel!V369&amp;"&gt;&gt;"&amp;Migrationsartikel!W369&amp;"&gt;&gt;"&amp;Migrationsartikel!X369</f>
        <v>Warengruppe&gt;&gt;&gt;&gt;&gt;&gt;</v>
      </c>
      <c r="J371" s="31" t="s">
        <v>125</v>
      </c>
      <c r="M371" s="31" t="s">
        <v>137</v>
      </c>
      <c r="P371" s="31">
        <f>Migrationsartikel!B369</f>
        <v>0</v>
      </c>
      <c r="S371"/>
      <c r="T371"/>
      <c r="U371">
        <f>Migrationsartikel!F369</f>
        <v>0</v>
      </c>
      <c r="V371">
        <f>Migrationsartikel!J369</f>
        <v>0</v>
      </c>
      <c r="W371">
        <f>Migrationsartikel!N369</f>
        <v>0</v>
      </c>
      <c r="X371">
        <f>Migrationsartikel!G369</f>
        <v>0</v>
      </c>
      <c r="Y371">
        <f>Migrationsartikel!K369</f>
        <v>0</v>
      </c>
      <c r="Z371">
        <f>Migrationsartikel!O369</f>
        <v>0</v>
      </c>
      <c r="AA371" s="31">
        <f>Migrationsartikel!H369</f>
        <v>0</v>
      </c>
      <c r="AB371" s="31">
        <f>Migrationsartikel!L369</f>
        <v>0</v>
      </c>
      <c r="AC371" s="31">
        <f>Migrationsartikel!P369</f>
        <v>0</v>
      </c>
      <c r="AD371">
        <f>Migrationsartikel!I369</f>
        <v>0</v>
      </c>
      <c r="AE371">
        <f>Migrationsartikel!M369</f>
        <v>0</v>
      </c>
      <c r="AF371">
        <f>Migrationsartikel!Q369</f>
        <v>0</v>
      </c>
      <c r="AG371" s="45">
        <f>Migrationsartikel!R369</f>
        <v>0</v>
      </c>
      <c r="AH371" s="46">
        <f>Migrationsartikel!T369</f>
        <v>0</v>
      </c>
      <c r="AI371" s="46" t="str">
        <f t="shared" si="15"/>
        <v>n/a</v>
      </c>
      <c r="AJ371" s="46" t="s">
        <v>176</v>
      </c>
      <c r="AK371">
        <f>Migrationsartikel!S369</f>
        <v>0</v>
      </c>
      <c r="AL371">
        <f>Migrationsartikel!S369</f>
        <v>0</v>
      </c>
      <c r="AM371">
        <f>Migrationsartikel!S369</f>
        <v>0</v>
      </c>
      <c r="AN371">
        <f>Migrationsartikel!U369</f>
        <v>0</v>
      </c>
      <c r="AO371" t="str">
        <f t="shared" si="16"/>
        <v>n/a</v>
      </c>
      <c r="AP371" t="str">
        <f t="shared" si="17"/>
        <v>n/a</v>
      </c>
      <c r="AQ371" s="31" t="s">
        <v>195</v>
      </c>
      <c r="AR371" s="47"/>
      <c r="AS371" s="47"/>
      <c r="AT371" s="31" t="s">
        <v>208</v>
      </c>
      <c r="AU371" s="47"/>
      <c r="AV371" s="47"/>
      <c r="AW371" t="b">
        <f>IF(Migrationsartikel!AB369="ja","true",FALSE)</f>
        <v>0</v>
      </c>
      <c r="AX371" t="b">
        <f>IF(Migrationsartikel!AC369="ja","true",FALSE)</f>
        <v>0</v>
      </c>
      <c r="AY371" t="b">
        <f>IF(Migrationsartikel!AD369="ja","true",FALSE)</f>
        <v>0</v>
      </c>
      <c r="AZ371" t="b">
        <f>IF(Migrationsartikel!AE369="ja","true",FALSE)</f>
        <v>0</v>
      </c>
      <c r="BA371" t="str">
        <f>IF(Migrationsartikel!AF369="ja","Denner Partner","")</f>
        <v/>
      </c>
      <c r="BB371" t="str">
        <f>IF(Migrationsartikel!AG369="ja","true","false")</f>
        <v>false</v>
      </c>
      <c r="BC371" t="s">
        <v>1923</v>
      </c>
      <c r="BD371" s="31" t="s">
        <v>235</v>
      </c>
      <c r="BE371" s="31" t="s">
        <v>233</v>
      </c>
    </row>
    <row r="372" spans="2:57" ht="21.75" customHeight="1" x14ac:dyDescent="0.45">
      <c r="B372" t="s">
        <v>115</v>
      </c>
      <c r="E372" s="31" t="s">
        <v>1798</v>
      </c>
      <c r="F372" t="str">
        <f>"Warengruppe&gt;&gt;"&amp;Migrationsartikel!V370&amp;"&gt;&gt;"&amp;Migrationsartikel!W370&amp;"&gt;&gt;"&amp;Migrationsartikel!X370</f>
        <v>Warengruppe&gt;&gt;&gt;&gt;&gt;&gt;</v>
      </c>
      <c r="J372" s="31" t="s">
        <v>125</v>
      </c>
      <c r="M372" s="31" t="s">
        <v>137</v>
      </c>
      <c r="P372" s="31">
        <f>Migrationsartikel!B370</f>
        <v>0</v>
      </c>
      <c r="S372"/>
      <c r="T372"/>
      <c r="U372">
        <f>Migrationsartikel!F370</f>
        <v>0</v>
      </c>
      <c r="V372">
        <f>Migrationsartikel!J370</f>
        <v>0</v>
      </c>
      <c r="W372">
        <f>Migrationsartikel!N370</f>
        <v>0</v>
      </c>
      <c r="X372">
        <f>Migrationsartikel!G370</f>
        <v>0</v>
      </c>
      <c r="Y372">
        <f>Migrationsartikel!K370</f>
        <v>0</v>
      </c>
      <c r="Z372">
        <f>Migrationsartikel!O370</f>
        <v>0</v>
      </c>
      <c r="AA372" s="31">
        <f>Migrationsartikel!H370</f>
        <v>0</v>
      </c>
      <c r="AB372" s="31">
        <f>Migrationsartikel!L370</f>
        <v>0</v>
      </c>
      <c r="AC372" s="31">
        <f>Migrationsartikel!P370</f>
        <v>0</v>
      </c>
      <c r="AD372">
        <f>Migrationsartikel!I370</f>
        <v>0</v>
      </c>
      <c r="AE372">
        <f>Migrationsartikel!M370</f>
        <v>0</v>
      </c>
      <c r="AF372">
        <f>Migrationsartikel!Q370</f>
        <v>0</v>
      </c>
      <c r="AG372" s="45">
        <f>Migrationsartikel!R370</f>
        <v>0</v>
      </c>
      <c r="AH372" s="46">
        <f>Migrationsartikel!T370</f>
        <v>0</v>
      </c>
      <c r="AI372" s="46" t="str">
        <f t="shared" si="15"/>
        <v>n/a</v>
      </c>
      <c r="AJ372" s="46" t="s">
        <v>176</v>
      </c>
      <c r="AK372">
        <f>Migrationsartikel!S370</f>
        <v>0</v>
      </c>
      <c r="AL372">
        <f>Migrationsartikel!S370</f>
        <v>0</v>
      </c>
      <c r="AM372">
        <f>Migrationsartikel!S370</f>
        <v>0</v>
      </c>
      <c r="AN372">
        <f>Migrationsartikel!U370</f>
        <v>0</v>
      </c>
      <c r="AO372" t="str">
        <f t="shared" si="16"/>
        <v>n/a</v>
      </c>
      <c r="AP372" t="str">
        <f t="shared" si="17"/>
        <v>n/a</v>
      </c>
      <c r="AQ372" s="31" t="s">
        <v>195</v>
      </c>
      <c r="AR372" s="47"/>
      <c r="AS372" s="47"/>
      <c r="AT372" s="31" t="s">
        <v>208</v>
      </c>
      <c r="AU372" s="47"/>
      <c r="AV372" s="47"/>
      <c r="AW372" t="b">
        <f>IF(Migrationsartikel!AB370="ja","true",FALSE)</f>
        <v>0</v>
      </c>
      <c r="AX372" t="b">
        <f>IF(Migrationsartikel!AC370="ja","true",FALSE)</f>
        <v>0</v>
      </c>
      <c r="AY372" t="b">
        <f>IF(Migrationsartikel!AD370="ja","true",FALSE)</f>
        <v>0</v>
      </c>
      <c r="AZ372" t="b">
        <f>IF(Migrationsartikel!AE370="ja","true",FALSE)</f>
        <v>0</v>
      </c>
      <c r="BA372" t="str">
        <f>IF(Migrationsartikel!AF370="ja","Denner Partner","")</f>
        <v/>
      </c>
      <c r="BB372" t="str">
        <f>IF(Migrationsartikel!AG370="ja","true","false")</f>
        <v>false</v>
      </c>
      <c r="BC372" t="s">
        <v>1923</v>
      </c>
      <c r="BD372" s="31" t="s">
        <v>235</v>
      </c>
      <c r="BE372" s="31" t="s">
        <v>233</v>
      </c>
    </row>
    <row r="373" spans="2:57" ht="21.75" customHeight="1" x14ac:dyDescent="0.45">
      <c r="B373" t="s">
        <v>115</v>
      </c>
      <c r="E373" s="31" t="s">
        <v>1799</v>
      </c>
      <c r="F373" t="str">
        <f>"Warengruppe&gt;&gt;"&amp;Migrationsartikel!V371&amp;"&gt;&gt;"&amp;Migrationsartikel!W371&amp;"&gt;&gt;"&amp;Migrationsartikel!X371</f>
        <v>Warengruppe&gt;&gt;&gt;&gt;&gt;&gt;</v>
      </c>
      <c r="J373" s="31" t="s">
        <v>125</v>
      </c>
      <c r="M373" s="31" t="s">
        <v>137</v>
      </c>
      <c r="P373" s="31">
        <f>Migrationsartikel!B371</f>
        <v>0</v>
      </c>
      <c r="S373"/>
      <c r="T373"/>
      <c r="U373">
        <f>Migrationsartikel!F371</f>
        <v>0</v>
      </c>
      <c r="V373">
        <f>Migrationsartikel!J371</f>
        <v>0</v>
      </c>
      <c r="W373">
        <f>Migrationsartikel!N371</f>
        <v>0</v>
      </c>
      <c r="X373">
        <f>Migrationsartikel!G371</f>
        <v>0</v>
      </c>
      <c r="Y373">
        <f>Migrationsartikel!K371</f>
        <v>0</v>
      </c>
      <c r="Z373">
        <f>Migrationsartikel!O371</f>
        <v>0</v>
      </c>
      <c r="AA373" s="31">
        <f>Migrationsartikel!H371</f>
        <v>0</v>
      </c>
      <c r="AB373" s="31">
        <f>Migrationsartikel!L371</f>
        <v>0</v>
      </c>
      <c r="AC373" s="31">
        <f>Migrationsartikel!P371</f>
        <v>0</v>
      </c>
      <c r="AD373">
        <f>Migrationsartikel!I371</f>
        <v>0</v>
      </c>
      <c r="AE373">
        <f>Migrationsartikel!M371</f>
        <v>0</v>
      </c>
      <c r="AF373">
        <f>Migrationsartikel!Q371</f>
        <v>0</v>
      </c>
      <c r="AG373" s="45">
        <f>Migrationsartikel!R371</f>
        <v>0</v>
      </c>
      <c r="AH373" s="46">
        <f>Migrationsartikel!T371</f>
        <v>0</v>
      </c>
      <c r="AI373" s="46" t="str">
        <f t="shared" si="15"/>
        <v>n/a</v>
      </c>
      <c r="AJ373" s="46" t="s">
        <v>176</v>
      </c>
      <c r="AK373">
        <f>Migrationsartikel!S371</f>
        <v>0</v>
      </c>
      <c r="AL373">
        <f>Migrationsartikel!S371</f>
        <v>0</v>
      </c>
      <c r="AM373">
        <f>Migrationsartikel!S371</f>
        <v>0</v>
      </c>
      <c r="AN373">
        <f>Migrationsartikel!U371</f>
        <v>0</v>
      </c>
      <c r="AO373" t="str">
        <f t="shared" si="16"/>
        <v>n/a</v>
      </c>
      <c r="AP373" t="str">
        <f t="shared" si="17"/>
        <v>n/a</v>
      </c>
      <c r="AQ373" s="31" t="s">
        <v>195</v>
      </c>
      <c r="AR373" s="47"/>
      <c r="AS373" s="47"/>
      <c r="AT373" s="31" t="s">
        <v>208</v>
      </c>
      <c r="AU373" s="47"/>
      <c r="AV373" s="47"/>
      <c r="AW373" t="b">
        <f>IF(Migrationsartikel!AB371="ja","true",FALSE)</f>
        <v>0</v>
      </c>
      <c r="AX373" t="b">
        <f>IF(Migrationsartikel!AC371="ja","true",FALSE)</f>
        <v>0</v>
      </c>
      <c r="AY373" t="b">
        <f>IF(Migrationsartikel!AD371="ja","true",FALSE)</f>
        <v>0</v>
      </c>
      <c r="AZ373" t="b">
        <f>IF(Migrationsartikel!AE371="ja","true",FALSE)</f>
        <v>0</v>
      </c>
      <c r="BA373" t="str">
        <f>IF(Migrationsartikel!AF371="ja","Denner Partner","")</f>
        <v/>
      </c>
      <c r="BB373" t="str">
        <f>IF(Migrationsartikel!AG371="ja","true","false")</f>
        <v>false</v>
      </c>
      <c r="BC373" t="s">
        <v>1923</v>
      </c>
      <c r="BD373" s="31" t="s">
        <v>235</v>
      </c>
      <c r="BE373" s="31" t="s">
        <v>233</v>
      </c>
    </row>
    <row r="374" spans="2:57" ht="21.75" customHeight="1" x14ac:dyDescent="0.45">
      <c r="B374" t="s">
        <v>115</v>
      </c>
      <c r="E374" s="31" t="s">
        <v>1800</v>
      </c>
      <c r="F374" t="str">
        <f>"Warengruppe&gt;&gt;"&amp;Migrationsartikel!V372&amp;"&gt;&gt;"&amp;Migrationsartikel!W372&amp;"&gt;&gt;"&amp;Migrationsartikel!X372</f>
        <v>Warengruppe&gt;&gt;&gt;&gt;&gt;&gt;</v>
      </c>
      <c r="J374" s="31" t="s">
        <v>125</v>
      </c>
      <c r="M374" s="31" t="s">
        <v>137</v>
      </c>
      <c r="P374" s="31">
        <f>Migrationsartikel!B372</f>
        <v>0</v>
      </c>
      <c r="S374"/>
      <c r="T374"/>
      <c r="U374">
        <f>Migrationsartikel!F372</f>
        <v>0</v>
      </c>
      <c r="V374">
        <f>Migrationsartikel!J372</f>
        <v>0</v>
      </c>
      <c r="W374">
        <f>Migrationsartikel!N372</f>
        <v>0</v>
      </c>
      <c r="X374">
        <f>Migrationsartikel!G372</f>
        <v>0</v>
      </c>
      <c r="Y374">
        <f>Migrationsartikel!K372</f>
        <v>0</v>
      </c>
      <c r="Z374">
        <f>Migrationsartikel!O372</f>
        <v>0</v>
      </c>
      <c r="AA374" s="31">
        <f>Migrationsartikel!H372</f>
        <v>0</v>
      </c>
      <c r="AB374" s="31">
        <f>Migrationsartikel!L372</f>
        <v>0</v>
      </c>
      <c r="AC374" s="31">
        <f>Migrationsartikel!P372</f>
        <v>0</v>
      </c>
      <c r="AD374">
        <f>Migrationsartikel!I372</f>
        <v>0</v>
      </c>
      <c r="AE374">
        <f>Migrationsartikel!M372</f>
        <v>0</v>
      </c>
      <c r="AF374">
        <f>Migrationsartikel!Q372</f>
        <v>0</v>
      </c>
      <c r="AG374" s="45">
        <f>Migrationsartikel!R372</f>
        <v>0</v>
      </c>
      <c r="AH374" s="46">
        <f>Migrationsartikel!T372</f>
        <v>0</v>
      </c>
      <c r="AI374" s="46" t="str">
        <f t="shared" si="15"/>
        <v>n/a</v>
      </c>
      <c r="AJ374" s="46" t="s">
        <v>176</v>
      </c>
      <c r="AK374">
        <f>Migrationsartikel!S372</f>
        <v>0</v>
      </c>
      <c r="AL374">
        <f>Migrationsartikel!S372</f>
        <v>0</v>
      </c>
      <c r="AM374">
        <f>Migrationsartikel!S372</f>
        <v>0</v>
      </c>
      <c r="AN374">
        <f>Migrationsartikel!U372</f>
        <v>0</v>
      </c>
      <c r="AO374" t="str">
        <f t="shared" si="16"/>
        <v>n/a</v>
      </c>
      <c r="AP374" t="str">
        <f t="shared" si="17"/>
        <v>n/a</v>
      </c>
      <c r="AQ374" s="31" t="s">
        <v>195</v>
      </c>
      <c r="AR374" s="47"/>
      <c r="AS374" s="47"/>
      <c r="AT374" s="31" t="s">
        <v>208</v>
      </c>
      <c r="AU374" s="47"/>
      <c r="AV374" s="47"/>
      <c r="AW374" t="b">
        <f>IF(Migrationsartikel!AB372="ja","true",FALSE)</f>
        <v>0</v>
      </c>
      <c r="AX374" t="b">
        <f>IF(Migrationsartikel!AC372="ja","true",FALSE)</f>
        <v>0</v>
      </c>
      <c r="AY374" t="b">
        <f>IF(Migrationsartikel!AD372="ja","true",FALSE)</f>
        <v>0</v>
      </c>
      <c r="AZ374" t="b">
        <f>IF(Migrationsartikel!AE372="ja","true",FALSE)</f>
        <v>0</v>
      </c>
      <c r="BA374" t="str">
        <f>IF(Migrationsartikel!AF372="ja","Denner Partner","")</f>
        <v/>
      </c>
      <c r="BB374" t="str">
        <f>IF(Migrationsartikel!AG372="ja","true","false")</f>
        <v>false</v>
      </c>
      <c r="BC374" t="s">
        <v>1923</v>
      </c>
      <c r="BD374" s="31" t="s">
        <v>235</v>
      </c>
      <c r="BE374" s="31" t="s">
        <v>233</v>
      </c>
    </row>
    <row r="375" spans="2:57" ht="21.75" customHeight="1" x14ac:dyDescent="0.45">
      <c r="B375" t="s">
        <v>115</v>
      </c>
      <c r="E375" s="31" t="s">
        <v>1801</v>
      </c>
      <c r="F375" t="str">
        <f>"Warengruppe&gt;&gt;"&amp;Migrationsartikel!V373&amp;"&gt;&gt;"&amp;Migrationsartikel!W373&amp;"&gt;&gt;"&amp;Migrationsartikel!X373</f>
        <v>Warengruppe&gt;&gt;&gt;&gt;&gt;&gt;</v>
      </c>
      <c r="J375" s="31" t="s">
        <v>125</v>
      </c>
      <c r="M375" s="31" t="s">
        <v>137</v>
      </c>
      <c r="P375" s="31">
        <f>Migrationsartikel!B373</f>
        <v>0</v>
      </c>
      <c r="S375"/>
      <c r="T375"/>
      <c r="U375">
        <f>Migrationsartikel!F373</f>
        <v>0</v>
      </c>
      <c r="V375">
        <f>Migrationsartikel!J373</f>
        <v>0</v>
      </c>
      <c r="W375">
        <f>Migrationsartikel!N373</f>
        <v>0</v>
      </c>
      <c r="X375">
        <f>Migrationsartikel!G373</f>
        <v>0</v>
      </c>
      <c r="Y375">
        <f>Migrationsartikel!K373</f>
        <v>0</v>
      </c>
      <c r="Z375">
        <f>Migrationsartikel!O373</f>
        <v>0</v>
      </c>
      <c r="AA375" s="31">
        <f>Migrationsartikel!H373</f>
        <v>0</v>
      </c>
      <c r="AB375" s="31">
        <f>Migrationsartikel!L373</f>
        <v>0</v>
      </c>
      <c r="AC375" s="31">
        <f>Migrationsartikel!P373</f>
        <v>0</v>
      </c>
      <c r="AD375">
        <f>Migrationsartikel!I373</f>
        <v>0</v>
      </c>
      <c r="AE375">
        <f>Migrationsartikel!M373</f>
        <v>0</v>
      </c>
      <c r="AF375">
        <f>Migrationsartikel!Q373</f>
        <v>0</v>
      </c>
      <c r="AG375" s="45">
        <f>Migrationsartikel!R373</f>
        <v>0</v>
      </c>
      <c r="AH375" s="46">
        <f>Migrationsartikel!T373</f>
        <v>0</v>
      </c>
      <c r="AI375" s="46" t="str">
        <f t="shared" si="15"/>
        <v>n/a</v>
      </c>
      <c r="AJ375" s="46" t="s">
        <v>176</v>
      </c>
      <c r="AK375">
        <f>Migrationsartikel!S373</f>
        <v>0</v>
      </c>
      <c r="AL375">
        <f>Migrationsartikel!S373</f>
        <v>0</v>
      </c>
      <c r="AM375">
        <f>Migrationsartikel!S373</f>
        <v>0</v>
      </c>
      <c r="AN375">
        <f>Migrationsartikel!U373</f>
        <v>0</v>
      </c>
      <c r="AO375" t="str">
        <f t="shared" si="16"/>
        <v>n/a</v>
      </c>
      <c r="AP375" t="str">
        <f t="shared" si="17"/>
        <v>n/a</v>
      </c>
      <c r="AQ375" s="31" t="s">
        <v>195</v>
      </c>
      <c r="AR375" s="47"/>
      <c r="AS375" s="47"/>
      <c r="AT375" s="31" t="s">
        <v>208</v>
      </c>
      <c r="AU375" s="47"/>
      <c r="AV375" s="47"/>
      <c r="AW375" t="b">
        <f>IF(Migrationsartikel!AB373="ja","true",FALSE)</f>
        <v>0</v>
      </c>
      <c r="AX375" t="b">
        <f>IF(Migrationsartikel!AC373="ja","true",FALSE)</f>
        <v>0</v>
      </c>
      <c r="AY375" t="b">
        <f>IF(Migrationsartikel!AD373="ja","true",FALSE)</f>
        <v>0</v>
      </c>
      <c r="AZ375" t="b">
        <f>IF(Migrationsartikel!AE373="ja","true",FALSE)</f>
        <v>0</v>
      </c>
      <c r="BA375" t="str">
        <f>IF(Migrationsartikel!AF373="ja","Denner Partner","")</f>
        <v/>
      </c>
      <c r="BB375" t="str">
        <f>IF(Migrationsartikel!AG373="ja","true","false")</f>
        <v>false</v>
      </c>
      <c r="BC375" t="s">
        <v>1923</v>
      </c>
      <c r="BD375" s="31" t="s">
        <v>235</v>
      </c>
      <c r="BE375" s="31" t="s">
        <v>233</v>
      </c>
    </row>
    <row r="376" spans="2:57" ht="21.75" customHeight="1" x14ac:dyDescent="0.45">
      <c r="B376" t="s">
        <v>115</v>
      </c>
      <c r="E376" s="31" t="s">
        <v>1802</v>
      </c>
      <c r="F376" t="str">
        <f>"Warengruppe&gt;&gt;"&amp;Migrationsartikel!V374&amp;"&gt;&gt;"&amp;Migrationsartikel!W374&amp;"&gt;&gt;"&amp;Migrationsartikel!X374</f>
        <v>Warengruppe&gt;&gt;&gt;&gt;&gt;&gt;</v>
      </c>
      <c r="J376" s="31" t="s">
        <v>125</v>
      </c>
      <c r="M376" s="31" t="s">
        <v>137</v>
      </c>
      <c r="P376" s="31">
        <f>Migrationsartikel!B374</f>
        <v>0</v>
      </c>
      <c r="S376"/>
      <c r="T376"/>
      <c r="U376">
        <f>Migrationsartikel!F374</f>
        <v>0</v>
      </c>
      <c r="V376">
        <f>Migrationsartikel!J374</f>
        <v>0</v>
      </c>
      <c r="W376">
        <f>Migrationsartikel!N374</f>
        <v>0</v>
      </c>
      <c r="X376">
        <f>Migrationsartikel!G374</f>
        <v>0</v>
      </c>
      <c r="Y376">
        <f>Migrationsartikel!K374</f>
        <v>0</v>
      </c>
      <c r="Z376">
        <f>Migrationsartikel!O374</f>
        <v>0</v>
      </c>
      <c r="AA376" s="31">
        <f>Migrationsartikel!H374</f>
        <v>0</v>
      </c>
      <c r="AB376" s="31">
        <f>Migrationsartikel!L374</f>
        <v>0</v>
      </c>
      <c r="AC376" s="31">
        <f>Migrationsartikel!P374</f>
        <v>0</v>
      </c>
      <c r="AD376">
        <f>Migrationsartikel!I374</f>
        <v>0</v>
      </c>
      <c r="AE376">
        <f>Migrationsartikel!M374</f>
        <v>0</v>
      </c>
      <c r="AF376">
        <f>Migrationsartikel!Q374</f>
        <v>0</v>
      </c>
      <c r="AG376" s="45">
        <f>Migrationsartikel!R374</f>
        <v>0</v>
      </c>
      <c r="AH376" s="46">
        <f>Migrationsartikel!T374</f>
        <v>0</v>
      </c>
      <c r="AI376" s="46" t="str">
        <f t="shared" si="15"/>
        <v>n/a</v>
      </c>
      <c r="AJ376" s="46" t="s">
        <v>176</v>
      </c>
      <c r="AK376">
        <f>Migrationsartikel!S374</f>
        <v>0</v>
      </c>
      <c r="AL376">
        <f>Migrationsartikel!S374</f>
        <v>0</v>
      </c>
      <c r="AM376">
        <f>Migrationsartikel!S374</f>
        <v>0</v>
      </c>
      <c r="AN376">
        <f>Migrationsartikel!U374</f>
        <v>0</v>
      </c>
      <c r="AO376" t="str">
        <f t="shared" si="16"/>
        <v>n/a</v>
      </c>
      <c r="AP376" t="str">
        <f t="shared" si="17"/>
        <v>n/a</v>
      </c>
      <c r="AQ376" s="31" t="s">
        <v>195</v>
      </c>
      <c r="AR376" s="47"/>
      <c r="AS376" s="47"/>
      <c r="AT376" s="31" t="s">
        <v>208</v>
      </c>
      <c r="AU376" s="47"/>
      <c r="AV376" s="47"/>
      <c r="AW376" t="b">
        <f>IF(Migrationsartikel!AB374="ja","true",FALSE)</f>
        <v>0</v>
      </c>
      <c r="AX376" t="b">
        <f>IF(Migrationsartikel!AC374="ja","true",FALSE)</f>
        <v>0</v>
      </c>
      <c r="AY376" t="b">
        <f>IF(Migrationsartikel!AD374="ja","true",FALSE)</f>
        <v>0</v>
      </c>
      <c r="AZ376" t="b">
        <f>IF(Migrationsartikel!AE374="ja","true",FALSE)</f>
        <v>0</v>
      </c>
      <c r="BA376" t="str">
        <f>IF(Migrationsartikel!AF374="ja","Denner Partner","")</f>
        <v/>
      </c>
      <c r="BB376" t="str">
        <f>IF(Migrationsartikel!AG374="ja","true","false")</f>
        <v>false</v>
      </c>
      <c r="BC376" t="s">
        <v>1923</v>
      </c>
      <c r="BD376" s="31" t="s">
        <v>235</v>
      </c>
      <c r="BE376" s="31" t="s">
        <v>233</v>
      </c>
    </row>
    <row r="377" spans="2:57" ht="21.75" customHeight="1" x14ac:dyDescent="0.45">
      <c r="B377" t="s">
        <v>115</v>
      </c>
      <c r="E377" s="31" t="s">
        <v>1803</v>
      </c>
      <c r="F377" t="str">
        <f>"Warengruppe&gt;&gt;"&amp;Migrationsartikel!V375&amp;"&gt;&gt;"&amp;Migrationsartikel!W375&amp;"&gt;&gt;"&amp;Migrationsartikel!X375</f>
        <v>Warengruppe&gt;&gt;&gt;&gt;&gt;&gt;</v>
      </c>
      <c r="J377" s="31" t="s">
        <v>125</v>
      </c>
      <c r="M377" s="31" t="s">
        <v>137</v>
      </c>
      <c r="P377" s="31">
        <f>Migrationsartikel!B375</f>
        <v>0</v>
      </c>
      <c r="S377"/>
      <c r="T377"/>
      <c r="U377">
        <f>Migrationsartikel!F375</f>
        <v>0</v>
      </c>
      <c r="V377">
        <f>Migrationsartikel!J375</f>
        <v>0</v>
      </c>
      <c r="W377">
        <f>Migrationsartikel!N375</f>
        <v>0</v>
      </c>
      <c r="X377">
        <f>Migrationsartikel!G375</f>
        <v>0</v>
      </c>
      <c r="Y377">
        <f>Migrationsartikel!K375</f>
        <v>0</v>
      </c>
      <c r="Z377">
        <f>Migrationsartikel!O375</f>
        <v>0</v>
      </c>
      <c r="AA377" s="31">
        <f>Migrationsartikel!H375</f>
        <v>0</v>
      </c>
      <c r="AB377" s="31">
        <f>Migrationsartikel!L375</f>
        <v>0</v>
      </c>
      <c r="AC377" s="31">
        <f>Migrationsartikel!P375</f>
        <v>0</v>
      </c>
      <c r="AD377">
        <f>Migrationsartikel!I375</f>
        <v>0</v>
      </c>
      <c r="AE377">
        <f>Migrationsartikel!M375</f>
        <v>0</v>
      </c>
      <c r="AF377">
        <f>Migrationsartikel!Q375</f>
        <v>0</v>
      </c>
      <c r="AG377" s="45">
        <f>Migrationsartikel!R375</f>
        <v>0</v>
      </c>
      <c r="AH377" s="46">
        <f>Migrationsartikel!T375</f>
        <v>0</v>
      </c>
      <c r="AI377" s="46" t="str">
        <f t="shared" si="15"/>
        <v>n/a</v>
      </c>
      <c r="AJ377" s="46" t="s">
        <v>176</v>
      </c>
      <c r="AK377">
        <f>Migrationsartikel!S375</f>
        <v>0</v>
      </c>
      <c r="AL377">
        <f>Migrationsartikel!S375</f>
        <v>0</v>
      </c>
      <c r="AM377">
        <f>Migrationsartikel!S375</f>
        <v>0</v>
      </c>
      <c r="AN377">
        <f>Migrationsartikel!U375</f>
        <v>0</v>
      </c>
      <c r="AO377" t="str">
        <f t="shared" si="16"/>
        <v>n/a</v>
      </c>
      <c r="AP377" t="str">
        <f t="shared" si="17"/>
        <v>n/a</v>
      </c>
      <c r="AQ377" s="31" t="s">
        <v>195</v>
      </c>
      <c r="AR377" s="47"/>
      <c r="AS377" s="47"/>
      <c r="AT377" s="31" t="s">
        <v>208</v>
      </c>
      <c r="AU377" s="47"/>
      <c r="AV377" s="47"/>
      <c r="AW377" t="b">
        <f>IF(Migrationsartikel!AB375="ja","true",FALSE)</f>
        <v>0</v>
      </c>
      <c r="AX377" t="b">
        <f>IF(Migrationsartikel!AC375="ja","true",FALSE)</f>
        <v>0</v>
      </c>
      <c r="AY377" t="b">
        <f>IF(Migrationsartikel!AD375="ja","true",FALSE)</f>
        <v>0</v>
      </c>
      <c r="AZ377" t="b">
        <f>IF(Migrationsartikel!AE375="ja","true",FALSE)</f>
        <v>0</v>
      </c>
      <c r="BA377" t="str">
        <f>IF(Migrationsartikel!AF375="ja","Denner Partner","")</f>
        <v/>
      </c>
      <c r="BB377" t="str">
        <f>IF(Migrationsartikel!AG375="ja","true","false")</f>
        <v>false</v>
      </c>
      <c r="BC377" t="s">
        <v>1923</v>
      </c>
      <c r="BD377" s="31" t="s">
        <v>235</v>
      </c>
      <c r="BE377" s="31" t="s">
        <v>233</v>
      </c>
    </row>
    <row r="378" spans="2:57" ht="21.75" customHeight="1" x14ac:dyDescent="0.45">
      <c r="B378" t="s">
        <v>115</v>
      </c>
      <c r="E378" s="31" t="s">
        <v>1804</v>
      </c>
      <c r="F378" t="str">
        <f>"Warengruppe&gt;&gt;"&amp;Migrationsartikel!V376&amp;"&gt;&gt;"&amp;Migrationsartikel!W376&amp;"&gt;&gt;"&amp;Migrationsartikel!X376</f>
        <v>Warengruppe&gt;&gt;&gt;&gt;&gt;&gt;</v>
      </c>
      <c r="J378" s="31" t="s">
        <v>125</v>
      </c>
      <c r="M378" s="31" t="s">
        <v>137</v>
      </c>
      <c r="P378" s="31">
        <f>Migrationsartikel!B376</f>
        <v>0</v>
      </c>
      <c r="S378"/>
      <c r="T378"/>
      <c r="U378">
        <f>Migrationsartikel!F376</f>
        <v>0</v>
      </c>
      <c r="V378">
        <f>Migrationsartikel!J376</f>
        <v>0</v>
      </c>
      <c r="W378">
        <f>Migrationsartikel!N376</f>
        <v>0</v>
      </c>
      <c r="X378">
        <f>Migrationsartikel!G376</f>
        <v>0</v>
      </c>
      <c r="Y378">
        <f>Migrationsartikel!K376</f>
        <v>0</v>
      </c>
      <c r="Z378">
        <f>Migrationsartikel!O376</f>
        <v>0</v>
      </c>
      <c r="AA378" s="31">
        <f>Migrationsartikel!H376</f>
        <v>0</v>
      </c>
      <c r="AB378" s="31">
        <f>Migrationsartikel!L376</f>
        <v>0</v>
      </c>
      <c r="AC378" s="31">
        <f>Migrationsartikel!P376</f>
        <v>0</v>
      </c>
      <c r="AD378">
        <f>Migrationsartikel!I376</f>
        <v>0</v>
      </c>
      <c r="AE378">
        <f>Migrationsartikel!M376</f>
        <v>0</v>
      </c>
      <c r="AF378">
        <f>Migrationsartikel!Q376</f>
        <v>0</v>
      </c>
      <c r="AG378" s="45">
        <f>Migrationsartikel!R376</f>
        <v>0</v>
      </c>
      <c r="AH378" s="46">
        <f>Migrationsartikel!T376</f>
        <v>0</v>
      </c>
      <c r="AI378" s="46" t="str">
        <f t="shared" si="15"/>
        <v>n/a</v>
      </c>
      <c r="AJ378" s="46" t="s">
        <v>176</v>
      </c>
      <c r="AK378">
        <f>Migrationsartikel!S376</f>
        <v>0</v>
      </c>
      <c r="AL378">
        <f>Migrationsartikel!S376</f>
        <v>0</v>
      </c>
      <c r="AM378">
        <f>Migrationsartikel!S376</f>
        <v>0</v>
      </c>
      <c r="AN378">
        <f>Migrationsartikel!U376</f>
        <v>0</v>
      </c>
      <c r="AO378" t="str">
        <f t="shared" si="16"/>
        <v>n/a</v>
      </c>
      <c r="AP378" t="str">
        <f t="shared" si="17"/>
        <v>n/a</v>
      </c>
      <c r="AQ378" s="31" t="s">
        <v>195</v>
      </c>
      <c r="AR378" s="47"/>
      <c r="AS378" s="47"/>
      <c r="AT378" s="31" t="s">
        <v>208</v>
      </c>
      <c r="AU378" s="47"/>
      <c r="AV378" s="47"/>
      <c r="AW378" t="b">
        <f>IF(Migrationsartikel!AB376="ja","true",FALSE)</f>
        <v>0</v>
      </c>
      <c r="AX378" t="b">
        <f>IF(Migrationsartikel!AC376="ja","true",FALSE)</f>
        <v>0</v>
      </c>
      <c r="AY378" t="b">
        <f>IF(Migrationsartikel!AD376="ja","true",FALSE)</f>
        <v>0</v>
      </c>
      <c r="AZ378" t="b">
        <f>IF(Migrationsartikel!AE376="ja","true",FALSE)</f>
        <v>0</v>
      </c>
      <c r="BA378" t="str">
        <f>IF(Migrationsartikel!AF376="ja","Denner Partner","")</f>
        <v/>
      </c>
      <c r="BB378" t="str">
        <f>IF(Migrationsartikel!AG376="ja","true","false")</f>
        <v>false</v>
      </c>
      <c r="BC378" t="s">
        <v>1923</v>
      </c>
      <c r="BD378" s="31" t="s">
        <v>235</v>
      </c>
      <c r="BE378" s="31" t="s">
        <v>233</v>
      </c>
    </row>
    <row r="379" spans="2:57" ht="21.75" customHeight="1" x14ac:dyDescent="0.45">
      <c r="B379" t="s">
        <v>115</v>
      </c>
      <c r="E379" s="31" t="s">
        <v>1805</v>
      </c>
      <c r="F379" t="str">
        <f>"Warengruppe&gt;&gt;"&amp;Migrationsartikel!V377&amp;"&gt;&gt;"&amp;Migrationsartikel!W377&amp;"&gt;&gt;"&amp;Migrationsartikel!X377</f>
        <v>Warengruppe&gt;&gt;&gt;&gt;&gt;&gt;</v>
      </c>
      <c r="J379" s="31" t="s">
        <v>125</v>
      </c>
      <c r="M379" s="31" t="s">
        <v>137</v>
      </c>
      <c r="P379" s="31">
        <f>Migrationsartikel!B377</f>
        <v>0</v>
      </c>
      <c r="S379"/>
      <c r="T379"/>
      <c r="U379">
        <f>Migrationsartikel!F377</f>
        <v>0</v>
      </c>
      <c r="V379">
        <f>Migrationsartikel!J377</f>
        <v>0</v>
      </c>
      <c r="W379">
        <f>Migrationsartikel!N377</f>
        <v>0</v>
      </c>
      <c r="X379">
        <f>Migrationsartikel!G377</f>
        <v>0</v>
      </c>
      <c r="Y379">
        <f>Migrationsartikel!K377</f>
        <v>0</v>
      </c>
      <c r="Z379">
        <f>Migrationsartikel!O377</f>
        <v>0</v>
      </c>
      <c r="AA379" s="31">
        <f>Migrationsartikel!H377</f>
        <v>0</v>
      </c>
      <c r="AB379" s="31">
        <f>Migrationsartikel!L377</f>
        <v>0</v>
      </c>
      <c r="AC379" s="31">
        <f>Migrationsartikel!P377</f>
        <v>0</v>
      </c>
      <c r="AD379">
        <f>Migrationsartikel!I377</f>
        <v>0</v>
      </c>
      <c r="AE379">
        <f>Migrationsartikel!M377</f>
        <v>0</v>
      </c>
      <c r="AF379">
        <f>Migrationsartikel!Q377</f>
        <v>0</v>
      </c>
      <c r="AG379" s="45">
        <f>Migrationsartikel!R377</f>
        <v>0</v>
      </c>
      <c r="AH379" s="46">
        <f>Migrationsartikel!T377</f>
        <v>0</v>
      </c>
      <c r="AI379" s="46" t="str">
        <f t="shared" si="15"/>
        <v>n/a</v>
      </c>
      <c r="AJ379" s="46" t="s">
        <v>176</v>
      </c>
      <c r="AK379">
        <f>Migrationsartikel!S377</f>
        <v>0</v>
      </c>
      <c r="AL379">
        <f>Migrationsartikel!S377</f>
        <v>0</v>
      </c>
      <c r="AM379">
        <f>Migrationsartikel!S377</f>
        <v>0</v>
      </c>
      <c r="AN379">
        <f>Migrationsartikel!U377</f>
        <v>0</v>
      </c>
      <c r="AO379" t="str">
        <f t="shared" si="16"/>
        <v>n/a</v>
      </c>
      <c r="AP379" t="str">
        <f t="shared" si="17"/>
        <v>n/a</v>
      </c>
      <c r="AQ379" s="31" t="s">
        <v>195</v>
      </c>
      <c r="AR379" s="47"/>
      <c r="AS379" s="47"/>
      <c r="AT379" s="31" t="s">
        <v>208</v>
      </c>
      <c r="AU379" s="47"/>
      <c r="AV379" s="47"/>
      <c r="AW379" t="b">
        <f>IF(Migrationsartikel!AB377="ja","true",FALSE)</f>
        <v>0</v>
      </c>
      <c r="AX379" t="b">
        <f>IF(Migrationsartikel!AC377="ja","true",FALSE)</f>
        <v>0</v>
      </c>
      <c r="AY379" t="b">
        <f>IF(Migrationsartikel!AD377="ja","true",FALSE)</f>
        <v>0</v>
      </c>
      <c r="AZ379" t="b">
        <f>IF(Migrationsartikel!AE377="ja","true",FALSE)</f>
        <v>0</v>
      </c>
      <c r="BA379" t="str">
        <f>IF(Migrationsartikel!AF377="ja","Denner Partner","")</f>
        <v/>
      </c>
      <c r="BB379" t="str">
        <f>IF(Migrationsartikel!AG377="ja","true","false")</f>
        <v>false</v>
      </c>
      <c r="BC379" t="s">
        <v>1923</v>
      </c>
      <c r="BD379" s="31" t="s">
        <v>235</v>
      </c>
      <c r="BE379" s="31" t="s">
        <v>233</v>
      </c>
    </row>
    <row r="380" spans="2:57" ht="21.75" customHeight="1" x14ac:dyDescent="0.45">
      <c r="B380" t="s">
        <v>115</v>
      </c>
      <c r="E380" s="31" t="s">
        <v>1806</v>
      </c>
      <c r="F380" t="str">
        <f>"Warengruppe&gt;&gt;"&amp;Migrationsartikel!V378&amp;"&gt;&gt;"&amp;Migrationsartikel!W378&amp;"&gt;&gt;"&amp;Migrationsartikel!X378</f>
        <v>Warengruppe&gt;&gt;&gt;&gt;&gt;&gt;</v>
      </c>
      <c r="J380" s="31" t="s">
        <v>125</v>
      </c>
      <c r="M380" s="31" t="s">
        <v>137</v>
      </c>
      <c r="P380" s="31">
        <f>Migrationsartikel!B378</f>
        <v>0</v>
      </c>
      <c r="S380"/>
      <c r="T380"/>
      <c r="U380">
        <f>Migrationsartikel!F378</f>
        <v>0</v>
      </c>
      <c r="V380">
        <f>Migrationsartikel!J378</f>
        <v>0</v>
      </c>
      <c r="W380">
        <f>Migrationsartikel!N378</f>
        <v>0</v>
      </c>
      <c r="X380">
        <f>Migrationsartikel!G378</f>
        <v>0</v>
      </c>
      <c r="Y380">
        <f>Migrationsartikel!K378</f>
        <v>0</v>
      </c>
      <c r="Z380">
        <f>Migrationsartikel!O378</f>
        <v>0</v>
      </c>
      <c r="AA380" s="31">
        <f>Migrationsartikel!H378</f>
        <v>0</v>
      </c>
      <c r="AB380" s="31">
        <f>Migrationsartikel!L378</f>
        <v>0</v>
      </c>
      <c r="AC380" s="31">
        <f>Migrationsartikel!P378</f>
        <v>0</v>
      </c>
      <c r="AD380">
        <f>Migrationsartikel!I378</f>
        <v>0</v>
      </c>
      <c r="AE380">
        <f>Migrationsartikel!M378</f>
        <v>0</v>
      </c>
      <c r="AF380">
        <f>Migrationsartikel!Q378</f>
        <v>0</v>
      </c>
      <c r="AG380" s="45">
        <f>Migrationsartikel!R378</f>
        <v>0</v>
      </c>
      <c r="AH380" s="46">
        <f>Migrationsartikel!T378</f>
        <v>0</v>
      </c>
      <c r="AI380" s="46" t="str">
        <f t="shared" si="15"/>
        <v>n/a</v>
      </c>
      <c r="AJ380" s="46" t="s">
        <v>176</v>
      </c>
      <c r="AK380">
        <f>Migrationsartikel!S378</f>
        <v>0</v>
      </c>
      <c r="AL380">
        <f>Migrationsartikel!S378</f>
        <v>0</v>
      </c>
      <c r="AM380">
        <f>Migrationsartikel!S378</f>
        <v>0</v>
      </c>
      <c r="AN380">
        <f>Migrationsartikel!U378</f>
        <v>0</v>
      </c>
      <c r="AO380" t="str">
        <f t="shared" si="16"/>
        <v>n/a</v>
      </c>
      <c r="AP380" t="str">
        <f t="shared" si="17"/>
        <v>n/a</v>
      </c>
      <c r="AQ380" s="31" t="s">
        <v>195</v>
      </c>
      <c r="AR380" s="47"/>
      <c r="AS380" s="47"/>
      <c r="AT380" s="31" t="s">
        <v>208</v>
      </c>
      <c r="AU380" s="47"/>
      <c r="AV380" s="47"/>
      <c r="AW380" t="b">
        <f>IF(Migrationsartikel!AB378="ja","true",FALSE)</f>
        <v>0</v>
      </c>
      <c r="AX380" t="b">
        <f>IF(Migrationsartikel!AC378="ja","true",FALSE)</f>
        <v>0</v>
      </c>
      <c r="AY380" t="b">
        <f>IF(Migrationsartikel!AD378="ja","true",FALSE)</f>
        <v>0</v>
      </c>
      <c r="AZ380" t="b">
        <f>IF(Migrationsartikel!AE378="ja","true",FALSE)</f>
        <v>0</v>
      </c>
      <c r="BA380" t="str">
        <f>IF(Migrationsartikel!AF378="ja","Denner Partner","")</f>
        <v/>
      </c>
      <c r="BB380" t="str">
        <f>IF(Migrationsartikel!AG378="ja","true","false")</f>
        <v>false</v>
      </c>
      <c r="BC380" t="s">
        <v>1923</v>
      </c>
      <c r="BD380" s="31" t="s">
        <v>235</v>
      </c>
      <c r="BE380" s="31" t="s">
        <v>233</v>
      </c>
    </row>
    <row r="381" spans="2:57" ht="21.75" customHeight="1" x14ac:dyDescent="0.45">
      <c r="B381" t="s">
        <v>115</v>
      </c>
      <c r="E381" s="31" t="s">
        <v>1807</v>
      </c>
      <c r="F381" t="str">
        <f>"Warengruppe&gt;&gt;"&amp;Migrationsartikel!V379&amp;"&gt;&gt;"&amp;Migrationsartikel!W379&amp;"&gt;&gt;"&amp;Migrationsartikel!X379</f>
        <v>Warengruppe&gt;&gt;&gt;&gt;&gt;&gt;</v>
      </c>
      <c r="J381" s="31" t="s">
        <v>125</v>
      </c>
      <c r="M381" s="31" t="s">
        <v>137</v>
      </c>
      <c r="P381" s="31">
        <f>Migrationsartikel!B379</f>
        <v>0</v>
      </c>
      <c r="S381"/>
      <c r="T381"/>
      <c r="U381">
        <f>Migrationsartikel!F379</f>
        <v>0</v>
      </c>
      <c r="V381">
        <f>Migrationsartikel!J379</f>
        <v>0</v>
      </c>
      <c r="W381">
        <f>Migrationsartikel!N379</f>
        <v>0</v>
      </c>
      <c r="X381">
        <f>Migrationsartikel!G379</f>
        <v>0</v>
      </c>
      <c r="Y381">
        <f>Migrationsartikel!K379</f>
        <v>0</v>
      </c>
      <c r="Z381">
        <f>Migrationsartikel!O379</f>
        <v>0</v>
      </c>
      <c r="AA381" s="31">
        <f>Migrationsartikel!H379</f>
        <v>0</v>
      </c>
      <c r="AB381" s="31">
        <f>Migrationsartikel!L379</f>
        <v>0</v>
      </c>
      <c r="AC381" s="31">
        <f>Migrationsartikel!P379</f>
        <v>0</v>
      </c>
      <c r="AD381">
        <f>Migrationsartikel!I379</f>
        <v>0</v>
      </c>
      <c r="AE381">
        <f>Migrationsartikel!M379</f>
        <v>0</v>
      </c>
      <c r="AF381">
        <f>Migrationsartikel!Q379</f>
        <v>0</v>
      </c>
      <c r="AG381" s="45">
        <f>Migrationsartikel!R379</f>
        <v>0</v>
      </c>
      <c r="AH381" s="46">
        <f>Migrationsartikel!T379</f>
        <v>0</v>
      </c>
      <c r="AI381" s="46" t="str">
        <f t="shared" si="15"/>
        <v>n/a</v>
      </c>
      <c r="AJ381" s="46" t="s">
        <v>176</v>
      </c>
      <c r="AK381">
        <f>Migrationsartikel!S379</f>
        <v>0</v>
      </c>
      <c r="AL381">
        <f>Migrationsartikel!S379</f>
        <v>0</v>
      </c>
      <c r="AM381">
        <f>Migrationsartikel!S379</f>
        <v>0</v>
      </c>
      <c r="AN381">
        <f>Migrationsartikel!U379</f>
        <v>0</v>
      </c>
      <c r="AO381" t="str">
        <f t="shared" si="16"/>
        <v>n/a</v>
      </c>
      <c r="AP381" t="str">
        <f t="shared" si="17"/>
        <v>n/a</v>
      </c>
      <c r="AQ381" s="31" t="s">
        <v>195</v>
      </c>
      <c r="AR381" s="47"/>
      <c r="AS381" s="47"/>
      <c r="AT381" s="31" t="s">
        <v>208</v>
      </c>
      <c r="AU381" s="47"/>
      <c r="AV381" s="47"/>
      <c r="AW381" t="b">
        <f>IF(Migrationsartikel!AB379="ja","true",FALSE)</f>
        <v>0</v>
      </c>
      <c r="AX381" t="b">
        <f>IF(Migrationsartikel!AC379="ja","true",FALSE)</f>
        <v>0</v>
      </c>
      <c r="AY381" t="b">
        <f>IF(Migrationsartikel!AD379="ja","true",FALSE)</f>
        <v>0</v>
      </c>
      <c r="AZ381" t="b">
        <f>IF(Migrationsartikel!AE379="ja","true",FALSE)</f>
        <v>0</v>
      </c>
      <c r="BA381" t="str">
        <f>IF(Migrationsartikel!AF379="ja","Denner Partner","")</f>
        <v/>
      </c>
      <c r="BB381" t="str">
        <f>IF(Migrationsartikel!AG379="ja","true","false")</f>
        <v>false</v>
      </c>
      <c r="BC381" t="s">
        <v>1923</v>
      </c>
      <c r="BD381" s="31" t="s">
        <v>235</v>
      </c>
      <c r="BE381" s="31" t="s">
        <v>233</v>
      </c>
    </row>
    <row r="382" spans="2:57" ht="21.75" customHeight="1" x14ac:dyDescent="0.45">
      <c r="B382" t="s">
        <v>115</v>
      </c>
      <c r="E382" s="31" t="s">
        <v>1808</v>
      </c>
      <c r="F382" t="str">
        <f>"Warengruppe&gt;&gt;"&amp;Migrationsartikel!V380&amp;"&gt;&gt;"&amp;Migrationsartikel!W380&amp;"&gt;&gt;"&amp;Migrationsartikel!X380</f>
        <v>Warengruppe&gt;&gt;&gt;&gt;&gt;&gt;</v>
      </c>
      <c r="J382" s="31" t="s">
        <v>125</v>
      </c>
      <c r="M382" s="31" t="s">
        <v>137</v>
      </c>
      <c r="P382" s="31">
        <f>Migrationsartikel!B380</f>
        <v>0</v>
      </c>
      <c r="S382"/>
      <c r="T382"/>
      <c r="U382">
        <f>Migrationsartikel!F380</f>
        <v>0</v>
      </c>
      <c r="V382">
        <f>Migrationsartikel!J380</f>
        <v>0</v>
      </c>
      <c r="W382">
        <f>Migrationsartikel!N380</f>
        <v>0</v>
      </c>
      <c r="X382">
        <f>Migrationsartikel!G380</f>
        <v>0</v>
      </c>
      <c r="Y382">
        <f>Migrationsartikel!K380</f>
        <v>0</v>
      </c>
      <c r="Z382">
        <f>Migrationsartikel!O380</f>
        <v>0</v>
      </c>
      <c r="AA382" s="31">
        <f>Migrationsartikel!H380</f>
        <v>0</v>
      </c>
      <c r="AB382" s="31">
        <f>Migrationsartikel!L380</f>
        <v>0</v>
      </c>
      <c r="AC382" s="31">
        <f>Migrationsartikel!P380</f>
        <v>0</v>
      </c>
      <c r="AD382">
        <f>Migrationsartikel!I380</f>
        <v>0</v>
      </c>
      <c r="AE382">
        <f>Migrationsartikel!M380</f>
        <v>0</v>
      </c>
      <c r="AF382">
        <f>Migrationsartikel!Q380</f>
        <v>0</v>
      </c>
      <c r="AG382" s="45">
        <f>Migrationsartikel!R380</f>
        <v>0</v>
      </c>
      <c r="AH382" s="46">
        <f>Migrationsartikel!T380</f>
        <v>0</v>
      </c>
      <c r="AI382" s="46" t="str">
        <f t="shared" si="15"/>
        <v>n/a</v>
      </c>
      <c r="AJ382" s="46" t="s">
        <v>176</v>
      </c>
      <c r="AK382">
        <f>Migrationsartikel!S380</f>
        <v>0</v>
      </c>
      <c r="AL382">
        <f>Migrationsartikel!S380</f>
        <v>0</v>
      </c>
      <c r="AM382">
        <f>Migrationsartikel!S380</f>
        <v>0</v>
      </c>
      <c r="AN382">
        <f>Migrationsartikel!U380</f>
        <v>0</v>
      </c>
      <c r="AO382" t="str">
        <f t="shared" si="16"/>
        <v>n/a</v>
      </c>
      <c r="AP382" t="str">
        <f t="shared" si="17"/>
        <v>n/a</v>
      </c>
      <c r="AQ382" s="31" t="s">
        <v>195</v>
      </c>
      <c r="AR382" s="47"/>
      <c r="AS382" s="47"/>
      <c r="AT382" s="31" t="s">
        <v>208</v>
      </c>
      <c r="AU382" s="47"/>
      <c r="AV382" s="47"/>
      <c r="AW382" t="b">
        <f>IF(Migrationsartikel!AB380="ja","true",FALSE)</f>
        <v>0</v>
      </c>
      <c r="AX382" t="b">
        <f>IF(Migrationsartikel!AC380="ja","true",FALSE)</f>
        <v>0</v>
      </c>
      <c r="AY382" t="b">
        <f>IF(Migrationsartikel!AD380="ja","true",FALSE)</f>
        <v>0</v>
      </c>
      <c r="AZ382" t="b">
        <f>IF(Migrationsartikel!AE380="ja","true",FALSE)</f>
        <v>0</v>
      </c>
      <c r="BA382" t="str">
        <f>IF(Migrationsartikel!AF380="ja","Denner Partner","")</f>
        <v/>
      </c>
      <c r="BB382" t="str">
        <f>IF(Migrationsartikel!AG380="ja","true","false")</f>
        <v>false</v>
      </c>
      <c r="BC382" t="s">
        <v>1923</v>
      </c>
      <c r="BD382" s="31" t="s">
        <v>235</v>
      </c>
      <c r="BE382" s="31" t="s">
        <v>233</v>
      </c>
    </row>
    <row r="383" spans="2:57" ht="21.75" customHeight="1" x14ac:dyDescent="0.45">
      <c r="B383" t="s">
        <v>115</v>
      </c>
      <c r="E383" s="31" t="s">
        <v>1809</v>
      </c>
      <c r="F383" t="str">
        <f>"Warengruppe&gt;&gt;"&amp;Migrationsartikel!V381&amp;"&gt;&gt;"&amp;Migrationsartikel!W381&amp;"&gt;&gt;"&amp;Migrationsartikel!X381</f>
        <v>Warengruppe&gt;&gt;&gt;&gt;&gt;&gt;</v>
      </c>
      <c r="J383" s="31" t="s">
        <v>125</v>
      </c>
      <c r="M383" s="31" t="s">
        <v>137</v>
      </c>
      <c r="P383" s="31">
        <f>Migrationsartikel!B381</f>
        <v>0</v>
      </c>
      <c r="S383"/>
      <c r="T383"/>
      <c r="U383">
        <f>Migrationsartikel!F381</f>
        <v>0</v>
      </c>
      <c r="V383">
        <f>Migrationsartikel!J381</f>
        <v>0</v>
      </c>
      <c r="W383">
        <f>Migrationsartikel!N381</f>
        <v>0</v>
      </c>
      <c r="X383">
        <f>Migrationsartikel!G381</f>
        <v>0</v>
      </c>
      <c r="Y383">
        <f>Migrationsartikel!K381</f>
        <v>0</v>
      </c>
      <c r="Z383">
        <f>Migrationsartikel!O381</f>
        <v>0</v>
      </c>
      <c r="AA383" s="31">
        <f>Migrationsartikel!H381</f>
        <v>0</v>
      </c>
      <c r="AB383" s="31">
        <f>Migrationsartikel!L381</f>
        <v>0</v>
      </c>
      <c r="AC383" s="31">
        <f>Migrationsartikel!P381</f>
        <v>0</v>
      </c>
      <c r="AD383">
        <f>Migrationsartikel!I381</f>
        <v>0</v>
      </c>
      <c r="AE383">
        <f>Migrationsartikel!M381</f>
        <v>0</v>
      </c>
      <c r="AF383">
        <f>Migrationsartikel!Q381</f>
        <v>0</v>
      </c>
      <c r="AG383" s="45">
        <f>Migrationsartikel!R381</f>
        <v>0</v>
      </c>
      <c r="AH383" s="46">
        <f>Migrationsartikel!T381</f>
        <v>0</v>
      </c>
      <c r="AI383" s="46" t="str">
        <f t="shared" si="15"/>
        <v>n/a</v>
      </c>
      <c r="AJ383" s="46" t="s">
        <v>176</v>
      </c>
      <c r="AK383">
        <f>Migrationsartikel!S381</f>
        <v>0</v>
      </c>
      <c r="AL383">
        <f>Migrationsartikel!S381</f>
        <v>0</v>
      </c>
      <c r="AM383">
        <f>Migrationsartikel!S381</f>
        <v>0</v>
      </c>
      <c r="AN383">
        <f>Migrationsartikel!U381</f>
        <v>0</v>
      </c>
      <c r="AO383" t="str">
        <f t="shared" si="16"/>
        <v>n/a</v>
      </c>
      <c r="AP383" t="str">
        <f t="shared" si="17"/>
        <v>n/a</v>
      </c>
      <c r="AQ383" s="31" t="s">
        <v>195</v>
      </c>
      <c r="AR383" s="47"/>
      <c r="AS383" s="47"/>
      <c r="AT383" s="31" t="s">
        <v>208</v>
      </c>
      <c r="AU383" s="47"/>
      <c r="AV383" s="47"/>
      <c r="AW383" t="b">
        <f>IF(Migrationsartikel!AB381="ja","true",FALSE)</f>
        <v>0</v>
      </c>
      <c r="AX383" t="b">
        <f>IF(Migrationsartikel!AC381="ja","true",FALSE)</f>
        <v>0</v>
      </c>
      <c r="AY383" t="b">
        <f>IF(Migrationsartikel!AD381="ja","true",FALSE)</f>
        <v>0</v>
      </c>
      <c r="AZ383" t="b">
        <f>IF(Migrationsartikel!AE381="ja","true",FALSE)</f>
        <v>0</v>
      </c>
      <c r="BA383" t="str">
        <f>IF(Migrationsartikel!AF381="ja","Denner Partner","")</f>
        <v/>
      </c>
      <c r="BB383" t="str">
        <f>IF(Migrationsartikel!AG381="ja","true","false")</f>
        <v>false</v>
      </c>
      <c r="BC383" t="s">
        <v>1923</v>
      </c>
      <c r="BD383" s="31" t="s">
        <v>235</v>
      </c>
      <c r="BE383" s="31" t="s">
        <v>233</v>
      </c>
    </row>
    <row r="384" spans="2:57" ht="21.75" customHeight="1" x14ac:dyDescent="0.45">
      <c r="B384" t="s">
        <v>115</v>
      </c>
      <c r="E384" s="31" t="s">
        <v>1810</v>
      </c>
      <c r="F384" t="str">
        <f>"Warengruppe&gt;&gt;"&amp;Migrationsartikel!V382&amp;"&gt;&gt;"&amp;Migrationsartikel!W382&amp;"&gt;&gt;"&amp;Migrationsartikel!X382</f>
        <v>Warengruppe&gt;&gt;&gt;&gt;&gt;&gt;</v>
      </c>
      <c r="J384" s="31" t="s">
        <v>125</v>
      </c>
      <c r="M384" s="31" t="s">
        <v>137</v>
      </c>
      <c r="P384" s="31">
        <f>Migrationsartikel!B382</f>
        <v>0</v>
      </c>
      <c r="S384"/>
      <c r="T384"/>
      <c r="U384">
        <f>Migrationsartikel!F382</f>
        <v>0</v>
      </c>
      <c r="V384">
        <f>Migrationsartikel!J382</f>
        <v>0</v>
      </c>
      <c r="W384">
        <f>Migrationsartikel!N382</f>
        <v>0</v>
      </c>
      <c r="X384">
        <f>Migrationsartikel!G382</f>
        <v>0</v>
      </c>
      <c r="Y384">
        <f>Migrationsartikel!K382</f>
        <v>0</v>
      </c>
      <c r="Z384">
        <f>Migrationsartikel!O382</f>
        <v>0</v>
      </c>
      <c r="AA384" s="31">
        <f>Migrationsartikel!H382</f>
        <v>0</v>
      </c>
      <c r="AB384" s="31">
        <f>Migrationsartikel!L382</f>
        <v>0</v>
      </c>
      <c r="AC384" s="31">
        <f>Migrationsartikel!P382</f>
        <v>0</v>
      </c>
      <c r="AD384">
        <f>Migrationsartikel!I382</f>
        <v>0</v>
      </c>
      <c r="AE384">
        <f>Migrationsartikel!M382</f>
        <v>0</v>
      </c>
      <c r="AF384">
        <f>Migrationsartikel!Q382</f>
        <v>0</v>
      </c>
      <c r="AG384" s="45">
        <f>Migrationsartikel!R382</f>
        <v>0</v>
      </c>
      <c r="AH384" s="46">
        <f>Migrationsartikel!T382</f>
        <v>0</v>
      </c>
      <c r="AI384" s="46" t="str">
        <f t="shared" si="15"/>
        <v>n/a</v>
      </c>
      <c r="AJ384" s="46" t="s">
        <v>176</v>
      </c>
      <c r="AK384">
        <f>Migrationsartikel!S382</f>
        <v>0</v>
      </c>
      <c r="AL384">
        <f>Migrationsartikel!S382</f>
        <v>0</v>
      </c>
      <c r="AM384">
        <f>Migrationsartikel!S382</f>
        <v>0</v>
      </c>
      <c r="AN384">
        <f>Migrationsartikel!U382</f>
        <v>0</v>
      </c>
      <c r="AO384" t="str">
        <f t="shared" si="16"/>
        <v>n/a</v>
      </c>
      <c r="AP384" t="str">
        <f t="shared" si="17"/>
        <v>n/a</v>
      </c>
      <c r="AQ384" s="31" t="s">
        <v>195</v>
      </c>
      <c r="AR384" s="47"/>
      <c r="AS384" s="47"/>
      <c r="AT384" s="31" t="s">
        <v>208</v>
      </c>
      <c r="AU384" s="47"/>
      <c r="AV384" s="47"/>
      <c r="AW384" t="b">
        <f>IF(Migrationsartikel!AB382="ja","true",FALSE)</f>
        <v>0</v>
      </c>
      <c r="AX384" t="b">
        <f>IF(Migrationsartikel!AC382="ja","true",FALSE)</f>
        <v>0</v>
      </c>
      <c r="AY384" t="b">
        <f>IF(Migrationsartikel!AD382="ja","true",FALSE)</f>
        <v>0</v>
      </c>
      <c r="AZ384" t="b">
        <f>IF(Migrationsartikel!AE382="ja","true",FALSE)</f>
        <v>0</v>
      </c>
      <c r="BA384" t="str">
        <f>IF(Migrationsartikel!AF382="ja","Denner Partner","")</f>
        <v/>
      </c>
      <c r="BB384" t="str">
        <f>IF(Migrationsartikel!AG382="ja","true","false")</f>
        <v>false</v>
      </c>
      <c r="BC384" t="s">
        <v>1923</v>
      </c>
      <c r="BD384" s="31" t="s">
        <v>235</v>
      </c>
      <c r="BE384" s="31" t="s">
        <v>233</v>
      </c>
    </row>
    <row r="385" spans="2:57" ht="21.75" customHeight="1" x14ac:dyDescent="0.45">
      <c r="B385" t="s">
        <v>115</v>
      </c>
      <c r="E385" s="31" t="s">
        <v>1811</v>
      </c>
      <c r="F385" t="str">
        <f>"Warengruppe&gt;&gt;"&amp;Migrationsartikel!V383&amp;"&gt;&gt;"&amp;Migrationsartikel!W383&amp;"&gt;&gt;"&amp;Migrationsartikel!X383</f>
        <v>Warengruppe&gt;&gt;&gt;&gt;&gt;&gt;</v>
      </c>
      <c r="J385" s="31" t="s">
        <v>125</v>
      </c>
      <c r="M385" s="31" t="s">
        <v>137</v>
      </c>
      <c r="P385" s="31">
        <f>Migrationsartikel!B383</f>
        <v>0</v>
      </c>
      <c r="S385"/>
      <c r="T385"/>
      <c r="U385">
        <f>Migrationsartikel!F383</f>
        <v>0</v>
      </c>
      <c r="V385">
        <f>Migrationsartikel!J383</f>
        <v>0</v>
      </c>
      <c r="W385">
        <f>Migrationsartikel!N383</f>
        <v>0</v>
      </c>
      <c r="X385">
        <f>Migrationsartikel!G383</f>
        <v>0</v>
      </c>
      <c r="Y385">
        <f>Migrationsartikel!K383</f>
        <v>0</v>
      </c>
      <c r="Z385">
        <f>Migrationsartikel!O383</f>
        <v>0</v>
      </c>
      <c r="AA385" s="31">
        <f>Migrationsartikel!H383</f>
        <v>0</v>
      </c>
      <c r="AB385" s="31">
        <f>Migrationsartikel!L383</f>
        <v>0</v>
      </c>
      <c r="AC385" s="31">
        <f>Migrationsartikel!P383</f>
        <v>0</v>
      </c>
      <c r="AD385">
        <f>Migrationsartikel!I383</f>
        <v>0</v>
      </c>
      <c r="AE385">
        <f>Migrationsartikel!M383</f>
        <v>0</v>
      </c>
      <c r="AF385">
        <f>Migrationsartikel!Q383</f>
        <v>0</v>
      </c>
      <c r="AG385" s="45">
        <f>Migrationsartikel!R383</f>
        <v>0</v>
      </c>
      <c r="AH385" s="46">
        <f>Migrationsartikel!T383</f>
        <v>0</v>
      </c>
      <c r="AI385" s="46" t="str">
        <f t="shared" si="15"/>
        <v>n/a</v>
      </c>
      <c r="AJ385" s="46" t="s">
        <v>176</v>
      </c>
      <c r="AK385">
        <f>Migrationsartikel!S383</f>
        <v>0</v>
      </c>
      <c r="AL385">
        <f>Migrationsartikel!S383</f>
        <v>0</v>
      </c>
      <c r="AM385">
        <f>Migrationsartikel!S383</f>
        <v>0</v>
      </c>
      <c r="AN385">
        <f>Migrationsartikel!U383</f>
        <v>0</v>
      </c>
      <c r="AO385" t="str">
        <f t="shared" si="16"/>
        <v>n/a</v>
      </c>
      <c r="AP385" t="str">
        <f t="shared" si="17"/>
        <v>n/a</v>
      </c>
      <c r="AQ385" s="31" t="s">
        <v>195</v>
      </c>
      <c r="AR385" s="47"/>
      <c r="AS385" s="47"/>
      <c r="AT385" s="31" t="s">
        <v>208</v>
      </c>
      <c r="AU385" s="47"/>
      <c r="AV385" s="47"/>
      <c r="AW385" t="b">
        <f>IF(Migrationsartikel!AB383="ja","true",FALSE)</f>
        <v>0</v>
      </c>
      <c r="AX385" t="b">
        <f>IF(Migrationsartikel!AC383="ja","true",FALSE)</f>
        <v>0</v>
      </c>
      <c r="AY385" t="b">
        <f>IF(Migrationsartikel!AD383="ja","true",FALSE)</f>
        <v>0</v>
      </c>
      <c r="AZ385" t="b">
        <f>IF(Migrationsartikel!AE383="ja","true",FALSE)</f>
        <v>0</v>
      </c>
      <c r="BA385" t="str">
        <f>IF(Migrationsartikel!AF383="ja","Denner Partner","")</f>
        <v/>
      </c>
      <c r="BB385" t="str">
        <f>IF(Migrationsartikel!AG383="ja","true","false")</f>
        <v>false</v>
      </c>
      <c r="BC385" t="s">
        <v>1923</v>
      </c>
      <c r="BD385" s="31" t="s">
        <v>235</v>
      </c>
      <c r="BE385" s="31" t="s">
        <v>233</v>
      </c>
    </row>
    <row r="386" spans="2:57" ht="21.75" customHeight="1" x14ac:dyDescent="0.45">
      <c r="B386" t="s">
        <v>115</v>
      </c>
      <c r="E386" s="31" t="s">
        <v>1812</v>
      </c>
      <c r="F386" t="str">
        <f>"Warengruppe&gt;&gt;"&amp;Migrationsartikel!V384&amp;"&gt;&gt;"&amp;Migrationsartikel!W384&amp;"&gt;&gt;"&amp;Migrationsartikel!X384</f>
        <v>Warengruppe&gt;&gt;&gt;&gt;&gt;&gt;</v>
      </c>
      <c r="J386" s="31" t="s">
        <v>125</v>
      </c>
      <c r="M386" s="31" t="s">
        <v>137</v>
      </c>
      <c r="P386" s="31">
        <f>Migrationsartikel!B384</f>
        <v>0</v>
      </c>
      <c r="S386"/>
      <c r="T386"/>
      <c r="U386">
        <f>Migrationsartikel!F384</f>
        <v>0</v>
      </c>
      <c r="V386">
        <f>Migrationsartikel!J384</f>
        <v>0</v>
      </c>
      <c r="W386">
        <f>Migrationsartikel!N384</f>
        <v>0</v>
      </c>
      <c r="X386">
        <f>Migrationsartikel!G384</f>
        <v>0</v>
      </c>
      <c r="Y386">
        <f>Migrationsartikel!K384</f>
        <v>0</v>
      </c>
      <c r="Z386">
        <f>Migrationsartikel!O384</f>
        <v>0</v>
      </c>
      <c r="AA386" s="31">
        <f>Migrationsartikel!H384</f>
        <v>0</v>
      </c>
      <c r="AB386" s="31">
        <f>Migrationsartikel!L384</f>
        <v>0</v>
      </c>
      <c r="AC386" s="31">
        <f>Migrationsartikel!P384</f>
        <v>0</v>
      </c>
      <c r="AD386">
        <f>Migrationsartikel!I384</f>
        <v>0</v>
      </c>
      <c r="AE386">
        <f>Migrationsartikel!M384</f>
        <v>0</v>
      </c>
      <c r="AF386">
        <f>Migrationsartikel!Q384</f>
        <v>0</v>
      </c>
      <c r="AG386" s="45">
        <f>Migrationsartikel!R384</f>
        <v>0</v>
      </c>
      <c r="AH386" s="46">
        <f>Migrationsartikel!T384</f>
        <v>0</v>
      </c>
      <c r="AI386" s="46" t="str">
        <f t="shared" si="15"/>
        <v>n/a</v>
      </c>
      <c r="AJ386" s="46" t="s">
        <v>176</v>
      </c>
      <c r="AK386">
        <f>Migrationsartikel!S384</f>
        <v>0</v>
      </c>
      <c r="AL386">
        <f>Migrationsartikel!S384</f>
        <v>0</v>
      </c>
      <c r="AM386">
        <f>Migrationsartikel!S384</f>
        <v>0</v>
      </c>
      <c r="AN386">
        <f>Migrationsartikel!U384</f>
        <v>0</v>
      </c>
      <c r="AO386" t="str">
        <f t="shared" si="16"/>
        <v>n/a</v>
      </c>
      <c r="AP386" t="str">
        <f t="shared" si="17"/>
        <v>n/a</v>
      </c>
      <c r="AQ386" s="31" t="s">
        <v>195</v>
      </c>
      <c r="AR386" s="47"/>
      <c r="AS386" s="47"/>
      <c r="AT386" s="31" t="s">
        <v>208</v>
      </c>
      <c r="AU386" s="47"/>
      <c r="AV386" s="47"/>
      <c r="AW386" t="b">
        <f>IF(Migrationsartikel!AB384="ja","true",FALSE)</f>
        <v>0</v>
      </c>
      <c r="AX386" t="b">
        <f>IF(Migrationsartikel!AC384="ja","true",FALSE)</f>
        <v>0</v>
      </c>
      <c r="AY386" t="b">
        <f>IF(Migrationsartikel!AD384="ja","true",FALSE)</f>
        <v>0</v>
      </c>
      <c r="AZ386" t="b">
        <f>IF(Migrationsartikel!AE384="ja","true",FALSE)</f>
        <v>0</v>
      </c>
      <c r="BA386" t="str">
        <f>IF(Migrationsartikel!AF384="ja","Denner Partner","")</f>
        <v/>
      </c>
      <c r="BB386" t="str">
        <f>IF(Migrationsartikel!AG384="ja","true","false")</f>
        <v>false</v>
      </c>
      <c r="BC386" t="s">
        <v>1923</v>
      </c>
      <c r="BD386" s="31" t="s">
        <v>235</v>
      </c>
      <c r="BE386" s="31" t="s">
        <v>233</v>
      </c>
    </row>
    <row r="387" spans="2:57" ht="21.75" customHeight="1" x14ac:dyDescent="0.45">
      <c r="B387" t="s">
        <v>115</v>
      </c>
      <c r="E387" s="31" t="s">
        <v>1813</v>
      </c>
      <c r="F387" t="str">
        <f>"Warengruppe&gt;&gt;"&amp;Migrationsartikel!V385&amp;"&gt;&gt;"&amp;Migrationsartikel!W385&amp;"&gt;&gt;"&amp;Migrationsartikel!X385</f>
        <v>Warengruppe&gt;&gt;&gt;&gt;&gt;&gt;</v>
      </c>
      <c r="J387" s="31" t="s">
        <v>125</v>
      </c>
      <c r="M387" s="31" t="s">
        <v>137</v>
      </c>
      <c r="P387" s="31">
        <f>Migrationsartikel!B385</f>
        <v>0</v>
      </c>
      <c r="S387"/>
      <c r="T387"/>
      <c r="U387">
        <f>Migrationsartikel!F385</f>
        <v>0</v>
      </c>
      <c r="V387">
        <f>Migrationsartikel!J385</f>
        <v>0</v>
      </c>
      <c r="W387">
        <f>Migrationsartikel!N385</f>
        <v>0</v>
      </c>
      <c r="X387">
        <f>Migrationsartikel!G385</f>
        <v>0</v>
      </c>
      <c r="Y387">
        <f>Migrationsartikel!K385</f>
        <v>0</v>
      </c>
      <c r="Z387">
        <f>Migrationsartikel!O385</f>
        <v>0</v>
      </c>
      <c r="AA387" s="31">
        <f>Migrationsartikel!H385</f>
        <v>0</v>
      </c>
      <c r="AB387" s="31">
        <f>Migrationsartikel!L385</f>
        <v>0</v>
      </c>
      <c r="AC387" s="31">
        <f>Migrationsartikel!P385</f>
        <v>0</v>
      </c>
      <c r="AD387">
        <f>Migrationsartikel!I385</f>
        <v>0</v>
      </c>
      <c r="AE387">
        <f>Migrationsartikel!M385</f>
        <v>0</v>
      </c>
      <c r="AF387">
        <f>Migrationsartikel!Q385</f>
        <v>0</v>
      </c>
      <c r="AG387" s="45">
        <f>Migrationsartikel!R385</f>
        <v>0</v>
      </c>
      <c r="AH387" s="46">
        <f>Migrationsartikel!T385</f>
        <v>0</v>
      </c>
      <c r="AI387" s="46" t="str">
        <f t="shared" si="15"/>
        <v>n/a</v>
      </c>
      <c r="AJ387" s="46" t="s">
        <v>176</v>
      </c>
      <c r="AK387">
        <f>Migrationsartikel!S385</f>
        <v>0</v>
      </c>
      <c r="AL387">
        <f>Migrationsartikel!S385</f>
        <v>0</v>
      </c>
      <c r="AM387">
        <f>Migrationsartikel!S385</f>
        <v>0</v>
      </c>
      <c r="AN387">
        <f>Migrationsartikel!U385</f>
        <v>0</v>
      </c>
      <c r="AO387" t="str">
        <f t="shared" si="16"/>
        <v>n/a</v>
      </c>
      <c r="AP387" t="str">
        <f t="shared" si="17"/>
        <v>n/a</v>
      </c>
      <c r="AQ387" s="31" t="s">
        <v>195</v>
      </c>
      <c r="AR387" s="47"/>
      <c r="AS387" s="47"/>
      <c r="AT387" s="31" t="s">
        <v>208</v>
      </c>
      <c r="AU387" s="47"/>
      <c r="AV387" s="47"/>
      <c r="AW387" t="b">
        <f>IF(Migrationsartikel!AB385="ja","true",FALSE)</f>
        <v>0</v>
      </c>
      <c r="AX387" t="b">
        <f>IF(Migrationsartikel!AC385="ja","true",FALSE)</f>
        <v>0</v>
      </c>
      <c r="AY387" t="b">
        <f>IF(Migrationsartikel!AD385="ja","true",FALSE)</f>
        <v>0</v>
      </c>
      <c r="AZ387" t="b">
        <f>IF(Migrationsartikel!AE385="ja","true",FALSE)</f>
        <v>0</v>
      </c>
      <c r="BA387" t="str">
        <f>IF(Migrationsartikel!AF385="ja","Denner Partner","")</f>
        <v/>
      </c>
      <c r="BB387" t="str">
        <f>IF(Migrationsartikel!AG385="ja","true","false")</f>
        <v>false</v>
      </c>
      <c r="BC387" t="s">
        <v>1923</v>
      </c>
      <c r="BD387" s="31" t="s">
        <v>235</v>
      </c>
      <c r="BE387" s="31" t="s">
        <v>233</v>
      </c>
    </row>
    <row r="388" spans="2:57" ht="21.75" customHeight="1" x14ac:dyDescent="0.45">
      <c r="B388" t="s">
        <v>115</v>
      </c>
      <c r="E388" s="31" t="s">
        <v>1814</v>
      </c>
      <c r="F388" t="str">
        <f>"Warengruppe&gt;&gt;"&amp;Migrationsartikel!V386&amp;"&gt;&gt;"&amp;Migrationsartikel!W386&amp;"&gt;&gt;"&amp;Migrationsartikel!X386</f>
        <v>Warengruppe&gt;&gt;&gt;&gt;&gt;&gt;</v>
      </c>
      <c r="J388" s="31" t="s">
        <v>125</v>
      </c>
      <c r="M388" s="31" t="s">
        <v>137</v>
      </c>
      <c r="P388" s="31">
        <f>Migrationsartikel!B386</f>
        <v>0</v>
      </c>
      <c r="S388"/>
      <c r="T388"/>
      <c r="U388">
        <f>Migrationsartikel!F386</f>
        <v>0</v>
      </c>
      <c r="V388">
        <f>Migrationsartikel!J386</f>
        <v>0</v>
      </c>
      <c r="W388">
        <f>Migrationsartikel!N386</f>
        <v>0</v>
      </c>
      <c r="X388">
        <f>Migrationsartikel!G386</f>
        <v>0</v>
      </c>
      <c r="Y388">
        <f>Migrationsartikel!K386</f>
        <v>0</v>
      </c>
      <c r="Z388">
        <f>Migrationsartikel!O386</f>
        <v>0</v>
      </c>
      <c r="AA388" s="31">
        <f>Migrationsartikel!H386</f>
        <v>0</v>
      </c>
      <c r="AB388" s="31">
        <f>Migrationsartikel!L386</f>
        <v>0</v>
      </c>
      <c r="AC388" s="31">
        <f>Migrationsartikel!P386</f>
        <v>0</v>
      </c>
      <c r="AD388">
        <f>Migrationsartikel!I386</f>
        <v>0</v>
      </c>
      <c r="AE388">
        <f>Migrationsartikel!M386</f>
        <v>0</v>
      </c>
      <c r="AF388">
        <f>Migrationsartikel!Q386</f>
        <v>0</v>
      </c>
      <c r="AG388" s="45">
        <f>Migrationsartikel!R386</f>
        <v>0</v>
      </c>
      <c r="AH388" s="46">
        <f>Migrationsartikel!T386</f>
        <v>0</v>
      </c>
      <c r="AI388" s="46" t="str">
        <f t="shared" si="15"/>
        <v>n/a</v>
      </c>
      <c r="AJ388" s="46" t="s">
        <v>176</v>
      </c>
      <c r="AK388">
        <f>Migrationsartikel!S386</f>
        <v>0</v>
      </c>
      <c r="AL388">
        <f>Migrationsartikel!S386</f>
        <v>0</v>
      </c>
      <c r="AM388">
        <f>Migrationsartikel!S386</f>
        <v>0</v>
      </c>
      <c r="AN388">
        <f>Migrationsartikel!U386</f>
        <v>0</v>
      </c>
      <c r="AO388" t="str">
        <f t="shared" si="16"/>
        <v>n/a</v>
      </c>
      <c r="AP388" t="str">
        <f t="shared" si="17"/>
        <v>n/a</v>
      </c>
      <c r="AQ388" s="31" t="s">
        <v>195</v>
      </c>
      <c r="AR388" s="47"/>
      <c r="AS388" s="47"/>
      <c r="AT388" s="31" t="s">
        <v>208</v>
      </c>
      <c r="AU388" s="47"/>
      <c r="AV388" s="47"/>
      <c r="AW388" t="b">
        <f>IF(Migrationsartikel!AB386="ja","true",FALSE)</f>
        <v>0</v>
      </c>
      <c r="AX388" t="b">
        <f>IF(Migrationsartikel!AC386="ja","true",FALSE)</f>
        <v>0</v>
      </c>
      <c r="AY388" t="b">
        <f>IF(Migrationsartikel!AD386="ja","true",FALSE)</f>
        <v>0</v>
      </c>
      <c r="AZ388" t="b">
        <f>IF(Migrationsartikel!AE386="ja","true",FALSE)</f>
        <v>0</v>
      </c>
      <c r="BA388" t="str">
        <f>IF(Migrationsartikel!AF386="ja","Denner Partner","")</f>
        <v/>
      </c>
      <c r="BB388" t="str">
        <f>IF(Migrationsartikel!AG386="ja","true","false")</f>
        <v>false</v>
      </c>
      <c r="BC388" t="s">
        <v>1923</v>
      </c>
      <c r="BD388" s="31" t="s">
        <v>235</v>
      </c>
      <c r="BE388" s="31" t="s">
        <v>233</v>
      </c>
    </row>
    <row r="389" spans="2:57" ht="21.75" customHeight="1" x14ac:dyDescent="0.45">
      <c r="B389" t="s">
        <v>115</v>
      </c>
      <c r="E389" s="31" t="s">
        <v>1815</v>
      </c>
      <c r="F389" t="str">
        <f>"Warengruppe&gt;&gt;"&amp;Migrationsartikel!V387&amp;"&gt;&gt;"&amp;Migrationsartikel!W387&amp;"&gt;&gt;"&amp;Migrationsartikel!X387</f>
        <v>Warengruppe&gt;&gt;&gt;&gt;&gt;&gt;</v>
      </c>
      <c r="J389" s="31" t="s">
        <v>125</v>
      </c>
      <c r="M389" s="31" t="s">
        <v>137</v>
      </c>
      <c r="P389" s="31">
        <f>Migrationsartikel!B387</f>
        <v>0</v>
      </c>
      <c r="S389"/>
      <c r="T389"/>
      <c r="U389">
        <f>Migrationsartikel!F387</f>
        <v>0</v>
      </c>
      <c r="V389">
        <f>Migrationsartikel!J387</f>
        <v>0</v>
      </c>
      <c r="W389">
        <f>Migrationsartikel!N387</f>
        <v>0</v>
      </c>
      <c r="X389">
        <f>Migrationsartikel!G387</f>
        <v>0</v>
      </c>
      <c r="Y389">
        <f>Migrationsartikel!K387</f>
        <v>0</v>
      </c>
      <c r="Z389">
        <f>Migrationsartikel!O387</f>
        <v>0</v>
      </c>
      <c r="AA389" s="31">
        <f>Migrationsartikel!H387</f>
        <v>0</v>
      </c>
      <c r="AB389" s="31">
        <f>Migrationsartikel!L387</f>
        <v>0</v>
      </c>
      <c r="AC389" s="31">
        <f>Migrationsartikel!P387</f>
        <v>0</v>
      </c>
      <c r="AD389">
        <f>Migrationsartikel!I387</f>
        <v>0</v>
      </c>
      <c r="AE389">
        <f>Migrationsartikel!M387</f>
        <v>0</v>
      </c>
      <c r="AF389">
        <f>Migrationsartikel!Q387</f>
        <v>0</v>
      </c>
      <c r="AG389" s="45">
        <f>Migrationsartikel!R387</f>
        <v>0</v>
      </c>
      <c r="AH389" s="46">
        <f>Migrationsartikel!T387</f>
        <v>0</v>
      </c>
      <c r="AI389" s="46" t="str">
        <f t="shared" ref="AI389:AI452" si="18">IF(AH389="Gramm","Gramm",(IF(AH389="Centiliter","2",IF(AH389="Kilogramm","3",IF(AH389="Liter","5",IF(AH389="Milliliter","6",(IF(AH389="Stück","7","n/a"))))))))</f>
        <v>n/a</v>
      </c>
      <c r="AJ389" s="46" t="s">
        <v>176</v>
      </c>
      <c r="AK389">
        <f>Migrationsartikel!S387</f>
        <v>0</v>
      </c>
      <c r="AL389">
        <f>Migrationsartikel!S387</f>
        <v>0</v>
      </c>
      <c r="AM389">
        <f>Migrationsartikel!S387</f>
        <v>0</v>
      </c>
      <c r="AN389">
        <f>Migrationsartikel!U387</f>
        <v>0</v>
      </c>
      <c r="AO389" t="str">
        <f t="shared" ref="AO389:AO452" si="19">IF(AN389="(PCE) Stück","(PCE) Pièce",(IF(AN389="(KGM) KG","(KGM) Kg","n/a")))</f>
        <v>n/a</v>
      </c>
      <c r="AP389" t="str">
        <f t="shared" ref="AP389:AP452" si="20">IF(AN389="(PCE) Stück","(PCE) Pièce",(IF(AN389="(KGM) KG","(KGM) KG","n/a")))</f>
        <v>n/a</v>
      </c>
      <c r="AQ389" s="31" t="s">
        <v>195</v>
      </c>
      <c r="AR389" s="47"/>
      <c r="AS389" s="47"/>
      <c r="AT389" s="31" t="s">
        <v>208</v>
      </c>
      <c r="AU389" s="47"/>
      <c r="AV389" s="47"/>
      <c r="AW389" t="b">
        <f>IF(Migrationsartikel!AB387="ja","true",FALSE)</f>
        <v>0</v>
      </c>
      <c r="AX389" t="b">
        <f>IF(Migrationsartikel!AC387="ja","true",FALSE)</f>
        <v>0</v>
      </c>
      <c r="AY389" t="b">
        <f>IF(Migrationsartikel!AD387="ja","true",FALSE)</f>
        <v>0</v>
      </c>
      <c r="AZ389" t="b">
        <f>IF(Migrationsartikel!AE387="ja","true",FALSE)</f>
        <v>0</v>
      </c>
      <c r="BA389" t="str">
        <f>IF(Migrationsartikel!AF387="ja","Denner Partner","")</f>
        <v/>
      </c>
      <c r="BB389" t="str">
        <f>IF(Migrationsartikel!AG387="ja","true","false")</f>
        <v>false</v>
      </c>
      <c r="BC389" t="s">
        <v>1923</v>
      </c>
      <c r="BD389" s="31" t="s">
        <v>235</v>
      </c>
      <c r="BE389" s="31" t="s">
        <v>233</v>
      </c>
    </row>
    <row r="390" spans="2:57" ht="21.75" customHeight="1" x14ac:dyDescent="0.45">
      <c r="B390" t="s">
        <v>115</v>
      </c>
      <c r="E390" s="31" t="s">
        <v>1816</v>
      </c>
      <c r="F390" t="str">
        <f>"Warengruppe&gt;&gt;"&amp;Migrationsartikel!V388&amp;"&gt;&gt;"&amp;Migrationsartikel!W388&amp;"&gt;&gt;"&amp;Migrationsartikel!X388</f>
        <v>Warengruppe&gt;&gt;&gt;&gt;&gt;&gt;</v>
      </c>
      <c r="J390" s="31" t="s">
        <v>125</v>
      </c>
      <c r="M390" s="31" t="s">
        <v>137</v>
      </c>
      <c r="P390" s="31">
        <f>Migrationsartikel!B388</f>
        <v>0</v>
      </c>
      <c r="S390"/>
      <c r="T390"/>
      <c r="U390">
        <f>Migrationsartikel!F388</f>
        <v>0</v>
      </c>
      <c r="V390">
        <f>Migrationsartikel!J388</f>
        <v>0</v>
      </c>
      <c r="W390">
        <f>Migrationsartikel!N388</f>
        <v>0</v>
      </c>
      <c r="X390">
        <f>Migrationsartikel!G388</f>
        <v>0</v>
      </c>
      <c r="Y390">
        <f>Migrationsartikel!K388</f>
        <v>0</v>
      </c>
      <c r="Z390">
        <f>Migrationsartikel!O388</f>
        <v>0</v>
      </c>
      <c r="AA390" s="31">
        <f>Migrationsartikel!H388</f>
        <v>0</v>
      </c>
      <c r="AB390" s="31">
        <f>Migrationsartikel!L388</f>
        <v>0</v>
      </c>
      <c r="AC390" s="31">
        <f>Migrationsartikel!P388</f>
        <v>0</v>
      </c>
      <c r="AD390">
        <f>Migrationsartikel!I388</f>
        <v>0</v>
      </c>
      <c r="AE390">
        <f>Migrationsartikel!M388</f>
        <v>0</v>
      </c>
      <c r="AF390">
        <f>Migrationsartikel!Q388</f>
        <v>0</v>
      </c>
      <c r="AG390" s="45">
        <f>Migrationsartikel!R388</f>
        <v>0</v>
      </c>
      <c r="AH390" s="46">
        <f>Migrationsartikel!T388</f>
        <v>0</v>
      </c>
      <c r="AI390" s="46" t="str">
        <f t="shared" si="18"/>
        <v>n/a</v>
      </c>
      <c r="AJ390" s="46" t="s">
        <v>176</v>
      </c>
      <c r="AK390">
        <f>Migrationsartikel!S388</f>
        <v>0</v>
      </c>
      <c r="AL390">
        <f>Migrationsartikel!S388</f>
        <v>0</v>
      </c>
      <c r="AM390">
        <f>Migrationsartikel!S388</f>
        <v>0</v>
      </c>
      <c r="AN390">
        <f>Migrationsartikel!U388</f>
        <v>0</v>
      </c>
      <c r="AO390" t="str">
        <f t="shared" si="19"/>
        <v>n/a</v>
      </c>
      <c r="AP390" t="str">
        <f t="shared" si="20"/>
        <v>n/a</v>
      </c>
      <c r="AQ390" s="31" t="s">
        <v>195</v>
      </c>
      <c r="AR390" s="47"/>
      <c r="AS390" s="47"/>
      <c r="AT390" s="31" t="s">
        <v>208</v>
      </c>
      <c r="AU390" s="47"/>
      <c r="AV390" s="47"/>
      <c r="AW390" t="b">
        <f>IF(Migrationsartikel!AB388="ja","true",FALSE)</f>
        <v>0</v>
      </c>
      <c r="AX390" t="b">
        <f>IF(Migrationsartikel!AC388="ja","true",FALSE)</f>
        <v>0</v>
      </c>
      <c r="AY390" t="b">
        <f>IF(Migrationsartikel!AD388="ja","true",FALSE)</f>
        <v>0</v>
      </c>
      <c r="AZ390" t="b">
        <f>IF(Migrationsartikel!AE388="ja","true",FALSE)</f>
        <v>0</v>
      </c>
      <c r="BA390" t="str">
        <f>IF(Migrationsartikel!AF388="ja","Denner Partner","")</f>
        <v/>
      </c>
      <c r="BB390" t="str">
        <f>IF(Migrationsartikel!AG388="ja","true","false")</f>
        <v>false</v>
      </c>
      <c r="BC390" t="s">
        <v>1923</v>
      </c>
      <c r="BD390" s="31" t="s">
        <v>235</v>
      </c>
      <c r="BE390" s="31" t="s">
        <v>233</v>
      </c>
    </row>
    <row r="391" spans="2:57" ht="21.75" customHeight="1" x14ac:dyDescent="0.45">
      <c r="B391" t="s">
        <v>115</v>
      </c>
      <c r="E391" s="31" t="s">
        <v>1817</v>
      </c>
      <c r="F391" t="str">
        <f>"Warengruppe&gt;&gt;"&amp;Migrationsartikel!V389&amp;"&gt;&gt;"&amp;Migrationsartikel!W389&amp;"&gt;&gt;"&amp;Migrationsartikel!X389</f>
        <v>Warengruppe&gt;&gt;&gt;&gt;&gt;&gt;</v>
      </c>
      <c r="J391" s="31" t="s">
        <v>125</v>
      </c>
      <c r="M391" s="31" t="s">
        <v>137</v>
      </c>
      <c r="P391" s="31">
        <f>Migrationsartikel!B389</f>
        <v>0</v>
      </c>
      <c r="S391"/>
      <c r="T391"/>
      <c r="U391">
        <f>Migrationsartikel!F389</f>
        <v>0</v>
      </c>
      <c r="V391">
        <f>Migrationsartikel!J389</f>
        <v>0</v>
      </c>
      <c r="W391">
        <f>Migrationsartikel!N389</f>
        <v>0</v>
      </c>
      <c r="X391">
        <f>Migrationsartikel!G389</f>
        <v>0</v>
      </c>
      <c r="Y391">
        <f>Migrationsartikel!K389</f>
        <v>0</v>
      </c>
      <c r="Z391">
        <f>Migrationsartikel!O389</f>
        <v>0</v>
      </c>
      <c r="AA391" s="31">
        <f>Migrationsartikel!H389</f>
        <v>0</v>
      </c>
      <c r="AB391" s="31">
        <f>Migrationsartikel!L389</f>
        <v>0</v>
      </c>
      <c r="AC391" s="31">
        <f>Migrationsartikel!P389</f>
        <v>0</v>
      </c>
      <c r="AD391">
        <f>Migrationsartikel!I389</f>
        <v>0</v>
      </c>
      <c r="AE391">
        <f>Migrationsartikel!M389</f>
        <v>0</v>
      </c>
      <c r="AF391">
        <f>Migrationsartikel!Q389</f>
        <v>0</v>
      </c>
      <c r="AG391" s="45">
        <f>Migrationsartikel!R389</f>
        <v>0</v>
      </c>
      <c r="AH391" s="46">
        <f>Migrationsartikel!T389</f>
        <v>0</v>
      </c>
      <c r="AI391" s="46" t="str">
        <f t="shared" si="18"/>
        <v>n/a</v>
      </c>
      <c r="AJ391" s="46" t="s">
        <v>176</v>
      </c>
      <c r="AK391">
        <f>Migrationsartikel!S389</f>
        <v>0</v>
      </c>
      <c r="AL391">
        <f>Migrationsartikel!S389</f>
        <v>0</v>
      </c>
      <c r="AM391">
        <f>Migrationsartikel!S389</f>
        <v>0</v>
      </c>
      <c r="AN391">
        <f>Migrationsartikel!U389</f>
        <v>0</v>
      </c>
      <c r="AO391" t="str">
        <f t="shared" si="19"/>
        <v>n/a</v>
      </c>
      <c r="AP391" t="str">
        <f t="shared" si="20"/>
        <v>n/a</v>
      </c>
      <c r="AQ391" s="31" t="s">
        <v>195</v>
      </c>
      <c r="AR391" s="47"/>
      <c r="AS391" s="47"/>
      <c r="AT391" s="31" t="s">
        <v>208</v>
      </c>
      <c r="AU391" s="47"/>
      <c r="AV391" s="47"/>
      <c r="AW391" t="b">
        <f>IF(Migrationsartikel!AB389="ja","true",FALSE)</f>
        <v>0</v>
      </c>
      <c r="AX391" t="b">
        <f>IF(Migrationsartikel!AC389="ja","true",FALSE)</f>
        <v>0</v>
      </c>
      <c r="AY391" t="b">
        <f>IF(Migrationsartikel!AD389="ja","true",FALSE)</f>
        <v>0</v>
      </c>
      <c r="AZ391" t="b">
        <f>IF(Migrationsartikel!AE389="ja","true",FALSE)</f>
        <v>0</v>
      </c>
      <c r="BA391" t="str">
        <f>IF(Migrationsartikel!AF389="ja","Denner Partner","")</f>
        <v/>
      </c>
      <c r="BB391" t="str">
        <f>IF(Migrationsartikel!AG389="ja","true","false")</f>
        <v>false</v>
      </c>
      <c r="BC391" t="s">
        <v>1923</v>
      </c>
      <c r="BD391" s="31" t="s">
        <v>235</v>
      </c>
      <c r="BE391" s="31" t="s">
        <v>233</v>
      </c>
    </row>
    <row r="392" spans="2:57" ht="21.75" customHeight="1" x14ac:dyDescent="0.45">
      <c r="B392" t="s">
        <v>115</v>
      </c>
      <c r="E392" s="31" t="s">
        <v>1818</v>
      </c>
      <c r="F392" t="str">
        <f>"Warengruppe&gt;&gt;"&amp;Migrationsartikel!V390&amp;"&gt;&gt;"&amp;Migrationsartikel!W390&amp;"&gt;&gt;"&amp;Migrationsartikel!X390</f>
        <v>Warengruppe&gt;&gt;&gt;&gt;&gt;&gt;</v>
      </c>
      <c r="J392" s="31" t="s">
        <v>125</v>
      </c>
      <c r="M392" s="31" t="s">
        <v>137</v>
      </c>
      <c r="P392" s="31">
        <f>Migrationsartikel!B390</f>
        <v>0</v>
      </c>
      <c r="S392"/>
      <c r="T392"/>
      <c r="U392">
        <f>Migrationsartikel!F390</f>
        <v>0</v>
      </c>
      <c r="V392">
        <f>Migrationsartikel!J390</f>
        <v>0</v>
      </c>
      <c r="W392">
        <f>Migrationsartikel!N390</f>
        <v>0</v>
      </c>
      <c r="X392">
        <f>Migrationsartikel!G390</f>
        <v>0</v>
      </c>
      <c r="Y392">
        <f>Migrationsartikel!K390</f>
        <v>0</v>
      </c>
      <c r="Z392">
        <f>Migrationsartikel!O390</f>
        <v>0</v>
      </c>
      <c r="AA392" s="31">
        <f>Migrationsartikel!H390</f>
        <v>0</v>
      </c>
      <c r="AB392" s="31">
        <f>Migrationsartikel!L390</f>
        <v>0</v>
      </c>
      <c r="AC392" s="31">
        <f>Migrationsartikel!P390</f>
        <v>0</v>
      </c>
      <c r="AD392">
        <f>Migrationsartikel!I390</f>
        <v>0</v>
      </c>
      <c r="AE392">
        <f>Migrationsartikel!M390</f>
        <v>0</v>
      </c>
      <c r="AF392">
        <f>Migrationsartikel!Q390</f>
        <v>0</v>
      </c>
      <c r="AG392" s="45">
        <f>Migrationsartikel!R390</f>
        <v>0</v>
      </c>
      <c r="AH392" s="46">
        <f>Migrationsartikel!T390</f>
        <v>0</v>
      </c>
      <c r="AI392" s="46" t="str">
        <f t="shared" si="18"/>
        <v>n/a</v>
      </c>
      <c r="AJ392" s="46" t="s">
        <v>176</v>
      </c>
      <c r="AK392">
        <f>Migrationsartikel!S390</f>
        <v>0</v>
      </c>
      <c r="AL392">
        <f>Migrationsartikel!S390</f>
        <v>0</v>
      </c>
      <c r="AM392">
        <f>Migrationsartikel!S390</f>
        <v>0</v>
      </c>
      <c r="AN392">
        <f>Migrationsartikel!U390</f>
        <v>0</v>
      </c>
      <c r="AO392" t="str">
        <f t="shared" si="19"/>
        <v>n/a</v>
      </c>
      <c r="AP392" t="str">
        <f t="shared" si="20"/>
        <v>n/a</v>
      </c>
      <c r="AQ392" s="31" t="s">
        <v>195</v>
      </c>
      <c r="AR392" s="47"/>
      <c r="AS392" s="47"/>
      <c r="AT392" s="31" t="s">
        <v>208</v>
      </c>
      <c r="AU392" s="47"/>
      <c r="AV392" s="47"/>
      <c r="AW392" t="b">
        <f>IF(Migrationsartikel!AB390="ja","true",FALSE)</f>
        <v>0</v>
      </c>
      <c r="AX392" t="b">
        <f>IF(Migrationsartikel!AC390="ja","true",FALSE)</f>
        <v>0</v>
      </c>
      <c r="AY392" t="b">
        <f>IF(Migrationsartikel!AD390="ja","true",FALSE)</f>
        <v>0</v>
      </c>
      <c r="AZ392" t="b">
        <f>IF(Migrationsartikel!AE390="ja","true",FALSE)</f>
        <v>0</v>
      </c>
      <c r="BA392" t="str">
        <f>IF(Migrationsartikel!AF390="ja","Denner Partner","")</f>
        <v/>
      </c>
      <c r="BB392" t="str">
        <f>IF(Migrationsartikel!AG390="ja","true","false")</f>
        <v>false</v>
      </c>
      <c r="BC392" t="s">
        <v>1923</v>
      </c>
      <c r="BD392" s="31" t="s">
        <v>235</v>
      </c>
      <c r="BE392" s="31" t="s">
        <v>233</v>
      </c>
    </row>
    <row r="393" spans="2:57" ht="21.75" customHeight="1" x14ac:dyDescent="0.45">
      <c r="B393" t="s">
        <v>115</v>
      </c>
      <c r="E393" s="31" t="s">
        <v>1819</v>
      </c>
      <c r="F393" t="str">
        <f>"Warengruppe&gt;&gt;"&amp;Migrationsartikel!V391&amp;"&gt;&gt;"&amp;Migrationsartikel!W391&amp;"&gt;&gt;"&amp;Migrationsartikel!X391</f>
        <v>Warengruppe&gt;&gt;&gt;&gt;&gt;&gt;</v>
      </c>
      <c r="J393" s="31" t="s">
        <v>125</v>
      </c>
      <c r="M393" s="31" t="s">
        <v>137</v>
      </c>
      <c r="P393" s="31">
        <f>Migrationsartikel!B391</f>
        <v>0</v>
      </c>
      <c r="S393"/>
      <c r="T393"/>
      <c r="U393">
        <f>Migrationsartikel!F391</f>
        <v>0</v>
      </c>
      <c r="V393">
        <f>Migrationsartikel!J391</f>
        <v>0</v>
      </c>
      <c r="W393">
        <f>Migrationsartikel!N391</f>
        <v>0</v>
      </c>
      <c r="X393">
        <f>Migrationsartikel!G391</f>
        <v>0</v>
      </c>
      <c r="Y393">
        <f>Migrationsartikel!K391</f>
        <v>0</v>
      </c>
      <c r="Z393">
        <f>Migrationsartikel!O391</f>
        <v>0</v>
      </c>
      <c r="AA393" s="31">
        <f>Migrationsartikel!H391</f>
        <v>0</v>
      </c>
      <c r="AB393" s="31">
        <f>Migrationsartikel!L391</f>
        <v>0</v>
      </c>
      <c r="AC393" s="31">
        <f>Migrationsartikel!P391</f>
        <v>0</v>
      </c>
      <c r="AD393">
        <f>Migrationsartikel!I391</f>
        <v>0</v>
      </c>
      <c r="AE393">
        <f>Migrationsartikel!M391</f>
        <v>0</v>
      </c>
      <c r="AF393">
        <f>Migrationsartikel!Q391</f>
        <v>0</v>
      </c>
      <c r="AG393" s="45">
        <f>Migrationsartikel!R391</f>
        <v>0</v>
      </c>
      <c r="AH393" s="46">
        <f>Migrationsartikel!T391</f>
        <v>0</v>
      </c>
      <c r="AI393" s="46" t="str">
        <f t="shared" si="18"/>
        <v>n/a</v>
      </c>
      <c r="AJ393" s="46" t="s">
        <v>176</v>
      </c>
      <c r="AK393">
        <f>Migrationsartikel!S391</f>
        <v>0</v>
      </c>
      <c r="AL393">
        <f>Migrationsartikel!S391</f>
        <v>0</v>
      </c>
      <c r="AM393">
        <f>Migrationsartikel!S391</f>
        <v>0</v>
      </c>
      <c r="AN393">
        <f>Migrationsartikel!U391</f>
        <v>0</v>
      </c>
      <c r="AO393" t="str">
        <f t="shared" si="19"/>
        <v>n/a</v>
      </c>
      <c r="AP393" t="str">
        <f t="shared" si="20"/>
        <v>n/a</v>
      </c>
      <c r="AQ393" s="31" t="s">
        <v>195</v>
      </c>
      <c r="AR393" s="47"/>
      <c r="AS393" s="47"/>
      <c r="AT393" s="31" t="s">
        <v>208</v>
      </c>
      <c r="AU393" s="47"/>
      <c r="AV393" s="47"/>
      <c r="AW393" t="b">
        <f>IF(Migrationsartikel!AB391="ja","true",FALSE)</f>
        <v>0</v>
      </c>
      <c r="AX393" t="b">
        <f>IF(Migrationsartikel!AC391="ja","true",FALSE)</f>
        <v>0</v>
      </c>
      <c r="AY393" t="b">
        <f>IF(Migrationsartikel!AD391="ja","true",FALSE)</f>
        <v>0</v>
      </c>
      <c r="AZ393" t="b">
        <f>IF(Migrationsartikel!AE391="ja","true",FALSE)</f>
        <v>0</v>
      </c>
      <c r="BA393" t="str">
        <f>IF(Migrationsartikel!AF391="ja","Denner Partner","")</f>
        <v/>
      </c>
      <c r="BB393" t="str">
        <f>IF(Migrationsartikel!AG391="ja","true","false")</f>
        <v>false</v>
      </c>
      <c r="BC393" t="s">
        <v>1923</v>
      </c>
      <c r="BD393" s="31" t="s">
        <v>235</v>
      </c>
      <c r="BE393" s="31" t="s">
        <v>233</v>
      </c>
    </row>
    <row r="394" spans="2:57" ht="21.75" customHeight="1" x14ac:dyDescent="0.45">
      <c r="B394" t="s">
        <v>115</v>
      </c>
      <c r="E394" s="31" t="s">
        <v>1820</v>
      </c>
      <c r="F394" t="str">
        <f>"Warengruppe&gt;&gt;"&amp;Migrationsartikel!V392&amp;"&gt;&gt;"&amp;Migrationsartikel!W392&amp;"&gt;&gt;"&amp;Migrationsartikel!X392</f>
        <v>Warengruppe&gt;&gt;&gt;&gt;&gt;&gt;</v>
      </c>
      <c r="J394" s="31" t="s">
        <v>125</v>
      </c>
      <c r="M394" s="31" t="s">
        <v>137</v>
      </c>
      <c r="P394" s="31">
        <f>Migrationsartikel!B392</f>
        <v>0</v>
      </c>
      <c r="S394"/>
      <c r="T394"/>
      <c r="U394">
        <f>Migrationsartikel!F392</f>
        <v>0</v>
      </c>
      <c r="V394">
        <f>Migrationsartikel!J392</f>
        <v>0</v>
      </c>
      <c r="W394">
        <f>Migrationsartikel!N392</f>
        <v>0</v>
      </c>
      <c r="X394">
        <f>Migrationsartikel!G392</f>
        <v>0</v>
      </c>
      <c r="Y394">
        <f>Migrationsartikel!K392</f>
        <v>0</v>
      </c>
      <c r="Z394">
        <f>Migrationsartikel!O392</f>
        <v>0</v>
      </c>
      <c r="AA394" s="31">
        <f>Migrationsartikel!H392</f>
        <v>0</v>
      </c>
      <c r="AB394" s="31">
        <f>Migrationsartikel!L392</f>
        <v>0</v>
      </c>
      <c r="AC394" s="31">
        <f>Migrationsartikel!P392</f>
        <v>0</v>
      </c>
      <c r="AD394">
        <f>Migrationsartikel!I392</f>
        <v>0</v>
      </c>
      <c r="AE394">
        <f>Migrationsartikel!M392</f>
        <v>0</v>
      </c>
      <c r="AF394">
        <f>Migrationsartikel!Q392</f>
        <v>0</v>
      </c>
      <c r="AG394" s="45">
        <f>Migrationsartikel!R392</f>
        <v>0</v>
      </c>
      <c r="AH394" s="46">
        <f>Migrationsartikel!T392</f>
        <v>0</v>
      </c>
      <c r="AI394" s="46" t="str">
        <f t="shared" si="18"/>
        <v>n/a</v>
      </c>
      <c r="AJ394" s="46" t="s">
        <v>176</v>
      </c>
      <c r="AK394">
        <f>Migrationsartikel!S392</f>
        <v>0</v>
      </c>
      <c r="AL394">
        <f>Migrationsartikel!S392</f>
        <v>0</v>
      </c>
      <c r="AM394">
        <f>Migrationsartikel!S392</f>
        <v>0</v>
      </c>
      <c r="AN394">
        <f>Migrationsartikel!U392</f>
        <v>0</v>
      </c>
      <c r="AO394" t="str">
        <f t="shared" si="19"/>
        <v>n/a</v>
      </c>
      <c r="AP394" t="str">
        <f t="shared" si="20"/>
        <v>n/a</v>
      </c>
      <c r="AQ394" s="31" t="s">
        <v>195</v>
      </c>
      <c r="AR394" s="47"/>
      <c r="AS394" s="47"/>
      <c r="AT394" s="31" t="s">
        <v>208</v>
      </c>
      <c r="AU394" s="47"/>
      <c r="AV394" s="47"/>
      <c r="AW394" t="b">
        <f>IF(Migrationsartikel!AB392="ja","true",FALSE)</f>
        <v>0</v>
      </c>
      <c r="AX394" t="b">
        <f>IF(Migrationsartikel!AC392="ja","true",FALSE)</f>
        <v>0</v>
      </c>
      <c r="AY394" t="b">
        <f>IF(Migrationsartikel!AD392="ja","true",FALSE)</f>
        <v>0</v>
      </c>
      <c r="AZ394" t="b">
        <f>IF(Migrationsartikel!AE392="ja","true",FALSE)</f>
        <v>0</v>
      </c>
      <c r="BA394" t="str">
        <f>IF(Migrationsartikel!AF392="ja","Denner Partner","")</f>
        <v/>
      </c>
      <c r="BB394" t="str">
        <f>IF(Migrationsartikel!AG392="ja","true","false")</f>
        <v>false</v>
      </c>
      <c r="BC394" t="s">
        <v>1923</v>
      </c>
      <c r="BD394" s="31" t="s">
        <v>235</v>
      </c>
      <c r="BE394" s="31" t="s">
        <v>233</v>
      </c>
    </row>
    <row r="395" spans="2:57" ht="21.75" customHeight="1" x14ac:dyDescent="0.45">
      <c r="B395" t="s">
        <v>115</v>
      </c>
      <c r="E395" s="31" t="s">
        <v>1821</v>
      </c>
      <c r="F395" t="str">
        <f>"Warengruppe&gt;&gt;"&amp;Migrationsartikel!V393&amp;"&gt;&gt;"&amp;Migrationsartikel!W393&amp;"&gt;&gt;"&amp;Migrationsartikel!X393</f>
        <v>Warengruppe&gt;&gt;&gt;&gt;&gt;&gt;</v>
      </c>
      <c r="J395" s="31" t="s">
        <v>125</v>
      </c>
      <c r="M395" s="31" t="s">
        <v>137</v>
      </c>
      <c r="P395" s="31">
        <f>Migrationsartikel!B393</f>
        <v>0</v>
      </c>
      <c r="S395"/>
      <c r="T395"/>
      <c r="U395">
        <f>Migrationsartikel!F393</f>
        <v>0</v>
      </c>
      <c r="V395">
        <f>Migrationsartikel!J393</f>
        <v>0</v>
      </c>
      <c r="W395">
        <f>Migrationsartikel!N393</f>
        <v>0</v>
      </c>
      <c r="X395">
        <f>Migrationsartikel!G393</f>
        <v>0</v>
      </c>
      <c r="Y395">
        <f>Migrationsartikel!K393</f>
        <v>0</v>
      </c>
      <c r="Z395">
        <f>Migrationsartikel!O393</f>
        <v>0</v>
      </c>
      <c r="AA395" s="31">
        <f>Migrationsartikel!H393</f>
        <v>0</v>
      </c>
      <c r="AB395" s="31">
        <f>Migrationsartikel!L393</f>
        <v>0</v>
      </c>
      <c r="AC395" s="31">
        <f>Migrationsartikel!P393</f>
        <v>0</v>
      </c>
      <c r="AD395">
        <f>Migrationsartikel!I393</f>
        <v>0</v>
      </c>
      <c r="AE395">
        <f>Migrationsartikel!M393</f>
        <v>0</v>
      </c>
      <c r="AF395">
        <f>Migrationsartikel!Q393</f>
        <v>0</v>
      </c>
      <c r="AG395" s="45">
        <f>Migrationsartikel!R393</f>
        <v>0</v>
      </c>
      <c r="AH395" s="46">
        <f>Migrationsartikel!T393</f>
        <v>0</v>
      </c>
      <c r="AI395" s="46" t="str">
        <f t="shared" si="18"/>
        <v>n/a</v>
      </c>
      <c r="AJ395" s="46" t="s">
        <v>176</v>
      </c>
      <c r="AK395">
        <f>Migrationsartikel!S393</f>
        <v>0</v>
      </c>
      <c r="AL395">
        <f>Migrationsartikel!S393</f>
        <v>0</v>
      </c>
      <c r="AM395">
        <f>Migrationsartikel!S393</f>
        <v>0</v>
      </c>
      <c r="AN395">
        <f>Migrationsartikel!U393</f>
        <v>0</v>
      </c>
      <c r="AO395" t="str">
        <f t="shared" si="19"/>
        <v>n/a</v>
      </c>
      <c r="AP395" t="str">
        <f t="shared" si="20"/>
        <v>n/a</v>
      </c>
      <c r="AQ395" s="31" t="s">
        <v>195</v>
      </c>
      <c r="AR395" s="47"/>
      <c r="AS395" s="47"/>
      <c r="AT395" s="31" t="s">
        <v>208</v>
      </c>
      <c r="AU395" s="47"/>
      <c r="AV395" s="47"/>
      <c r="AW395" t="b">
        <f>IF(Migrationsartikel!AB393="ja","true",FALSE)</f>
        <v>0</v>
      </c>
      <c r="AX395" t="b">
        <f>IF(Migrationsartikel!AC393="ja","true",FALSE)</f>
        <v>0</v>
      </c>
      <c r="AY395" t="b">
        <f>IF(Migrationsartikel!AD393="ja","true",FALSE)</f>
        <v>0</v>
      </c>
      <c r="AZ395" t="b">
        <f>IF(Migrationsartikel!AE393="ja","true",FALSE)</f>
        <v>0</v>
      </c>
      <c r="BA395" t="str">
        <f>IF(Migrationsartikel!AF393="ja","Denner Partner","")</f>
        <v/>
      </c>
      <c r="BB395" t="str">
        <f>IF(Migrationsartikel!AG393="ja","true","false")</f>
        <v>false</v>
      </c>
      <c r="BC395" t="s">
        <v>1923</v>
      </c>
      <c r="BD395" s="31" t="s">
        <v>235</v>
      </c>
      <c r="BE395" s="31" t="s">
        <v>233</v>
      </c>
    </row>
    <row r="396" spans="2:57" ht="21.75" customHeight="1" x14ac:dyDescent="0.45">
      <c r="B396" t="s">
        <v>115</v>
      </c>
      <c r="E396" s="31" t="s">
        <v>1822</v>
      </c>
      <c r="F396" t="str">
        <f>"Warengruppe&gt;&gt;"&amp;Migrationsartikel!V394&amp;"&gt;&gt;"&amp;Migrationsartikel!W394&amp;"&gt;&gt;"&amp;Migrationsartikel!X394</f>
        <v>Warengruppe&gt;&gt;&gt;&gt;&gt;&gt;</v>
      </c>
      <c r="J396" s="31" t="s">
        <v>125</v>
      </c>
      <c r="M396" s="31" t="s">
        <v>137</v>
      </c>
      <c r="P396" s="31">
        <f>Migrationsartikel!B394</f>
        <v>0</v>
      </c>
      <c r="S396"/>
      <c r="T396"/>
      <c r="U396">
        <f>Migrationsartikel!F394</f>
        <v>0</v>
      </c>
      <c r="V396">
        <f>Migrationsartikel!J394</f>
        <v>0</v>
      </c>
      <c r="W396">
        <f>Migrationsartikel!N394</f>
        <v>0</v>
      </c>
      <c r="X396">
        <f>Migrationsartikel!G394</f>
        <v>0</v>
      </c>
      <c r="Y396">
        <f>Migrationsartikel!K394</f>
        <v>0</v>
      </c>
      <c r="Z396">
        <f>Migrationsartikel!O394</f>
        <v>0</v>
      </c>
      <c r="AA396" s="31">
        <f>Migrationsartikel!H394</f>
        <v>0</v>
      </c>
      <c r="AB396" s="31">
        <f>Migrationsartikel!L394</f>
        <v>0</v>
      </c>
      <c r="AC396" s="31">
        <f>Migrationsartikel!P394</f>
        <v>0</v>
      </c>
      <c r="AD396">
        <f>Migrationsartikel!I394</f>
        <v>0</v>
      </c>
      <c r="AE396">
        <f>Migrationsartikel!M394</f>
        <v>0</v>
      </c>
      <c r="AF396">
        <f>Migrationsartikel!Q394</f>
        <v>0</v>
      </c>
      <c r="AG396" s="45">
        <f>Migrationsartikel!R394</f>
        <v>0</v>
      </c>
      <c r="AH396" s="46">
        <f>Migrationsartikel!T394</f>
        <v>0</v>
      </c>
      <c r="AI396" s="46" t="str">
        <f t="shared" si="18"/>
        <v>n/a</v>
      </c>
      <c r="AJ396" s="46" t="s">
        <v>176</v>
      </c>
      <c r="AK396">
        <f>Migrationsartikel!S394</f>
        <v>0</v>
      </c>
      <c r="AL396">
        <f>Migrationsartikel!S394</f>
        <v>0</v>
      </c>
      <c r="AM396">
        <f>Migrationsartikel!S394</f>
        <v>0</v>
      </c>
      <c r="AN396">
        <f>Migrationsartikel!U394</f>
        <v>0</v>
      </c>
      <c r="AO396" t="str">
        <f t="shared" si="19"/>
        <v>n/a</v>
      </c>
      <c r="AP396" t="str">
        <f t="shared" si="20"/>
        <v>n/a</v>
      </c>
      <c r="AQ396" s="31" t="s">
        <v>195</v>
      </c>
      <c r="AR396" s="47"/>
      <c r="AS396" s="47"/>
      <c r="AT396" s="31" t="s">
        <v>208</v>
      </c>
      <c r="AU396" s="47"/>
      <c r="AV396" s="47"/>
      <c r="AW396" t="b">
        <f>IF(Migrationsartikel!AB394="ja","true",FALSE)</f>
        <v>0</v>
      </c>
      <c r="AX396" t="b">
        <f>IF(Migrationsartikel!AC394="ja","true",FALSE)</f>
        <v>0</v>
      </c>
      <c r="AY396" t="b">
        <f>IF(Migrationsartikel!AD394="ja","true",FALSE)</f>
        <v>0</v>
      </c>
      <c r="AZ396" t="b">
        <f>IF(Migrationsartikel!AE394="ja","true",FALSE)</f>
        <v>0</v>
      </c>
      <c r="BA396" t="str">
        <f>IF(Migrationsartikel!AF394="ja","Denner Partner","")</f>
        <v/>
      </c>
      <c r="BB396" t="str">
        <f>IF(Migrationsartikel!AG394="ja","true","false")</f>
        <v>false</v>
      </c>
      <c r="BC396" t="s">
        <v>1923</v>
      </c>
      <c r="BD396" s="31" t="s">
        <v>235</v>
      </c>
      <c r="BE396" s="31" t="s">
        <v>233</v>
      </c>
    </row>
    <row r="397" spans="2:57" ht="21.75" customHeight="1" x14ac:dyDescent="0.45">
      <c r="B397" t="s">
        <v>115</v>
      </c>
      <c r="E397" s="31" t="s">
        <v>1823</v>
      </c>
      <c r="F397" t="str">
        <f>"Warengruppe&gt;&gt;"&amp;Migrationsartikel!V395&amp;"&gt;&gt;"&amp;Migrationsartikel!W395&amp;"&gt;&gt;"&amp;Migrationsartikel!X395</f>
        <v>Warengruppe&gt;&gt;&gt;&gt;&gt;&gt;</v>
      </c>
      <c r="J397" s="31" t="s">
        <v>125</v>
      </c>
      <c r="M397" s="31" t="s">
        <v>137</v>
      </c>
      <c r="P397" s="31">
        <f>Migrationsartikel!B395</f>
        <v>0</v>
      </c>
      <c r="S397"/>
      <c r="T397"/>
      <c r="U397">
        <f>Migrationsartikel!F395</f>
        <v>0</v>
      </c>
      <c r="V397">
        <f>Migrationsartikel!J395</f>
        <v>0</v>
      </c>
      <c r="W397">
        <f>Migrationsartikel!N395</f>
        <v>0</v>
      </c>
      <c r="X397">
        <f>Migrationsartikel!G395</f>
        <v>0</v>
      </c>
      <c r="Y397">
        <f>Migrationsartikel!K395</f>
        <v>0</v>
      </c>
      <c r="Z397">
        <f>Migrationsartikel!O395</f>
        <v>0</v>
      </c>
      <c r="AA397" s="31">
        <f>Migrationsartikel!H395</f>
        <v>0</v>
      </c>
      <c r="AB397" s="31">
        <f>Migrationsartikel!L395</f>
        <v>0</v>
      </c>
      <c r="AC397" s="31">
        <f>Migrationsartikel!P395</f>
        <v>0</v>
      </c>
      <c r="AD397">
        <f>Migrationsartikel!I395</f>
        <v>0</v>
      </c>
      <c r="AE397">
        <f>Migrationsartikel!M395</f>
        <v>0</v>
      </c>
      <c r="AF397">
        <f>Migrationsartikel!Q395</f>
        <v>0</v>
      </c>
      <c r="AG397" s="45">
        <f>Migrationsartikel!R395</f>
        <v>0</v>
      </c>
      <c r="AH397" s="46">
        <f>Migrationsartikel!T395</f>
        <v>0</v>
      </c>
      <c r="AI397" s="46" t="str">
        <f t="shared" si="18"/>
        <v>n/a</v>
      </c>
      <c r="AJ397" s="46" t="s">
        <v>176</v>
      </c>
      <c r="AK397">
        <f>Migrationsartikel!S395</f>
        <v>0</v>
      </c>
      <c r="AL397">
        <f>Migrationsartikel!S395</f>
        <v>0</v>
      </c>
      <c r="AM397">
        <f>Migrationsartikel!S395</f>
        <v>0</v>
      </c>
      <c r="AN397">
        <f>Migrationsartikel!U395</f>
        <v>0</v>
      </c>
      <c r="AO397" t="str">
        <f t="shared" si="19"/>
        <v>n/a</v>
      </c>
      <c r="AP397" t="str">
        <f t="shared" si="20"/>
        <v>n/a</v>
      </c>
      <c r="AQ397" s="31" t="s">
        <v>195</v>
      </c>
      <c r="AR397" s="47"/>
      <c r="AS397" s="47"/>
      <c r="AT397" s="31" t="s">
        <v>208</v>
      </c>
      <c r="AU397" s="47"/>
      <c r="AV397" s="47"/>
      <c r="AW397" t="b">
        <f>IF(Migrationsartikel!AB395="ja","true",FALSE)</f>
        <v>0</v>
      </c>
      <c r="AX397" t="b">
        <f>IF(Migrationsartikel!AC395="ja","true",FALSE)</f>
        <v>0</v>
      </c>
      <c r="AY397" t="b">
        <f>IF(Migrationsartikel!AD395="ja","true",FALSE)</f>
        <v>0</v>
      </c>
      <c r="AZ397" t="b">
        <f>IF(Migrationsartikel!AE395="ja","true",FALSE)</f>
        <v>0</v>
      </c>
      <c r="BA397" t="str">
        <f>IF(Migrationsartikel!AF395="ja","Denner Partner","")</f>
        <v/>
      </c>
      <c r="BB397" t="str">
        <f>IF(Migrationsartikel!AG395="ja","true","false")</f>
        <v>false</v>
      </c>
      <c r="BC397" t="s">
        <v>1923</v>
      </c>
      <c r="BD397" s="31" t="s">
        <v>235</v>
      </c>
      <c r="BE397" s="31" t="s">
        <v>233</v>
      </c>
    </row>
    <row r="398" spans="2:57" ht="21.75" customHeight="1" x14ac:dyDescent="0.45">
      <c r="B398" t="s">
        <v>115</v>
      </c>
      <c r="E398" s="31" t="s">
        <v>1824</v>
      </c>
      <c r="F398" t="str">
        <f>"Warengruppe&gt;&gt;"&amp;Migrationsartikel!V396&amp;"&gt;&gt;"&amp;Migrationsartikel!W396&amp;"&gt;&gt;"&amp;Migrationsartikel!X396</f>
        <v>Warengruppe&gt;&gt;&gt;&gt;&gt;&gt;</v>
      </c>
      <c r="J398" s="31" t="s">
        <v>125</v>
      </c>
      <c r="M398" s="31" t="s">
        <v>137</v>
      </c>
      <c r="P398" s="31">
        <f>Migrationsartikel!B396</f>
        <v>0</v>
      </c>
      <c r="S398"/>
      <c r="T398"/>
      <c r="U398">
        <f>Migrationsartikel!F396</f>
        <v>0</v>
      </c>
      <c r="V398">
        <f>Migrationsartikel!J396</f>
        <v>0</v>
      </c>
      <c r="W398">
        <f>Migrationsartikel!N396</f>
        <v>0</v>
      </c>
      <c r="X398">
        <f>Migrationsartikel!G396</f>
        <v>0</v>
      </c>
      <c r="Y398">
        <f>Migrationsartikel!K396</f>
        <v>0</v>
      </c>
      <c r="Z398">
        <f>Migrationsartikel!O396</f>
        <v>0</v>
      </c>
      <c r="AA398" s="31">
        <f>Migrationsartikel!H396</f>
        <v>0</v>
      </c>
      <c r="AB398" s="31">
        <f>Migrationsartikel!L396</f>
        <v>0</v>
      </c>
      <c r="AC398" s="31">
        <f>Migrationsartikel!P396</f>
        <v>0</v>
      </c>
      <c r="AD398">
        <f>Migrationsartikel!I396</f>
        <v>0</v>
      </c>
      <c r="AE398">
        <f>Migrationsartikel!M396</f>
        <v>0</v>
      </c>
      <c r="AF398">
        <f>Migrationsartikel!Q396</f>
        <v>0</v>
      </c>
      <c r="AG398" s="45">
        <f>Migrationsartikel!R396</f>
        <v>0</v>
      </c>
      <c r="AH398" s="46">
        <f>Migrationsartikel!T396</f>
        <v>0</v>
      </c>
      <c r="AI398" s="46" t="str">
        <f t="shared" si="18"/>
        <v>n/a</v>
      </c>
      <c r="AJ398" s="46" t="s">
        <v>176</v>
      </c>
      <c r="AK398">
        <f>Migrationsartikel!S396</f>
        <v>0</v>
      </c>
      <c r="AL398">
        <f>Migrationsartikel!S396</f>
        <v>0</v>
      </c>
      <c r="AM398">
        <f>Migrationsartikel!S396</f>
        <v>0</v>
      </c>
      <c r="AN398">
        <f>Migrationsartikel!U396</f>
        <v>0</v>
      </c>
      <c r="AO398" t="str">
        <f t="shared" si="19"/>
        <v>n/a</v>
      </c>
      <c r="AP398" t="str">
        <f t="shared" si="20"/>
        <v>n/a</v>
      </c>
      <c r="AQ398" s="31" t="s">
        <v>195</v>
      </c>
      <c r="AR398" s="47"/>
      <c r="AS398" s="47"/>
      <c r="AT398" s="31" t="s">
        <v>208</v>
      </c>
      <c r="AU398" s="47"/>
      <c r="AV398" s="47"/>
      <c r="AW398" t="b">
        <f>IF(Migrationsartikel!AB396="ja","true",FALSE)</f>
        <v>0</v>
      </c>
      <c r="AX398" t="b">
        <f>IF(Migrationsartikel!AC396="ja","true",FALSE)</f>
        <v>0</v>
      </c>
      <c r="AY398" t="b">
        <f>IF(Migrationsartikel!AD396="ja","true",FALSE)</f>
        <v>0</v>
      </c>
      <c r="AZ398" t="b">
        <f>IF(Migrationsartikel!AE396="ja","true",FALSE)</f>
        <v>0</v>
      </c>
      <c r="BA398" t="str">
        <f>IF(Migrationsartikel!AF396="ja","Denner Partner","")</f>
        <v/>
      </c>
      <c r="BB398" t="str">
        <f>IF(Migrationsartikel!AG396="ja","true","false")</f>
        <v>false</v>
      </c>
      <c r="BC398" t="s">
        <v>1923</v>
      </c>
      <c r="BD398" s="31" t="s">
        <v>235</v>
      </c>
      <c r="BE398" s="31" t="s">
        <v>233</v>
      </c>
    </row>
    <row r="399" spans="2:57" ht="21.75" customHeight="1" x14ac:dyDescent="0.45">
      <c r="B399" t="s">
        <v>115</v>
      </c>
      <c r="E399" s="31" t="s">
        <v>1825</v>
      </c>
      <c r="F399" t="str">
        <f>"Warengruppe&gt;&gt;"&amp;Migrationsartikel!V397&amp;"&gt;&gt;"&amp;Migrationsartikel!W397&amp;"&gt;&gt;"&amp;Migrationsartikel!X397</f>
        <v>Warengruppe&gt;&gt;&gt;&gt;&gt;&gt;</v>
      </c>
      <c r="J399" s="31" t="s">
        <v>125</v>
      </c>
      <c r="M399" s="31" t="s">
        <v>137</v>
      </c>
      <c r="P399" s="31">
        <f>Migrationsartikel!B397</f>
        <v>0</v>
      </c>
      <c r="S399"/>
      <c r="T399"/>
      <c r="U399">
        <f>Migrationsartikel!F397</f>
        <v>0</v>
      </c>
      <c r="V399">
        <f>Migrationsartikel!J397</f>
        <v>0</v>
      </c>
      <c r="W399">
        <f>Migrationsartikel!N397</f>
        <v>0</v>
      </c>
      <c r="X399">
        <f>Migrationsartikel!G397</f>
        <v>0</v>
      </c>
      <c r="Y399">
        <f>Migrationsartikel!K397</f>
        <v>0</v>
      </c>
      <c r="Z399">
        <f>Migrationsartikel!O397</f>
        <v>0</v>
      </c>
      <c r="AA399" s="31">
        <f>Migrationsartikel!H397</f>
        <v>0</v>
      </c>
      <c r="AB399" s="31">
        <f>Migrationsartikel!L397</f>
        <v>0</v>
      </c>
      <c r="AC399" s="31">
        <f>Migrationsartikel!P397</f>
        <v>0</v>
      </c>
      <c r="AD399">
        <f>Migrationsartikel!I397</f>
        <v>0</v>
      </c>
      <c r="AE399">
        <f>Migrationsartikel!M397</f>
        <v>0</v>
      </c>
      <c r="AF399">
        <f>Migrationsartikel!Q397</f>
        <v>0</v>
      </c>
      <c r="AG399" s="45">
        <f>Migrationsartikel!R397</f>
        <v>0</v>
      </c>
      <c r="AH399" s="46">
        <f>Migrationsartikel!T397</f>
        <v>0</v>
      </c>
      <c r="AI399" s="46" t="str">
        <f t="shared" si="18"/>
        <v>n/a</v>
      </c>
      <c r="AJ399" s="46" t="s">
        <v>176</v>
      </c>
      <c r="AK399">
        <f>Migrationsartikel!S397</f>
        <v>0</v>
      </c>
      <c r="AL399">
        <f>Migrationsartikel!S397</f>
        <v>0</v>
      </c>
      <c r="AM399">
        <f>Migrationsartikel!S397</f>
        <v>0</v>
      </c>
      <c r="AN399">
        <f>Migrationsartikel!U397</f>
        <v>0</v>
      </c>
      <c r="AO399" t="str">
        <f t="shared" si="19"/>
        <v>n/a</v>
      </c>
      <c r="AP399" t="str">
        <f t="shared" si="20"/>
        <v>n/a</v>
      </c>
      <c r="AQ399" s="31" t="s">
        <v>195</v>
      </c>
      <c r="AR399" s="47"/>
      <c r="AS399" s="47"/>
      <c r="AT399" s="31" t="s">
        <v>208</v>
      </c>
      <c r="AU399" s="47"/>
      <c r="AV399" s="47"/>
      <c r="AW399" t="b">
        <f>IF(Migrationsartikel!AB397="ja","true",FALSE)</f>
        <v>0</v>
      </c>
      <c r="AX399" t="b">
        <f>IF(Migrationsartikel!AC397="ja","true",FALSE)</f>
        <v>0</v>
      </c>
      <c r="AY399" t="b">
        <f>IF(Migrationsartikel!AD397="ja","true",FALSE)</f>
        <v>0</v>
      </c>
      <c r="AZ399" t="b">
        <f>IF(Migrationsartikel!AE397="ja","true",FALSE)</f>
        <v>0</v>
      </c>
      <c r="BA399" t="str">
        <f>IF(Migrationsartikel!AF397="ja","Denner Partner","")</f>
        <v/>
      </c>
      <c r="BB399" t="str">
        <f>IF(Migrationsartikel!AG397="ja","true","false")</f>
        <v>false</v>
      </c>
      <c r="BC399" t="s">
        <v>1923</v>
      </c>
      <c r="BD399" s="31" t="s">
        <v>235</v>
      </c>
      <c r="BE399" s="31" t="s">
        <v>233</v>
      </c>
    </row>
    <row r="400" spans="2:57" ht="21.75" customHeight="1" x14ac:dyDescent="0.45">
      <c r="B400" t="s">
        <v>115</v>
      </c>
      <c r="E400" s="31" t="s">
        <v>1826</v>
      </c>
      <c r="F400" t="str">
        <f>"Warengruppe&gt;&gt;"&amp;Migrationsartikel!V398&amp;"&gt;&gt;"&amp;Migrationsartikel!W398&amp;"&gt;&gt;"&amp;Migrationsartikel!X398</f>
        <v>Warengruppe&gt;&gt;&gt;&gt;&gt;&gt;</v>
      </c>
      <c r="J400" s="31" t="s">
        <v>125</v>
      </c>
      <c r="M400" s="31" t="s">
        <v>137</v>
      </c>
      <c r="P400" s="31">
        <f>Migrationsartikel!B398</f>
        <v>0</v>
      </c>
      <c r="S400"/>
      <c r="T400"/>
      <c r="U400">
        <f>Migrationsartikel!F398</f>
        <v>0</v>
      </c>
      <c r="V400">
        <f>Migrationsartikel!J398</f>
        <v>0</v>
      </c>
      <c r="W400">
        <f>Migrationsartikel!N398</f>
        <v>0</v>
      </c>
      <c r="X400">
        <f>Migrationsartikel!G398</f>
        <v>0</v>
      </c>
      <c r="Y400">
        <f>Migrationsartikel!K398</f>
        <v>0</v>
      </c>
      <c r="Z400">
        <f>Migrationsartikel!O398</f>
        <v>0</v>
      </c>
      <c r="AA400" s="31">
        <f>Migrationsartikel!H398</f>
        <v>0</v>
      </c>
      <c r="AB400" s="31">
        <f>Migrationsartikel!L398</f>
        <v>0</v>
      </c>
      <c r="AC400" s="31">
        <f>Migrationsartikel!P398</f>
        <v>0</v>
      </c>
      <c r="AD400">
        <f>Migrationsartikel!I398</f>
        <v>0</v>
      </c>
      <c r="AE400">
        <f>Migrationsartikel!M398</f>
        <v>0</v>
      </c>
      <c r="AF400">
        <f>Migrationsartikel!Q398</f>
        <v>0</v>
      </c>
      <c r="AG400" s="45">
        <f>Migrationsartikel!R398</f>
        <v>0</v>
      </c>
      <c r="AH400" s="46">
        <f>Migrationsartikel!T398</f>
        <v>0</v>
      </c>
      <c r="AI400" s="46" t="str">
        <f t="shared" si="18"/>
        <v>n/a</v>
      </c>
      <c r="AJ400" s="46" t="s">
        <v>176</v>
      </c>
      <c r="AK400">
        <f>Migrationsartikel!S398</f>
        <v>0</v>
      </c>
      <c r="AL400">
        <f>Migrationsartikel!S398</f>
        <v>0</v>
      </c>
      <c r="AM400">
        <f>Migrationsartikel!S398</f>
        <v>0</v>
      </c>
      <c r="AN400">
        <f>Migrationsartikel!U398</f>
        <v>0</v>
      </c>
      <c r="AO400" t="str">
        <f t="shared" si="19"/>
        <v>n/a</v>
      </c>
      <c r="AP400" t="str">
        <f t="shared" si="20"/>
        <v>n/a</v>
      </c>
      <c r="AQ400" s="31" t="s">
        <v>195</v>
      </c>
      <c r="AR400" s="47"/>
      <c r="AS400" s="47"/>
      <c r="AT400" s="31" t="s">
        <v>208</v>
      </c>
      <c r="AU400" s="47"/>
      <c r="AV400" s="47"/>
      <c r="AW400" t="b">
        <f>IF(Migrationsartikel!AB398="ja","true",FALSE)</f>
        <v>0</v>
      </c>
      <c r="AX400" t="b">
        <f>IF(Migrationsartikel!AC398="ja","true",FALSE)</f>
        <v>0</v>
      </c>
      <c r="AY400" t="b">
        <f>IF(Migrationsartikel!AD398="ja","true",FALSE)</f>
        <v>0</v>
      </c>
      <c r="AZ400" t="b">
        <f>IF(Migrationsartikel!AE398="ja","true",FALSE)</f>
        <v>0</v>
      </c>
      <c r="BA400" t="str">
        <f>IF(Migrationsartikel!AF398="ja","Denner Partner","")</f>
        <v/>
      </c>
      <c r="BB400" t="str">
        <f>IF(Migrationsartikel!AG398="ja","true","false")</f>
        <v>false</v>
      </c>
      <c r="BC400" t="s">
        <v>1923</v>
      </c>
      <c r="BD400" s="31" t="s">
        <v>235</v>
      </c>
      <c r="BE400" s="31" t="s">
        <v>233</v>
      </c>
    </row>
    <row r="401" spans="2:57" ht="21.75" customHeight="1" x14ac:dyDescent="0.45">
      <c r="B401" t="s">
        <v>115</v>
      </c>
      <c r="E401" s="31" t="s">
        <v>1827</v>
      </c>
      <c r="F401" t="str">
        <f>"Warengruppe&gt;&gt;"&amp;Migrationsartikel!V399&amp;"&gt;&gt;"&amp;Migrationsartikel!W399&amp;"&gt;&gt;"&amp;Migrationsartikel!X399</f>
        <v>Warengruppe&gt;&gt;&gt;&gt;&gt;&gt;</v>
      </c>
      <c r="J401" s="31" t="s">
        <v>125</v>
      </c>
      <c r="M401" s="31" t="s">
        <v>137</v>
      </c>
      <c r="P401" s="31">
        <f>Migrationsartikel!B399</f>
        <v>0</v>
      </c>
      <c r="S401"/>
      <c r="T401"/>
      <c r="U401">
        <f>Migrationsartikel!F399</f>
        <v>0</v>
      </c>
      <c r="V401">
        <f>Migrationsartikel!J399</f>
        <v>0</v>
      </c>
      <c r="W401">
        <f>Migrationsartikel!N399</f>
        <v>0</v>
      </c>
      <c r="X401">
        <f>Migrationsartikel!G399</f>
        <v>0</v>
      </c>
      <c r="Y401">
        <f>Migrationsartikel!K399</f>
        <v>0</v>
      </c>
      <c r="Z401">
        <f>Migrationsartikel!O399</f>
        <v>0</v>
      </c>
      <c r="AA401" s="31">
        <f>Migrationsartikel!H399</f>
        <v>0</v>
      </c>
      <c r="AB401" s="31">
        <f>Migrationsartikel!L399</f>
        <v>0</v>
      </c>
      <c r="AC401" s="31">
        <f>Migrationsartikel!P399</f>
        <v>0</v>
      </c>
      <c r="AD401">
        <f>Migrationsartikel!I399</f>
        <v>0</v>
      </c>
      <c r="AE401">
        <f>Migrationsartikel!M399</f>
        <v>0</v>
      </c>
      <c r="AF401">
        <f>Migrationsartikel!Q399</f>
        <v>0</v>
      </c>
      <c r="AG401" s="45">
        <f>Migrationsartikel!R399</f>
        <v>0</v>
      </c>
      <c r="AH401" s="46">
        <f>Migrationsartikel!T399</f>
        <v>0</v>
      </c>
      <c r="AI401" s="46" t="str">
        <f t="shared" si="18"/>
        <v>n/a</v>
      </c>
      <c r="AJ401" s="46" t="s">
        <v>176</v>
      </c>
      <c r="AK401">
        <f>Migrationsartikel!S399</f>
        <v>0</v>
      </c>
      <c r="AL401">
        <f>Migrationsartikel!S399</f>
        <v>0</v>
      </c>
      <c r="AM401">
        <f>Migrationsartikel!S399</f>
        <v>0</v>
      </c>
      <c r="AN401">
        <f>Migrationsartikel!U399</f>
        <v>0</v>
      </c>
      <c r="AO401" t="str">
        <f t="shared" si="19"/>
        <v>n/a</v>
      </c>
      <c r="AP401" t="str">
        <f t="shared" si="20"/>
        <v>n/a</v>
      </c>
      <c r="AQ401" s="31" t="s">
        <v>195</v>
      </c>
      <c r="AR401" s="47"/>
      <c r="AS401" s="47"/>
      <c r="AT401" s="31" t="s">
        <v>208</v>
      </c>
      <c r="AU401" s="47"/>
      <c r="AV401" s="47"/>
      <c r="AW401" t="b">
        <f>IF(Migrationsartikel!AB399="ja","true",FALSE)</f>
        <v>0</v>
      </c>
      <c r="AX401" t="b">
        <f>IF(Migrationsartikel!AC399="ja","true",FALSE)</f>
        <v>0</v>
      </c>
      <c r="AY401" t="b">
        <f>IF(Migrationsartikel!AD399="ja","true",FALSE)</f>
        <v>0</v>
      </c>
      <c r="AZ401" t="b">
        <f>IF(Migrationsartikel!AE399="ja","true",FALSE)</f>
        <v>0</v>
      </c>
      <c r="BA401" t="str">
        <f>IF(Migrationsartikel!AF399="ja","Denner Partner","")</f>
        <v/>
      </c>
      <c r="BB401" t="str">
        <f>IF(Migrationsartikel!AG399="ja","true","false")</f>
        <v>false</v>
      </c>
      <c r="BC401" t="s">
        <v>1923</v>
      </c>
      <c r="BD401" s="31" t="s">
        <v>235</v>
      </c>
      <c r="BE401" s="31" t="s">
        <v>233</v>
      </c>
    </row>
    <row r="402" spans="2:57" ht="21.75" customHeight="1" x14ac:dyDescent="0.45">
      <c r="B402" t="s">
        <v>115</v>
      </c>
      <c r="E402" s="31" t="s">
        <v>1828</v>
      </c>
      <c r="F402" t="str">
        <f>"Warengruppe&gt;&gt;"&amp;Migrationsartikel!V400&amp;"&gt;&gt;"&amp;Migrationsartikel!W400&amp;"&gt;&gt;"&amp;Migrationsartikel!X400</f>
        <v>Warengruppe&gt;&gt;&gt;&gt;&gt;&gt;</v>
      </c>
      <c r="J402" s="31" t="s">
        <v>125</v>
      </c>
      <c r="M402" s="31" t="s">
        <v>137</v>
      </c>
      <c r="P402" s="31">
        <f>Migrationsartikel!B400</f>
        <v>0</v>
      </c>
      <c r="S402"/>
      <c r="T402"/>
      <c r="U402">
        <f>Migrationsartikel!F400</f>
        <v>0</v>
      </c>
      <c r="V402">
        <f>Migrationsartikel!J400</f>
        <v>0</v>
      </c>
      <c r="W402">
        <f>Migrationsartikel!N400</f>
        <v>0</v>
      </c>
      <c r="X402">
        <f>Migrationsartikel!G400</f>
        <v>0</v>
      </c>
      <c r="Y402">
        <f>Migrationsartikel!K400</f>
        <v>0</v>
      </c>
      <c r="Z402">
        <f>Migrationsartikel!O400</f>
        <v>0</v>
      </c>
      <c r="AA402" s="31">
        <f>Migrationsartikel!H400</f>
        <v>0</v>
      </c>
      <c r="AB402" s="31">
        <f>Migrationsartikel!L400</f>
        <v>0</v>
      </c>
      <c r="AC402" s="31">
        <f>Migrationsartikel!P400</f>
        <v>0</v>
      </c>
      <c r="AD402">
        <f>Migrationsartikel!I400</f>
        <v>0</v>
      </c>
      <c r="AE402">
        <f>Migrationsartikel!M400</f>
        <v>0</v>
      </c>
      <c r="AF402">
        <f>Migrationsartikel!Q400</f>
        <v>0</v>
      </c>
      <c r="AG402" s="45">
        <f>Migrationsartikel!R400</f>
        <v>0</v>
      </c>
      <c r="AH402" s="46">
        <f>Migrationsartikel!T400</f>
        <v>0</v>
      </c>
      <c r="AI402" s="46" t="str">
        <f t="shared" si="18"/>
        <v>n/a</v>
      </c>
      <c r="AJ402" s="46" t="s">
        <v>176</v>
      </c>
      <c r="AK402">
        <f>Migrationsartikel!S400</f>
        <v>0</v>
      </c>
      <c r="AL402">
        <f>Migrationsartikel!S400</f>
        <v>0</v>
      </c>
      <c r="AM402">
        <f>Migrationsartikel!S400</f>
        <v>0</v>
      </c>
      <c r="AN402">
        <f>Migrationsartikel!U400</f>
        <v>0</v>
      </c>
      <c r="AO402" t="str">
        <f t="shared" si="19"/>
        <v>n/a</v>
      </c>
      <c r="AP402" t="str">
        <f t="shared" si="20"/>
        <v>n/a</v>
      </c>
      <c r="AQ402" s="31" t="s">
        <v>195</v>
      </c>
      <c r="AR402" s="47"/>
      <c r="AS402" s="47"/>
      <c r="AT402" s="31" t="s">
        <v>208</v>
      </c>
      <c r="AU402" s="47"/>
      <c r="AV402" s="47"/>
      <c r="AW402" t="b">
        <f>IF(Migrationsartikel!AB400="ja","true",FALSE)</f>
        <v>0</v>
      </c>
      <c r="AX402" t="b">
        <f>IF(Migrationsartikel!AC400="ja","true",FALSE)</f>
        <v>0</v>
      </c>
      <c r="AY402" t="b">
        <f>IF(Migrationsartikel!AD400="ja","true",FALSE)</f>
        <v>0</v>
      </c>
      <c r="AZ402" t="b">
        <f>IF(Migrationsartikel!AE400="ja","true",FALSE)</f>
        <v>0</v>
      </c>
      <c r="BA402" t="str">
        <f>IF(Migrationsartikel!AF400="ja","Denner Partner","")</f>
        <v/>
      </c>
      <c r="BB402" t="str">
        <f>IF(Migrationsartikel!AG400="ja","true","false")</f>
        <v>false</v>
      </c>
      <c r="BC402" t="s">
        <v>1923</v>
      </c>
      <c r="BD402" s="31" t="s">
        <v>235</v>
      </c>
      <c r="BE402" s="31" t="s">
        <v>233</v>
      </c>
    </row>
    <row r="403" spans="2:57" ht="21.75" customHeight="1" x14ac:dyDescent="0.45">
      <c r="B403" t="s">
        <v>115</v>
      </c>
      <c r="E403" s="31" t="s">
        <v>1829</v>
      </c>
      <c r="F403" t="str">
        <f>"Warengruppe&gt;&gt;"&amp;Migrationsartikel!V401&amp;"&gt;&gt;"&amp;Migrationsartikel!W401&amp;"&gt;&gt;"&amp;Migrationsartikel!X401</f>
        <v>Warengruppe&gt;&gt;&gt;&gt;&gt;&gt;</v>
      </c>
      <c r="J403" s="31" t="s">
        <v>125</v>
      </c>
      <c r="M403" s="31" t="s">
        <v>137</v>
      </c>
      <c r="P403" s="31">
        <f>Migrationsartikel!B401</f>
        <v>0</v>
      </c>
      <c r="S403"/>
      <c r="T403"/>
      <c r="U403">
        <f>Migrationsartikel!F401</f>
        <v>0</v>
      </c>
      <c r="V403">
        <f>Migrationsartikel!J401</f>
        <v>0</v>
      </c>
      <c r="W403">
        <f>Migrationsartikel!N401</f>
        <v>0</v>
      </c>
      <c r="X403">
        <f>Migrationsartikel!G401</f>
        <v>0</v>
      </c>
      <c r="Y403">
        <f>Migrationsartikel!K401</f>
        <v>0</v>
      </c>
      <c r="Z403">
        <f>Migrationsartikel!O401</f>
        <v>0</v>
      </c>
      <c r="AA403" s="31">
        <f>Migrationsartikel!H401</f>
        <v>0</v>
      </c>
      <c r="AB403" s="31">
        <f>Migrationsartikel!L401</f>
        <v>0</v>
      </c>
      <c r="AC403" s="31">
        <f>Migrationsartikel!P401</f>
        <v>0</v>
      </c>
      <c r="AD403">
        <f>Migrationsartikel!I401</f>
        <v>0</v>
      </c>
      <c r="AE403">
        <f>Migrationsartikel!M401</f>
        <v>0</v>
      </c>
      <c r="AF403">
        <f>Migrationsartikel!Q401</f>
        <v>0</v>
      </c>
      <c r="AG403" s="45">
        <f>Migrationsartikel!R401</f>
        <v>0</v>
      </c>
      <c r="AH403" s="46">
        <f>Migrationsartikel!T401</f>
        <v>0</v>
      </c>
      <c r="AI403" s="46" t="str">
        <f t="shared" si="18"/>
        <v>n/a</v>
      </c>
      <c r="AJ403" s="46" t="s">
        <v>176</v>
      </c>
      <c r="AK403">
        <f>Migrationsartikel!S401</f>
        <v>0</v>
      </c>
      <c r="AL403">
        <f>Migrationsartikel!S401</f>
        <v>0</v>
      </c>
      <c r="AM403">
        <f>Migrationsartikel!S401</f>
        <v>0</v>
      </c>
      <c r="AN403">
        <f>Migrationsartikel!U401</f>
        <v>0</v>
      </c>
      <c r="AO403" t="str">
        <f t="shared" si="19"/>
        <v>n/a</v>
      </c>
      <c r="AP403" t="str">
        <f t="shared" si="20"/>
        <v>n/a</v>
      </c>
      <c r="AQ403" s="31" t="s">
        <v>195</v>
      </c>
      <c r="AR403" s="47"/>
      <c r="AS403" s="47"/>
      <c r="AT403" s="31" t="s">
        <v>208</v>
      </c>
      <c r="AU403" s="47"/>
      <c r="AV403" s="47"/>
      <c r="AW403" t="b">
        <f>IF(Migrationsartikel!AB401="ja","true",FALSE)</f>
        <v>0</v>
      </c>
      <c r="AX403" t="b">
        <f>IF(Migrationsartikel!AC401="ja","true",FALSE)</f>
        <v>0</v>
      </c>
      <c r="AY403" t="b">
        <f>IF(Migrationsartikel!AD401="ja","true",FALSE)</f>
        <v>0</v>
      </c>
      <c r="AZ403" t="b">
        <f>IF(Migrationsartikel!AE401="ja","true",FALSE)</f>
        <v>0</v>
      </c>
      <c r="BA403" t="str">
        <f>IF(Migrationsartikel!AF401="ja","Denner Partner","")</f>
        <v/>
      </c>
      <c r="BB403" t="str">
        <f>IF(Migrationsartikel!AG401="ja","true","false")</f>
        <v>false</v>
      </c>
      <c r="BC403" t="s">
        <v>1923</v>
      </c>
      <c r="BD403" s="31" t="s">
        <v>235</v>
      </c>
      <c r="BE403" s="31" t="s">
        <v>233</v>
      </c>
    </row>
    <row r="404" spans="2:57" ht="21.75" customHeight="1" x14ac:dyDescent="0.45">
      <c r="B404" t="s">
        <v>115</v>
      </c>
      <c r="E404" s="31" t="s">
        <v>1830</v>
      </c>
      <c r="F404" t="str">
        <f>"Warengruppe&gt;&gt;"&amp;Migrationsartikel!V402&amp;"&gt;&gt;"&amp;Migrationsartikel!W402&amp;"&gt;&gt;"&amp;Migrationsartikel!X402</f>
        <v>Warengruppe&gt;&gt;&gt;&gt;&gt;&gt;</v>
      </c>
      <c r="J404" s="31" t="s">
        <v>125</v>
      </c>
      <c r="M404" s="31" t="s">
        <v>137</v>
      </c>
      <c r="P404" s="31">
        <f>Migrationsartikel!B402</f>
        <v>0</v>
      </c>
      <c r="S404"/>
      <c r="T404"/>
      <c r="U404">
        <f>Migrationsartikel!F402</f>
        <v>0</v>
      </c>
      <c r="V404">
        <f>Migrationsartikel!J402</f>
        <v>0</v>
      </c>
      <c r="W404">
        <f>Migrationsartikel!N402</f>
        <v>0</v>
      </c>
      <c r="X404">
        <f>Migrationsartikel!G402</f>
        <v>0</v>
      </c>
      <c r="Y404">
        <f>Migrationsartikel!K402</f>
        <v>0</v>
      </c>
      <c r="Z404">
        <f>Migrationsartikel!O402</f>
        <v>0</v>
      </c>
      <c r="AA404" s="31">
        <f>Migrationsartikel!H402</f>
        <v>0</v>
      </c>
      <c r="AB404" s="31">
        <f>Migrationsartikel!L402</f>
        <v>0</v>
      </c>
      <c r="AC404" s="31">
        <f>Migrationsartikel!P402</f>
        <v>0</v>
      </c>
      <c r="AD404">
        <f>Migrationsartikel!I402</f>
        <v>0</v>
      </c>
      <c r="AE404">
        <f>Migrationsartikel!M402</f>
        <v>0</v>
      </c>
      <c r="AF404">
        <f>Migrationsartikel!Q402</f>
        <v>0</v>
      </c>
      <c r="AG404" s="45">
        <f>Migrationsartikel!R402</f>
        <v>0</v>
      </c>
      <c r="AH404" s="46">
        <f>Migrationsartikel!T402</f>
        <v>0</v>
      </c>
      <c r="AI404" s="46" t="str">
        <f t="shared" si="18"/>
        <v>n/a</v>
      </c>
      <c r="AJ404" s="46" t="s">
        <v>176</v>
      </c>
      <c r="AK404">
        <f>Migrationsartikel!S402</f>
        <v>0</v>
      </c>
      <c r="AL404">
        <f>Migrationsartikel!S402</f>
        <v>0</v>
      </c>
      <c r="AM404">
        <f>Migrationsartikel!S402</f>
        <v>0</v>
      </c>
      <c r="AN404">
        <f>Migrationsartikel!U402</f>
        <v>0</v>
      </c>
      <c r="AO404" t="str">
        <f t="shared" si="19"/>
        <v>n/a</v>
      </c>
      <c r="AP404" t="str">
        <f t="shared" si="20"/>
        <v>n/a</v>
      </c>
      <c r="AQ404" s="31" t="s">
        <v>195</v>
      </c>
      <c r="AR404" s="47"/>
      <c r="AS404" s="47"/>
      <c r="AT404" s="31" t="s">
        <v>208</v>
      </c>
      <c r="AU404" s="47"/>
      <c r="AV404" s="47"/>
      <c r="AW404" t="b">
        <f>IF(Migrationsartikel!AB402="ja","true",FALSE)</f>
        <v>0</v>
      </c>
      <c r="AX404" t="b">
        <f>IF(Migrationsartikel!AC402="ja","true",FALSE)</f>
        <v>0</v>
      </c>
      <c r="AY404" t="b">
        <f>IF(Migrationsartikel!AD402="ja","true",FALSE)</f>
        <v>0</v>
      </c>
      <c r="AZ404" t="b">
        <f>IF(Migrationsartikel!AE402="ja","true",FALSE)</f>
        <v>0</v>
      </c>
      <c r="BA404" t="str">
        <f>IF(Migrationsartikel!AF402="ja","Denner Partner","")</f>
        <v/>
      </c>
      <c r="BB404" t="str">
        <f>IF(Migrationsartikel!AG402="ja","true","false")</f>
        <v>false</v>
      </c>
      <c r="BC404" t="s">
        <v>1923</v>
      </c>
      <c r="BD404" s="31" t="s">
        <v>235</v>
      </c>
      <c r="BE404" s="31" t="s">
        <v>233</v>
      </c>
    </row>
    <row r="405" spans="2:57" ht="21.75" customHeight="1" x14ac:dyDescent="0.45">
      <c r="B405" t="s">
        <v>115</v>
      </c>
      <c r="E405" s="31" t="s">
        <v>1831</v>
      </c>
      <c r="F405" t="str">
        <f>"Warengruppe&gt;&gt;"&amp;Migrationsartikel!V403&amp;"&gt;&gt;"&amp;Migrationsartikel!W403&amp;"&gt;&gt;"&amp;Migrationsartikel!X403</f>
        <v>Warengruppe&gt;&gt;&gt;&gt;&gt;&gt;</v>
      </c>
      <c r="J405" s="31" t="s">
        <v>125</v>
      </c>
      <c r="M405" s="31" t="s">
        <v>137</v>
      </c>
      <c r="P405" s="31">
        <f>Migrationsartikel!B403</f>
        <v>0</v>
      </c>
      <c r="S405"/>
      <c r="T405"/>
      <c r="U405">
        <f>Migrationsartikel!F403</f>
        <v>0</v>
      </c>
      <c r="V405">
        <f>Migrationsartikel!J403</f>
        <v>0</v>
      </c>
      <c r="W405">
        <f>Migrationsartikel!N403</f>
        <v>0</v>
      </c>
      <c r="X405">
        <f>Migrationsartikel!G403</f>
        <v>0</v>
      </c>
      <c r="Y405">
        <f>Migrationsartikel!K403</f>
        <v>0</v>
      </c>
      <c r="Z405">
        <f>Migrationsartikel!O403</f>
        <v>0</v>
      </c>
      <c r="AA405" s="31">
        <f>Migrationsartikel!H403</f>
        <v>0</v>
      </c>
      <c r="AB405" s="31">
        <f>Migrationsartikel!L403</f>
        <v>0</v>
      </c>
      <c r="AC405" s="31">
        <f>Migrationsartikel!P403</f>
        <v>0</v>
      </c>
      <c r="AD405">
        <f>Migrationsartikel!I403</f>
        <v>0</v>
      </c>
      <c r="AE405">
        <f>Migrationsartikel!M403</f>
        <v>0</v>
      </c>
      <c r="AF405">
        <f>Migrationsartikel!Q403</f>
        <v>0</v>
      </c>
      <c r="AG405" s="45">
        <f>Migrationsartikel!R403</f>
        <v>0</v>
      </c>
      <c r="AH405" s="46">
        <f>Migrationsartikel!T403</f>
        <v>0</v>
      </c>
      <c r="AI405" s="46" t="str">
        <f t="shared" si="18"/>
        <v>n/a</v>
      </c>
      <c r="AJ405" s="46" t="s">
        <v>176</v>
      </c>
      <c r="AK405">
        <f>Migrationsartikel!S403</f>
        <v>0</v>
      </c>
      <c r="AL405">
        <f>Migrationsartikel!S403</f>
        <v>0</v>
      </c>
      <c r="AM405">
        <f>Migrationsartikel!S403</f>
        <v>0</v>
      </c>
      <c r="AN405">
        <f>Migrationsartikel!U403</f>
        <v>0</v>
      </c>
      <c r="AO405" t="str">
        <f t="shared" si="19"/>
        <v>n/a</v>
      </c>
      <c r="AP405" t="str">
        <f t="shared" si="20"/>
        <v>n/a</v>
      </c>
      <c r="AQ405" s="31" t="s">
        <v>195</v>
      </c>
      <c r="AR405" s="47"/>
      <c r="AS405" s="47"/>
      <c r="AT405" s="31" t="s">
        <v>208</v>
      </c>
      <c r="AU405" s="47"/>
      <c r="AV405" s="47"/>
      <c r="AW405" t="b">
        <f>IF(Migrationsartikel!AB403="ja","true",FALSE)</f>
        <v>0</v>
      </c>
      <c r="AX405" t="b">
        <f>IF(Migrationsartikel!AC403="ja","true",FALSE)</f>
        <v>0</v>
      </c>
      <c r="AY405" t="b">
        <f>IF(Migrationsartikel!AD403="ja","true",FALSE)</f>
        <v>0</v>
      </c>
      <c r="AZ405" t="b">
        <f>IF(Migrationsartikel!AE403="ja","true",FALSE)</f>
        <v>0</v>
      </c>
      <c r="BA405" t="str">
        <f>IF(Migrationsartikel!AF403="ja","Denner Partner","")</f>
        <v/>
      </c>
      <c r="BB405" t="str">
        <f>IF(Migrationsartikel!AG403="ja","true","false")</f>
        <v>false</v>
      </c>
      <c r="BC405" t="s">
        <v>1923</v>
      </c>
      <c r="BD405" s="31" t="s">
        <v>235</v>
      </c>
      <c r="BE405" s="31" t="s">
        <v>233</v>
      </c>
    </row>
    <row r="406" spans="2:57" ht="21.75" customHeight="1" x14ac:dyDescent="0.45">
      <c r="B406" t="s">
        <v>115</v>
      </c>
      <c r="E406" s="31" t="s">
        <v>1832</v>
      </c>
      <c r="F406" t="str">
        <f>"Warengruppe&gt;&gt;"&amp;Migrationsartikel!V404&amp;"&gt;&gt;"&amp;Migrationsartikel!W404&amp;"&gt;&gt;"&amp;Migrationsartikel!X404</f>
        <v>Warengruppe&gt;&gt;&gt;&gt;&gt;&gt;</v>
      </c>
      <c r="J406" s="31" t="s">
        <v>125</v>
      </c>
      <c r="M406" s="31" t="s">
        <v>137</v>
      </c>
      <c r="P406" s="31">
        <f>Migrationsartikel!B404</f>
        <v>0</v>
      </c>
      <c r="S406"/>
      <c r="T406"/>
      <c r="U406">
        <f>Migrationsartikel!F404</f>
        <v>0</v>
      </c>
      <c r="V406">
        <f>Migrationsartikel!J404</f>
        <v>0</v>
      </c>
      <c r="W406">
        <f>Migrationsartikel!N404</f>
        <v>0</v>
      </c>
      <c r="X406">
        <f>Migrationsartikel!G404</f>
        <v>0</v>
      </c>
      <c r="Y406">
        <f>Migrationsartikel!K404</f>
        <v>0</v>
      </c>
      <c r="Z406">
        <f>Migrationsartikel!O404</f>
        <v>0</v>
      </c>
      <c r="AA406" s="31">
        <f>Migrationsartikel!H404</f>
        <v>0</v>
      </c>
      <c r="AB406" s="31">
        <f>Migrationsartikel!L404</f>
        <v>0</v>
      </c>
      <c r="AC406" s="31">
        <f>Migrationsartikel!P404</f>
        <v>0</v>
      </c>
      <c r="AD406">
        <f>Migrationsartikel!I404</f>
        <v>0</v>
      </c>
      <c r="AE406">
        <f>Migrationsartikel!M404</f>
        <v>0</v>
      </c>
      <c r="AF406">
        <f>Migrationsartikel!Q404</f>
        <v>0</v>
      </c>
      <c r="AG406" s="45">
        <f>Migrationsartikel!R404</f>
        <v>0</v>
      </c>
      <c r="AH406" s="46">
        <f>Migrationsartikel!T404</f>
        <v>0</v>
      </c>
      <c r="AI406" s="46" t="str">
        <f t="shared" si="18"/>
        <v>n/a</v>
      </c>
      <c r="AJ406" s="46" t="s">
        <v>176</v>
      </c>
      <c r="AK406">
        <f>Migrationsartikel!S404</f>
        <v>0</v>
      </c>
      <c r="AL406">
        <f>Migrationsartikel!S404</f>
        <v>0</v>
      </c>
      <c r="AM406">
        <f>Migrationsartikel!S404</f>
        <v>0</v>
      </c>
      <c r="AN406">
        <f>Migrationsartikel!U404</f>
        <v>0</v>
      </c>
      <c r="AO406" t="str">
        <f t="shared" si="19"/>
        <v>n/a</v>
      </c>
      <c r="AP406" t="str">
        <f t="shared" si="20"/>
        <v>n/a</v>
      </c>
      <c r="AQ406" s="31" t="s">
        <v>195</v>
      </c>
      <c r="AR406" s="47"/>
      <c r="AS406" s="47"/>
      <c r="AT406" s="31" t="s">
        <v>208</v>
      </c>
      <c r="AU406" s="47"/>
      <c r="AV406" s="47"/>
      <c r="AW406" t="b">
        <f>IF(Migrationsartikel!AB404="ja","true",FALSE)</f>
        <v>0</v>
      </c>
      <c r="AX406" t="b">
        <f>IF(Migrationsartikel!AC404="ja","true",FALSE)</f>
        <v>0</v>
      </c>
      <c r="AY406" t="b">
        <f>IF(Migrationsartikel!AD404="ja","true",FALSE)</f>
        <v>0</v>
      </c>
      <c r="AZ406" t="b">
        <f>IF(Migrationsartikel!AE404="ja","true",FALSE)</f>
        <v>0</v>
      </c>
      <c r="BA406" t="str">
        <f>IF(Migrationsartikel!AF404="ja","Denner Partner","")</f>
        <v/>
      </c>
      <c r="BB406" t="str">
        <f>IF(Migrationsartikel!AG404="ja","true","false")</f>
        <v>false</v>
      </c>
      <c r="BC406" t="s">
        <v>1923</v>
      </c>
      <c r="BD406" s="31" t="s">
        <v>235</v>
      </c>
      <c r="BE406" s="31" t="s">
        <v>233</v>
      </c>
    </row>
    <row r="407" spans="2:57" ht="21.75" customHeight="1" x14ac:dyDescent="0.45">
      <c r="B407" t="s">
        <v>115</v>
      </c>
      <c r="E407" s="31" t="s">
        <v>1833</v>
      </c>
      <c r="F407" t="str">
        <f>"Warengruppe&gt;&gt;"&amp;Migrationsartikel!V405&amp;"&gt;&gt;"&amp;Migrationsartikel!W405&amp;"&gt;&gt;"&amp;Migrationsartikel!X405</f>
        <v>Warengruppe&gt;&gt;&gt;&gt;&gt;&gt;</v>
      </c>
      <c r="J407" s="31" t="s">
        <v>125</v>
      </c>
      <c r="M407" s="31" t="s">
        <v>137</v>
      </c>
      <c r="P407" s="31">
        <f>Migrationsartikel!B405</f>
        <v>0</v>
      </c>
      <c r="S407"/>
      <c r="T407"/>
      <c r="U407">
        <f>Migrationsartikel!F405</f>
        <v>0</v>
      </c>
      <c r="V407">
        <f>Migrationsartikel!J405</f>
        <v>0</v>
      </c>
      <c r="W407">
        <f>Migrationsartikel!N405</f>
        <v>0</v>
      </c>
      <c r="X407">
        <f>Migrationsartikel!G405</f>
        <v>0</v>
      </c>
      <c r="Y407">
        <f>Migrationsartikel!K405</f>
        <v>0</v>
      </c>
      <c r="Z407">
        <f>Migrationsartikel!O405</f>
        <v>0</v>
      </c>
      <c r="AA407" s="31">
        <f>Migrationsartikel!H405</f>
        <v>0</v>
      </c>
      <c r="AB407" s="31">
        <f>Migrationsartikel!L405</f>
        <v>0</v>
      </c>
      <c r="AC407" s="31">
        <f>Migrationsartikel!P405</f>
        <v>0</v>
      </c>
      <c r="AD407">
        <f>Migrationsartikel!I405</f>
        <v>0</v>
      </c>
      <c r="AE407">
        <f>Migrationsartikel!M405</f>
        <v>0</v>
      </c>
      <c r="AF407">
        <f>Migrationsartikel!Q405</f>
        <v>0</v>
      </c>
      <c r="AG407" s="45">
        <f>Migrationsartikel!R405</f>
        <v>0</v>
      </c>
      <c r="AH407" s="46">
        <f>Migrationsartikel!T405</f>
        <v>0</v>
      </c>
      <c r="AI407" s="46" t="str">
        <f t="shared" si="18"/>
        <v>n/a</v>
      </c>
      <c r="AJ407" s="46" t="s">
        <v>176</v>
      </c>
      <c r="AK407">
        <f>Migrationsartikel!S405</f>
        <v>0</v>
      </c>
      <c r="AL407">
        <f>Migrationsartikel!S405</f>
        <v>0</v>
      </c>
      <c r="AM407">
        <f>Migrationsartikel!S405</f>
        <v>0</v>
      </c>
      <c r="AN407">
        <f>Migrationsartikel!U405</f>
        <v>0</v>
      </c>
      <c r="AO407" t="str">
        <f t="shared" si="19"/>
        <v>n/a</v>
      </c>
      <c r="AP407" t="str">
        <f t="shared" si="20"/>
        <v>n/a</v>
      </c>
      <c r="AQ407" s="31" t="s">
        <v>195</v>
      </c>
      <c r="AR407" s="47"/>
      <c r="AS407" s="47"/>
      <c r="AT407" s="31" t="s">
        <v>208</v>
      </c>
      <c r="AU407" s="47"/>
      <c r="AV407" s="47"/>
      <c r="AW407" t="b">
        <f>IF(Migrationsartikel!AB405="ja","true",FALSE)</f>
        <v>0</v>
      </c>
      <c r="AX407" t="b">
        <f>IF(Migrationsartikel!AC405="ja","true",FALSE)</f>
        <v>0</v>
      </c>
      <c r="AY407" t="b">
        <f>IF(Migrationsartikel!AD405="ja","true",FALSE)</f>
        <v>0</v>
      </c>
      <c r="AZ407" t="b">
        <f>IF(Migrationsartikel!AE405="ja","true",FALSE)</f>
        <v>0</v>
      </c>
      <c r="BA407" t="str">
        <f>IF(Migrationsartikel!AF405="ja","Denner Partner","")</f>
        <v/>
      </c>
      <c r="BB407" t="str">
        <f>IF(Migrationsartikel!AG405="ja","true","false")</f>
        <v>false</v>
      </c>
      <c r="BC407" t="s">
        <v>1923</v>
      </c>
      <c r="BD407" s="31" t="s">
        <v>235</v>
      </c>
      <c r="BE407" s="31" t="s">
        <v>233</v>
      </c>
    </row>
    <row r="408" spans="2:57" ht="21.75" customHeight="1" x14ac:dyDescent="0.45">
      <c r="B408" t="s">
        <v>115</v>
      </c>
      <c r="E408" s="31" t="s">
        <v>1834</v>
      </c>
      <c r="F408" t="str">
        <f>"Warengruppe&gt;&gt;"&amp;Migrationsartikel!V406&amp;"&gt;&gt;"&amp;Migrationsartikel!W406&amp;"&gt;&gt;"&amp;Migrationsartikel!X406</f>
        <v>Warengruppe&gt;&gt;&gt;&gt;&gt;&gt;</v>
      </c>
      <c r="J408" s="31" t="s">
        <v>125</v>
      </c>
      <c r="M408" s="31" t="s">
        <v>137</v>
      </c>
      <c r="P408" s="31">
        <f>Migrationsartikel!B406</f>
        <v>0</v>
      </c>
      <c r="S408"/>
      <c r="T408"/>
      <c r="U408">
        <f>Migrationsartikel!F406</f>
        <v>0</v>
      </c>
      <c r="V408">
        <f>Migrationsartikel!J406</f>
        <v>0</v>
      </c>
      <c r="W408">
        <f>Migrationsartikel!N406</f>
        <v>0</v>
      </c>
      <c r="X408">
        <f>Migrationsartikel!G406</f>
        <v>0</v>
      </c>
      <c r="Y408">
        <f>Migrationsartikel!K406</f>
        <v>0</v>
      </c>
      <c r="Z408">
        <f>Migrationsartikel!O406</f>
        <v>0</v>
      </c>
      <c r="AA408" s="31">
        <f>Migrationsartikel!H406</f>
        <v>0</v>
      </c>
      <c r="AB408" s="31">
        <f>Migrationsartikel!L406</f>
        <v>0</v>
      </c>
      <c r="AC408" s="31">
        <f>Migrationsartikel!P406</f>
        <v>0</v>
      </c>
      <c r="AD408">
        <f>Migrationsartikel!I406</f>
        <v>0</v>
      </c>
      <c r="AE408">
        <f>Migrationsartikel!M406</f>
        <v>0</v>
      </c>
      <c r="AF408">
        <f>Migrationsartikel!Q406</f>
        <v>0</v>
      </c>
      <c r="AG408" s="45">
        <f>Migrationsartikel!R406</f>
        <v>0</v>
      </c>
      <c r="AH408" s="46">
        <f>Migrationsartikel!T406</f>
        <v>0</v>
      </c>
      <c r="AI408" s="46" t="str">
        <f t="shared" si="18"/>
        <v>n/a</v>
      </c>
      <c r="AJ408" s="46" t="s">
        <v>176</v>
      </c>
      <c r="AK408">
        <f>Migrationsartikel!S406</f>
        <v>0</v>
      </c>
      <c r="AL408">
        <f>Migrationsartikel!S406</f>
        <v>0</v>
      </c>
      <c r="AM408">
        <f>Migrationsartikel!S406</f>
        <v>0</v>
      </c>
      <c r="AN408">
        <f>Migrationsartikel!U406</f>
        <v>0</v>
      </c>
      <c r="AO408" t="str">
        <f t="shared" si="19"/>
        <v>n/a</v>
      </c>
      <c r="AP408" t="str">
        <f t="shared" si="20"/>
        <v>n/a</v>
      </c>
      <c r="AQ408" s="31" t="s">
        <v>195</v>
      </c>
      <c r="AR408" s="47"/>
      <c r="AS408" s="47"/>
      <c r="AT408" s="31" t="s">
        <v>208</v>
      </c>
      <c r="AU408" s="47"/>
      <c r="AV408" s="47"/>
      <c r="AW408" t="b">
        <f>IF(Migrationsartikel!AB406="ja","true",FALSE)</f>
        <v>0</v>
      </c>
      <c r="AX408" t="b">
        <f>IF(Migrationsartikel!AC406="ja","true",FALSE)</f>
        <v>0</v>
      </c>
      <c r="AY408" t="b">
        <f>IF(Migrationsartikel!AD406="ja","true",FALSE)</f>
        <v>0</v>
      </c>
      <c r="AZ408" t="b">
        <f>IF(Migrationsartikel!AE406="ja","true",FALSE)</f>
        <v>0</v>
      </c>
      <c r="BA408" t="str">
        <f>IF(Migrationsartikel!AF406="ja","Denner Partner","")</f>
        <v/>
      </c>
      <c r="BB408" t="str">
        <f>IF(Migrationsartikel!AG406="ja","true","false")</f>
        <v>false</v>
      </c>
      <c r="BC408" t="s">
        <v>1923</v>
      </c>
      <c r="BD408" s="31" t="s">
        <v>235</v>
      </c>
      <c r="BE408" s="31" t="s">
        <v>233</v>
      </c>
    </row>
    <row r="409" spans="2:57" ht="21.75" customHeight="1" x14ac:dyDescent="0.45">
      <c r="B409" t="s">
        <v>115</v>
      </c>
      <c r="E409" s="31" t="s">
        <v>1835</v>
      </c>
      <c r="F409" t="str">
        <f>"Warengruppe&gt;&gt;"&amp;Migrationsartikel!V407&amp;"&gt;&gt;"&amp;Migrationsartikel!W407&amp;"&gt;&gt;"&amp;Migrationsartikel!X407</f>
        <v>Warengruppe&gt;&gt;&gt;&gt;&gt;&gt;</v>
      </c>
      <c r="J409" s="31" t="s">
        <v>125</v>
      </c>
      <c r="M409" s="31" t="s">
        <v>137</v>
      </c>
      <c r="P409" s="31">
        <f>Migrationsartikel!B407</f>
        <v>0</v>
      </c>
      <c r="S409"/>
      <c r="T409"/>
      <c r="U409">
        <f>Migrationsartikel!F407</f>
        <v>0</v>
      </c>
      <c r="V409">
        <f>Migrationsartikel!J407</f>
        <v>0</v>
      </c>
      <c r="W409">
        <f>Migrationsartikel!N407</f>
        <v>0</v>
      </c>
      <c r="X409">
        <f>Migrationsartikel!G407</f>
        <v>0</v>
      </c>
      <c r="Y409">
        <f>Migrationsartikel!K407</f>
        <v>0</v>
      </c>
      <c r="Z409">
        <f>Migrationsartikel!O407</f>
        <v>0</v>
      </c>
      <c r="AA409" s="31">
        <f>Migrationsartikel!H407</f>
        <v>0</v>
      </c>
      <c r="AB409" s="31">
        <f>Migrationsartikel!L407</f>
        <v>0</v>
      </c>
      <c r="AC409" s="31">
        <f>Migrationsartikel!P407</f>
        <v>0</v>
      </c>
      <c r="AD409">
        <f>Migrationsartikel!I407</f>
        <v>0</v>
      </c>
      <c r="AE409">
        <f>Migrationsartikel!M407</f>
        <v>0</v>
      </c>
      <c r="AF409">
        <f>Migrationsartikel!Q407</f>
        <v>0</v>
      </c>
      <c r="AG409" s="45">
        <f>Migrationsartikel!R407</f>
        <v>0</v>
      </c>
      <c r="AH409" s="46">
        <f>Migrationsartikel!T407</f>
        <v>0</v>
      </c>
      <c r="AI409" s="46" t="str">
        <f t="shared" si="18"/>
        <v>n/a</v>
      </c>
      <c r="AJ409" s="46" t="s">
        <v>176</v>
      </c>
      <c r="AK409">
        <f>Migrationsartikel!S407</f>
        <v>0</v>
      </c>
      <c r="AL409">
        <f>Migrationsartikel!S407</f>
        <v>0</v>
      </c>
      <c r="AM409">
        <f>Migrationsartikel!S407</f>
        <v>0</v>
      </c>
      <c r="AN409">
        <f>Migrationsartikel!U407</f>
        <v>0</v>
      </c>
      <c r="AO409" t="str">
        <f t="shared" si="19"/>
        <v>n/a</v>
      </c>
      <c r="AP409" t="str">
        <f t="shared" si="20"/>
        <v>n/a</v>
      </c>
      <c r="AQ409" s="31" t="s">
        <v>195</v>
      </c>
      <c r="AR409" s="47"/>
      <c r="AS409" s="47"/>
      <c r="AT409" s="31" t="s">
        <v>208</v>
      </c>
      <c r="AU409" s="47"/>
      <c r="AV409" s="47"/>
      <c r="AW409" t="b">
        <f>IF(Migrationsartikel!AB407="ja","true",FALSE)</f>
        <v>0</v>
      </c>
      <c r="AX409" t="b">
        <f>IF(Migrationsartikel!AC407="ja","true",FALSE)</f>
        <v>0</v>
      </c>
      <c r="AY409" t="b">
        <f>IF(Migrationsartikel!AD407="ja","true",FALSE)</f>
        <v>0</v>
      </c>
      <c r="AZ409" t="b">
        <f>IF(Migrationsartikel!AE407="ja","true",FALSE)</f>
        <v>0</v>
      </c>
      <c r="BA409" t="str">
        <f>IF(Migrationsartikel!AF407="ja","Denner Partner","")</f>
        <v/>
      </c>
      <c r="BB409" t="str">
        <f>IF(Migrationsartikel!AG407="ja","true","false")</f>
        <v>false</v>
      </c>
      <c r="BC409" t="s">
        <v>1923</v>
      </c>
      <c r="BD409" s="31" t="s">
        <v>235</v>
      </c>
      <c r="BE409" s="31" t="s">
        <v>233</v>
      </c>
    </row>
    <row r="410" spans="2:57" ht="21.75" customHeight="1" x14ac:dyDescent="0.45">
      <c r="B410" t="s">
        <v>115</v>
      </c>
      <c r="E410" s="31" t="s">
        <v>1836</v>
      </c>
      <c r="F410" t="str">
        <f>"Warengruppe&gt;&gt;"&amp;Migrationsartikel!V408&amp;"&gt;&gt;"&amp;Migrationsartikel!W408&amp;"&gt;&gt;"&amp;Migrationsartikel!X408</f>
        <v>Warengruppe&gt;&gt;&gt;&gt;&gt;&gt;</v>
      </c>
      <c r="J410" s="31" t="s">
        <v>125</v>
      </c>
      <c r="M410" s="31" t="s">
        <v>137</v>
      </c>
      <c r="P410" s="31">
        <f>Migrationsartikel!B408</f>
        <v>0</v>
      </c>
      <c r="U410">
        <f>Migrationsartikel!F408</f>
        <v>0</v>
      </c>
      <c r="V410">
        <f>Migrationsartikel!J408</f>
        <v>0</v>
      </c>
      <c r="W410">
        <f>Migrationsartikel!N408</f>
        <v>0</v>
      </c>
      <c r="X410">
        <f>Migrationsartikel!G408</f>
        <v>0</v>
      </c>
      <c r="Y410">
        <f>Migrationsartikel!K408</f>
        <v>0</v>
      </c>
      <c r="Z410">
        <f>Migrationsartikel!O408</f>
        <v>0</v>
      </c>
      <c r="AA410" s="31">
        <f>Migrationsartikel!H408</f>
        <v>0</v>
      </c>
      <c r="AB410" s="31">
        <f>Migrationsartikel!L408</f>
        <v>0</v>
      </c>
      <c r="AC410" s="31">
        <f>Migrationsartikel!P408</f>
        <v>0</v>
      </c>
      <c r="AD410">
        <f>Migrationsartikel!I408</f>
        <v>0</v>
      </c>
      <c r="AE410">
        <f>Migrationsartikel!M408</f>
        <v>0</v>
      </c>
      <c r="AF410">
        <f>Migrationsartikel!Q408</f>
        <v>0</v>
      </c>
      <c r="AG410" s="45">
        <f>Migrationsartikel!R408</f>
        <v>0</v>
      </c>
      <c r="AH410" s="46">
        <f>Migrationsartikel!T408</f>
        <v>0</v>
      </c>
      <c r="AI410" s="46" t="str">
        <f t="shared" si="18"/>
        <v>n/a</v>
      </c>
      <c r="AJ410" s="46" t="s">
        <v>176</v>
      </c>
      <c r="AK410">
        <f>Migrationsartikel!S408</f>
        <v>0</v>
      </c>
      <c r="AL410">
        <f>Migrationsartikel!S408</f>
        <v>0</v>
      </c>
      <c r="AM410">
        <f>Migrationsartikel!S408</f>
        <v>0</v>
      </c>
      <c r="AN410">
        <f>Migrationsartikel!U408</f>
        <v>0</v>
      </c>
      <c r="AO410" t="str">
        <f t="shared" si="19"/>
        <v>n/a</v>
      </c>
      <c r="AP410" t="str">
        <f t="shared" si="20"/>
        <v>n/a</v>
      </c>
      <c r="AQ410" s="31" t="s">
        <v>195</v>
      </c>
      <c r="AR410" s="47"/>
      <c r="AS410" s="47"/>
      <c r="AT410" s="31" t="s">
        <v>208</v>
      </c>
      <c r="AU410" s="47"/>
      <c r="AV410" s="47"/>
      <c r="AW410" t="b">
        <f>IF(Migrationsartikel!AB408="ja","true",FALSE)</f>
        <v>0</v>
      </c>
      <c r="AX410" t="b">
        <f>IF(Migrationsartikel!AC408="ja","true",FALSE)</f>
        <v>0</v>
      </c>
      <c r="AY410" t="b">
        <f>IF(Migrationsartikel!AD408="ja","true",FALSE)</f>
        <v>0</v>
      </c>
      <c r="AZ410" t="b">
        <f>IF(Migrationsartikel!AE408="ja","true",FALSE)</f>
        <v>0</v>
      </c>
      <c r="BA410" t="str">
        <f>IF(Migrationsartikel!AF408="ja","Denner Partner","")</f>
        <v/>
      </c>
      <c r="BB410" t="str">
        <f>IF(Migrationsartikel!AG408="ja","true","false")</f>
        <v>false</v>
      </c>
      <c r="BC410" t="s">
        <v>1923</v>
      </c>
      <c r="BD410" s="31" t="s">
        <v>235</v>
      </c>
      <c r="BE410" s="31" t="s">
        <v>233</v>
      </c>
    </row>
    <row r="411" spans="2:57" ht="21.75" customHeight="1" x14ac:dyDescent="0.45">
      <c r="B411" t="s">
        <v>115</v>
      </c>
      <c r="E411" s="31" t="s">
        <v>1837</v>
      </c>
      <c r="F411" t="str">
        <f>"Warengruppe&gt;&gt;"&amp;Migrationsartikel!V409&amp;"&gt;&gt;"&amp;Migrationsartikel!W409&amp;"&gt;&gt;"&amp;Migrationsartikel!X409</f>
        <v>Warengruppe&gt;&gt;&gt;&gt;&gt;&gt;</v>
      </c>
      <c r="J411" s="31" t="s">
        <v>125</v>
      </c>
      <c r="M411" s="31" t="s">
        <v>137</v>
      </c>
      <c r="P411" s="31">
        <f>Migrationsartikel!B409</f>
        <v>0</v>
      </c>
      <c r="U411">
        <f>Migrationsartikel!F409</f>
        <v>0</v>
      </c>
      <c r="V411">
        <f>Migrationsartikel!J409</f>
        <v>0</v>
      </c>
      <c r="W411">
        <f>Migrationsartikel!N409</f>
        <v>0</v>
      </c>
      <c r="X411">
        <f>Migrationsartikel!G409</f>
        <v>0</v>
      </c>
      <c r="Y411">
        <f>Migrationsartikel!K409</f>
        <v>0</v>
      </c>
      <c r="Z411">
        <f>Migrationsartikel!O409</f>
        <v>0</v>
      </c>
      <c r="AA411" s="31">
        <f>Migrationsartikel!H409</f>
        <v>0</v>
      </c>
      <c r="AB411" s="31">
        <f>Migrationsartikel!L409</f>
        <v>0</v>
      </c>
      <c r="AC411" s="31">
        <f>Migrationsartikel!P409</f>
        <v>0</v>
      </c>
      <c r="AD411">
        <f>Migrationsartikel!I409</f>
        <v>0</v>
      </c>
      <c r="AE411">
        <f>Migrationsartikel!M409</f>
        <v>0</v>
      </c>
      <c r="AF411">
        <f>Migrationsartikel!Q409</f>
        <v>0</v>
      </c>
      <c r="AG411" s="45">
        <f>Migrationsartikel!R409</f>
        <v>0</v>
      </c>
      <c r="AH411" s="46">
        <f>Migrationsartikel!T409</f>
        <v>0</v>
      </c>
      <c r="AI411" s="46" t="str">
        <f t="shared" si="18"/>
        <v>n/a</v>
      </c>
      <c r="AJ411" s="46" t="s">
        <v>176</v>
      </c>
      <c r="AK411">
        <f>Migrationsartikel!S409</f>
        <v>0</v>
      </c>
      <c r="AL411">
        <f>Migrationsartikel!S409</f>
        <v>0</v>
      </c>
      <c r="AM411">
        <f>Migrationsartikel!S409</f>
        <v>0</v>
      </c>
      <c r="AN411">
        <f>Migrationsartikel!U409</f>
        <v>0</v>
      </c>
      <c r="AO411" t="str">
        <f t="shared" si="19"/>
        <v>n/a</v>
      </c>
      <c r="AP411" t="str">
        <f t="shared" si="20"/>
        <v>n/a</v>
      </c>
      <c r="AQ411" s="31" t="s">
        <v>195</v>
      </c>
      <c r="AR411" s="47"/>
      <c r="AS411" s="47"/>
      <c r="AT411" s="31" t="s">
        <v>208</v>
      </c>
      <c r="AU411" s="47"/>
      <c r="AV411" s="47"/>
      <c r="AW411" t="b">
        <f>IF(Migrationsartikel!AB409="ja","true",FALSE)</f>
        <v>0</v>
      </c>
      <c r="AX411" t="b">
        <f>IF(Migrationsartikel!AC409="ja","true",FALSE)</f>
        <v>0</v>
      </c>
      <c r="AY411" t="b">
        <f>IF(Migrationsartikel!AD409="ja","true",FALSE)</f>
        <v>0</v>
      </c>
      <c r="AZ411" t="b">
        <f>IF(Migrationsartikel!AE409="ja","true",FALSE)</f>
        <v>0</v>
      </c>
      <c r="BA411" t="str">
        <f>IF(Migrationsartikel!AF409="ja","Denner Partner","")</f>
        <v/>
      </c>
      <c r="BB411" t="str">
        <f>IF(Migrationsartikel!AG409="ja","true","false")</f>
        <v>false</v>
      </c>
      <c r="BC411" t="s">
        <v>1923</v>
      </c>
      <c r="BD411" s="31" t="s">
        <v>235</v>
      </c>
      <c r="BE411" s="31" t="s">
        <v>233</v>
      </c>
    </row>
    <row r="412" spans="2:57" ht="21.75" customHeight="1" x14ac:dyDescent="0.45">
      <c r="B412" t="s">
        <v>115</v>
      </c>
      <c r="E412" s="31" t="s">
        <v>1838</v>
      </c>
      <c r="F412" t="str">
        <f>"Warengruppe&gt;&gt;"&amp;Migrationsartikel!V410&amp;"&gt;&gt;"&amp;Migrationsartikel!W410&amp;"&gt;&gt;"&amp;Migrationsartikel!X410</f>
        <v>Warengruppe&gt;&gt;&gt;&gt;&gt;&gt;</v>
      </c>
      <c r="J412" s="31" t="s">
        <v>125</v>
      </c>
      <c r="M412" s="31" t="s">
        <v>137</v>
      </c>
      <c r="P412" s="31">
        <f>Migrationsartikel!B410</f>
        <v>0</v>
      </c>
      <c r="U412">
        <f>Migrationsartikel!F410</f>
        <v>0</v>
      </c>
      <c r="V412">
        <f>Migrationsartikel!J410</f>
        <v>0</v>
      </c>
      <c r="W412">
        <f>Migrationsartikel!N410</f>
        <v>0</v>
      </c>
      <c r="X412">
        <f>Migrationsartikel!G410</f>
        <v>0</v>
      </c>
      <c r="Y412">
        <f>Migrationsartikel!K410</f>
        <v>0</v>
      </c>
      <c r="Z412">
        <f>Migrationsartikel!O410</f>
        <v>0</v>
      </c>
      <c r="AA412" s="31">
        <f>Migrationsartikel!H410</f>
        <v>0</v>
      </c>
      <c r="AB412" s="31">
        <f>Migrationsartikel!L410</f>
        <v>0</v>
      </c>
      <c r="AC412" s="31">
        <f>Migrationsartikel!P410</f>
        <v>0</v>
      </c>
      <c r="AD412">
        <f>Migrationsartikel!I410</f>
        <v>0</v>
      </c>
      <c r="AE412">
        <f>Migrationsartikel!M410</f>
        <v>0</v>
      </c>
      <c r="AF412">
        <f>Migrationsartikel!Q410</f>
        <v>0</v>
      </c>
      <c r="AG412" s="45">
        <f>Migrationsartikel!R410</f>
        <v>0</v>
      </c>
      <c r="AH412" s="46">
        <f>Migrationsartikel!T410</f>
        <v>0</v>
      </c>
      <c r="AI412" s="46" t="str">
        <f t="shared" si="18"/>
        <v>n/a</v>
      </c>
      <c r="AJ412" s="46" t="s">
        <v>176</v>
      </c>
      <c r="AK412">
        <f>Migrationsartikel!S410</f>
        <v>0</v>
      </c>
      <c r="AL412">
        <f>Migrationsartikel!S410</f>
        <v>0</v>
      </c>
      <c r="AM412">
        <f>Migrationsartikel!S410</f>
        <v>0</v>
      </c>
      <c r="AN412">
        <f>Migrationsartikel!U410</f>
        <v>0</v>
      </c>
      <c r="AO412" t="str">
        <f t="shared" si="19"/>
        <v>n/a</v>
      </c>
      <c r="AP412" t="str">
        <f t="shared" si="20"/>
        <v>n/a</v>
      </c>
      <c r="AQ412" s="31" t="s">
        <v>195</v>
      </c>
      <c r="AR412" s="47"/>
      <c r="AS412" s="47"/>
      <c r="AT412" s="31" t="s">
        <v>208</v>
      </c>
      <c r="AU412" s="47"/>
      <c r="AV412" s="47"/>
      <c r="AW412" t="b">
        <f>IF(Migrationsartikel!AB410="ja","true",FALSE)</f>
        <v>0</v>
      </c>
      <c r="AX412" t="b">
        <f>IF(Migrationsartikel!AC410="ja","true",FALSE)</f>
        <v>0</v>
      </c>
      <c r="AY412" t="b">
        <f>IF(Migrationsartikel!AD410="ja","true",FALSE)</f>
        <v>0</v>
      </c>
      <c r="AZ412" t="b">
        <f>IF(Migrationsartikel!AE410="ja","true",FALSE)</f>
        <v>0</v>
      </c>
      <c r="BA412" t="str">
        <f>IF(Migrationsartikel!AF410="ja","Denner Partner","")</f>
        <v/>
      </c>
      <c r="BB412" t="str">
        <f>IF(Migrationsartikel!AG410="ja","true","false")</f>
        <v>false</v>
      </c>
      <c r="BC412" t="s">
        <v>1923</v>
      </c>
      <c r="BD412" s="31" t="s">
        <v>235</v>
      </c>
      <c r="BE412" s="31" t="s">
        <v>233</v>
      </c>
    </row>
    <row r="413" spans="2:57" ht="21.75" customHeight="1" x14ac:dyDescent="0.45">
      <c r="B413" t="s">
        <v>115</v>
      </c>
      <c r="E413" s="31" t="s">
        <v>1839</v>
      </c>
      <c r="F413" t="str">
        <f>"Warengruppe&gt;&gt;"&amp;Migrationsartikel!V411&amp;"&gt;&gt;"&amp;Migrationsartikel!W411&amp;"&gt;&gt;"&amp;Migrationsartikel!X411</f>
        <v>Warengruppe&gt;&gt;&gt;&gt;&gt;&gt;</v>
      </c>
      <c r="J413" s="31" t="s">
        <v>125</v>
      </c>
      <c r="M413" s="31" t="s">
        <v>137</v>
      </c>
      <c r="P413" s="31">
        <f>Migrationsartikel!B411</f>
        <v>0</v>
      </c>
      <c r="U413">
        <f>Migrationsartikel!F411</f>
        <v>0</v>
      </c>
      <c r="V413">
        <f>Migrationsartikel!J411</f>
        <v>0</v>
      </c>
      <c r="W413">
        <f>Migrationsartikel!N411</f>
        <v>0</v>
      </c>
      <c r="X413">
        <f>Migrationsartikel!G411</f>
        <v>0</v>
      </c>
      <c r="Y413">
        <f>Migrationsartikel!K411</f>
        <v>0</v>
      </c>
      <c r="Z413">
        <f>Migrationsartikel!O411</f>
        <v>0</v>
      </c>
      <c r="AA413" s="31">
        <f>Migrationsartikel!H411</f>
        <v>0</v>
      </c>
      <c r="AB413" s="31">
        <f>Migrationsartikel!L411</f>
        <v>0</v>
      </c>
      <c r="AC413" s="31">
        <f>Migrationsartikel!P411</f>
        <v>0</v>
      </c>
      <c r="AD413">
        <f>Migrationsartikel!I411</f>
        <v>0</v>
      </c>
      <c r="AE413">
        <f>Migrationsartikel!M411</f>
        <v>0</v>
      </c>
      <c r="AF413">
        <f>Migrationsartikel!Q411</f>
        <v>0</v>
      </c>
      <c r="AG413" s="45">
        <f>Migrationsartikel!R411</f>
        <v>0</v>
      </c>
      <c r="AH413" s="46">
        <f>Migrationsartikel!T411</f>
        <v>0</v>
      </c>
      <c r="AI413" s="46" t="str">
        <f t="shared" si="18"/>
        <v>n/a</v>
      </c>
      <c r="AJ413" s="46" t="s">
        <v>176</v>
      </c>
      <c r="AK413">
        <f>Migrationsartikel!S411</f>
        <v>0</v>
      </c>
      <c r="AL413">
        <f>Migrationsartikel!S411</f>
        <v>0</v>
      </c>
      <c r="AM413">
        <f>Migrationsartikel!S411</f>
        <v>0</v>
      </c>
      <c r="AN413">
        <f>Migrationsartikel!U411</f>
        <v>0</v>
      </c>
      <c r="AO413" t="str">
        <f t="shared" si="19"/>
        <v>n/a</v>
      </c>
      <c r="AP413" t="str">
        <f t="shared" si="20"/>
        <v>n/a</v>
      </c>
      <c r="AQ413" s="31" t="s">
        <v>195</v>
      </c>
      <c r="AR413" s="47"/>
      <c r="AS413" s="47"/>
      <c r="AT413" s="31" t="s">
        <v>208</v>
      </c>
      <c r="AU413" s="47"/>
      <c r="AV413" s="47"/>
      <c r="AW413" t="b">
        <f>IF(Migrationsartikel!AB411="ja","true",FALSE)</f>
        <v>0</v>
      </c>
      <c r="AX413" t="b">
        <f>IF(Migrationsartikel!AC411="ja","true",FALSE)</f>
        <v>0</v>
      </c>
      <c r="AY413" t="b">
        <f>IF(Migrationsartikel!AD411="ja","true",FALSE)</f>
        <v>0</v>
      </c>
      <c r="AZ413" t="b">
        <f>IF(Migrationsartikel!AE411="ja","true",FALSE)</f>
        <v>0</v>
      </c>
      <c r="BA413" t="str">
        <f>IF(Migrationsartikel!AF411="ja","Denner Partner","")</f>
        <v/>
      </c>
      <c r="BB413" t="str">
        <f>IF(Migrationsartikel!AG411="ja","true","false")</f>
        <v>false</v>
      </c>
      <c r="BC413" t="s">
        <v>1923</v>
      </c>
      <c r="BD413" s="31" t="s">
        <v>235</v>
      </c>
      <c r="BE413" s="31" t="s">
        <v>233</v>
      </c>
    </row>
    <row r="414" spans="2:57" ht="21.75" customHeight="1" x14ac:dyDescent="0.45">
      <c r="B414" t="s">
        <v>115</v>
      </c>
      <c r="E414" s="31" t="s">
        <v>1840</v>
      </c>
      <c r="F414" t="str">
        <f>"Warengruppe&gt;&gt;"&amp;Migrationsartikel!V412&amp;"&gt;&gt;"&amp;Migrationsartikel!W412&amp;"&gt;&gt;"&amp;Migrationsartikel!X412</f>
        <v>Warengruppe&gt;&gt;&gt;&gt;&gt;&gt;</v>
      </c>
      <c r="J414" s="31" t="s">
        <v>125</v>
      </c>
      <c r="M414" s="31" t="s">
        <v>137</v>
      </c>
      <c r="P414" s="31">
        <f>Migrationsartikel!B412</f>
        <v>0</v>
      </c>
      <c r="U414">
        <f>Migrationsartikel!F412</f>
        <v>0</v>
      </c>
      <c r="V414">
        <f>Migrationsartikel!J412</f>
        <v>0</v>
      </c>
      <c r="W414">
        <f>Migrationsartikel!N412</f>
        <v>0</v>
      </c>
      <c r="X414">
        <f>Migrationsartikel!G412</f>
        <v>0</v>
      </c>
      <c r="Y414">
        <f>Migrationsartikel!K412</f>
        <v>0</v>
      </c>
      <c r="Z414">
        <f>Migrationsartikel!O412</f>
        <v>0</v>
      </c>
      <c r="AA414" s="31">
        <f>Migrationsartikel!H412</f>
        <v>0</v>
      </c>
      <c r="AB414" s="31">
        <f>Migrationsartikel!L412</f>
        <v>0</v>
      </c>
      <c r="AC414" s="31">
        <f>Migrationsartikel!P412</f>
        <v>0</v>
      </c>
      <c r="AD414">
        <f>Migrationsartikel!I412</f>
        <v>0</v>
      </c>
      <c r="AE414">
        <f>Migrationsartikel!M412</f>
        <v>0</v>
      </c>
      <c r="AF414">
        <f>Migrationsartikel!Q412</f>
        <v>0</v>
      </c>
      <c r="AG414" s="45">
        <f>Migrationsartikel!R412</f>
        <v>0</v>
      </c>
      <c r="AH414" s="46">
        <f>Migrationsartikel!T412</f>
        <v>0</v>
      </c>
      <c r="AI414" s="46" t="str">
        <f t="shared" si="18"/>
        <v>n/a</v>
      </c>
      <c r="AJ414" s="46" t="s">
        <v>176</v>
      </c>
      <c r="AK414">
        <f>Migrationsartikel!S412</f>
        <v>0</v>
      </c>
      <c r="AL414">
        <f>Migrationsartikel!S412</f>
        <v>0</v>
      </c>
      <c r="AM414">
        <f>Migrationsartikel!S412</f>
        <v>0</v>
      </c>
      <c r="AN414">
        <f>Migrationsartikel!U412</f>
        <v>0</v>
      </c>
      <c r="AO414" t="str">
        <f t="shared" si="19"/>
        <v>n/a</v>
      </c>
      <c r="AP414" t="str">
        <f t="shared" si="20"/>
        <v>n/a</v>
      </c>
      <c r="AQ414" s="31" t="s">
        <v>195</v>
      </c>
      <c r="AR414" s="47"/>
      <c r="AS414" s="47"/>
      <c r="AT414" s="31" t="s">
        <v>208</v>
      </c>
      <c r="AU414" s="47"/>
      <c r="AV414" s="47"/>
      <c r="AW414" t="b">
        <f>IF(Migrationsartikel!AB412="ja","true",FALSE)</f>
        <v>0</v>
      </c>
      <c r="AX414" t="b">
        <f>IF(Migrationsartikel!AC412="ja","true",FALSE)</f>
        <v>0</v>
      </c>
      <c r="AY414" t="b">
        <f>IF(Migrationsartikel!AD412="ja","true",FALSE)</f>
        <v>0</v>
      </c>
      <c r="AZ414" t="b">
        <f>IF(Migrationsartikel!AE412="ja","true",FALSE)</f>
        <v>0</v>
      </c>
      <c r="BA414" t="str">
        <f>IF(Migrationsartikel!AF412="ja","Denner Partner","")</f>
        <v/>
      </c>
      <c r="BB414" t="str">
        <f>IF(Migrationsartikel!AG412="ja","true","false")</f>
        <v>false</v>
      </c>
      <c r="BC414" t="s">
        <v>1923</v>
      </c>
      <c r="BD414" s="31" t="s">
        <v>235</v>
      </c>
      <c r="BE414" s="31" t="s">
        <v>233</v>
      </c>
    </row>
    <row r="415" spans="2:57" ht="21.75" customHeight="1" x14ac:dyDescent="0.45">
      <c r="B415" t="s">
        <v>115</v>
      </c>
      <c r="E415" s="31" t="s">
        <v>1841</v>
      </c>
      <c r="F415" t="str">
        <f>"Warengruppe&gt;&gt;"&amp;Migrationsartikel!V413&amp;"&gt;&gt;"&amp;Migrationsartikel!W413&amp;"&gt;&gt;"&amp;Migrationsartikel!X413</f>
        <v>Warengruppe&gt;&gt;&gt;&gt;&gt;&gt;</v>
      </c>
      <c r="J415" s="31" t="s">
        <v>125</v>
      </c>
      <c r="M415" s="31" t="s">
        <v>137</v>
      </c>
      <c r="P415" s="31">
        <f>Migrationsartikel!B413</f>
        <v>0</v>
      </c>
      <c r="U415">
        <f>Migrationsartikel!F413</f>
        <v>0</v>
      </c>
      <c r="V415">
        <f>Migrationsartikel!J413</f>
        <v>0</v>
      </c>
      <c r="W415">
        <f>Migrationsartikel!N413</f>
        <v>0</v>
      </c>
      <c r="X415">
        <f>Migrationsartikel!G413</f>
        <v>0</v>
      </c>
      <c r="Y415">
        <f>Migrationsartikel!K413</f>
        <v>0</v>
      </c>
      <c r="Z415">
        <f>Migrationsartikel!O413</f>
        <v>0</v>
      </c>
      <c r="AA415" s="31">
        <f>Migrationsartikel!H413</f>
        <v>0</v>
      </c>
      <c r="AB415" s="31">
        <f>Migrationsartikel!L413</f>
        <v>0</v>
      </c>
      <c r="AC415" s="31">
        <f>Migrationsartikel!P413</f>
        <v>0</v>
      </c>
      <c r="AD415">
        <f>Migrationsartikel!I413</f>
        <v>0</v>
      </c>
      <c r="AE415">
        <f>Migrationsartikel!M413</f>
        <v>0</v>
      </c>
      <c r="AF415">
        <f>Migrationsartikel!Q413</f>
        <v>0</v>
      </c>
      <c r="AG415" s="45">
        <f>Migrationsartikel!R413</f>
        <v>0</v>
      </c>
      <c r="AH415" s="46">
        <f>Migrationsartikel!T413</f>
        <v>0</v>
      </c>
      <c r="AI415" s="46" t="str">
        <f t="shared" si="18"/>
        <v>n/a</v>
      </c>
      <c r="AJ415" s="46" t="s">
        <v>176</v>
      </c>
      <c r="AK415">
        <f>Migrationsartikel!S413</f>
        <v>0</v>
      </c>
      <c r="AL415">
        <f>Migrationsartikel!S413</f>
        <v>0</v>
      </c>
      <c r="AM415">
        <f>Migrationsartikel!S413</f>
        <v>0</v>
      </c>
      <c r="AN415">
        <f>Migrationsartikel!U413</f>
        <v>0</v>
      </c>
      <c r="AO415" t="str">
        <f t="shared" si="19"/>
        <v>n/a</v>
      </c>
      <c r="AP415" t="str">
        <f t="shared" si="20"/>
        <v>n/a</v>
      </c>
      <c r="AQ415" s="31" t="s">
        <v>195</v>
      </c>
      <c r="AR415" s="47"/>
      <c r="AS415" s="47"/>
      <c r="AT415" s="31" t="s">
        <v>208</v>
      </c>
      <c r="AU415" s="47"/>
      <c r="AV415" s="47"/>
      <c r="AW415" t="b">
        <f>IF(Migrationsartikel!AB413="ja","true",FALSE)</f>
        <v>0</v>
      </c>
      <c r="AX415" t="b">
        <f>IF(Migrationsartikel!AC413="ja","true",FALSE)</f>
        <v>0</v>
      </c>
      <c r="AY415" t="b">
        <f>IF(Migrationsartikel!AD413="ja","true",FALSE)</f>
        <v>0</v>
      </c>
      <c r="AZ415" t="b">
        <f>IF(Migrationsartikel!AE413="ja","true",FALSE)</f>
        <v>0</v>
      </c>
      <c r="BA415" t="str">
        <f>IF(Migrationsartikel!AF413="ja","Denner Partner","")</f>
        <v/>
      </c>
      <c r="BB415" t="str">
        <f>IF(Migrationsartikel!AG413="ja","true","false")</f>
        <v>false</v>
      </c>
      <c r="BC415" t="s">
        <v>1923</v>
      </c>
      <c r="BD415" s="31" t="s">
        <v>235</v>
      </c>
      <c r="BE415" s="31" t="s">
        <v>233</v>
      </c>
    </row>
    <row r="416" spans="2:57" ht="21.75" customHeight="1" x14ac:dyDescent="0.45">
      <c r="B416" t="s">
        <v>115</v>
      </c>
      <c r="E416" s="31" t="s">
        <v>1842</v>
      </c>
      <c r="F416" t="str">
        <f>"Warengruppe&gt;&gt;"&amp;Migrationsartikel!V414&amp;"&gt;&gt;"&amp;Migrationsartikel!W414&amp;"&gt;&gt;"&amp;Migrationsartikel!X414</f>
        <v>Warengruppe&gt;&gt;&gt;&gt;&gt;&gt;</v>
      </c>
      <c r="J416" s="31" t="s">
        <v>125</v>
      </c>
      <c r="M416" s="31" t="s">
        <v>137</v>
      </c>
      <c r="P416" s="31">
        <f>Migrationsartikel!B414</f>
        <v>0</v>
      </c>
      <c r="U416">
        <f>Migrationsartikel!F414</f>
        <v>0</v>
      </c>
      <c r="V416">
        <f>Migrationsartikel!J414</f>
        <v>0</v>
      </c>
      <c r="W416">
        <f>Migrationsartikel!N414</f>
        <v>0</v>
      </c>
      <c r="X416">
        <f>Migrationsartikel!G414</f>
        <v>0</v>
      </c>
      <c r="Y416">
        <f>Migrationsartikel!K414</f>
        <v>0</v>
      </c>
      <c r="Z416">
        <f>Migrationsartikel!O414</f>
        <v>0</v>
      </c>
      <c r="AA416" s="31">
        <f>Migrationsartikel!H414</f>
        <v>0</v>
      </c>
      <c r="AB416" s="31">
        <f>Migrationsartikel!L414</f>
        <v>0</v>
      </c>
      <c r="AC416" s="31">
        <f>Migrationsartikel!P414</f>
        <v>0</v>
      </c>
      <c r="AD416">
        <f>Migrationsartikel!I414</f>
        <v>0</v>
      </c>
      <c r="AE416">
        <f>Migrationsartikel!M414</f>
        <v>0</v>
      </c>
      <c r="AF416">
        <f>Migrationsartikel!Q414</f>
        <v>0</v>
      </c>
      <c r="AG416" s="45">
        <f>Migrationsartikel!R414</f>
        <v>0</v>
      </c>
      <c r="AH416" s="46">
        <f>Migrationsartikel!T414</f>
        <v>0</v>
      </c>
      <c r="AI416" s="46" t="str">
        <f t="shared" si="18"/>
        <v>n/a</v>
      </c>
      <c r="AJ416" s="46" t="s">
        <v>176</v>
      </c>
      <c r="AK416">
        <f>Migrationsartikel!S414</f>
        <v>0</v>
      </c>
      <c r="AL416">
        <f>Migrationsartikel!S414</f>
        <v>0</v>
      </c>
      <c r="AM416">
        <f>Migrationsartikel!S414</f>
        <v>0</v>
      </c>
      <c r="AN416">
        <f>Migrationsartikel!U414</f>
        <v>0</v>
      </c>
      <c r="AO416" t="str">
        <f t="shared" si="19"/>
        <v>n/a</v>
      </c>
      <c r="AP416" t="str">
        <f t="shared" si="20"/>
        <v>n/a</v>
      </c>
      <c r="AQ416" s="31" t="s">
        <v>195</v>
      </c>
      <c r="AR416" s="47"/>
      <c r="AS416" s="47"/>
      <c r="AT416" s="31" t="s">
        <v>208</v>
      </c>
      <c r="AU416" s="47"/>
      <c r="AV416" s="47"/>
      <c r="AW416" t="b">
        <f>IF(Migrationsartikel!AB414="ja","true",FALSE)</f>
        <v>0</v>
      </c>
      <c r="AX416" t="b">
        <f>IF(Migrationsartikel!AC414="ja","true",FALSE)</f>
        <v>0</v>
      </c>
      <c r="AY416" t="b">
        <f>IF(Migrationsartikel!AD414="ja","true",FALSE)</f>
        <v>0</v>
      </c>
      <c r="AZ416" t="b">
        <f>IF(Migrationsartikel!AE414="ja","true",FALSE)</f>
        <v>0</v>
      </c>
      <c r="BA416" t="str">
        <f>IF(Migrationsartikel!AF414="ja","Denner Partner","")</f>
        <v/>
      </c>
      <c r="BB416" t="str">
        <f>IF(Migrationsartikel!AG414="ja","true","false")</f>
        <v>false</v>
      </c>
      <c r="BC416" t="s">
        <v>1923</v>
      </c>
      <c r="BD416" s="31" t="s">
        <v>235</v>
      </c>
      <c r="BE416" s="31" t="s">
        <v>233</v>
      </c>
    </row>
    <row r="417" spans="2:57" ht="21.75" customHeight="1" x14ac:dyDescent="0.45">
      <c r="B417" t="s">
        <v>115</v>
      </c>
      <c r="E417" s="31" t="s">
        <v>1843</v>
      </c>
      <c r="F417" t="str">
        <f>"Warengruppe&gt;&gt;"&amp;Migrationsartikel!V415&amp;"&gt;&gt;"&amp;Migrationsartikel!W415&amp;"&gt;&gt;"&amp;Migrationsartikel!X415</f>
        <v>Warengruppe&gt;&gt;&gt;&gt;&gt;&gt;</v>
      </c>
      <c r="J417" s="31" t="s">
        <v>125</v>
      </c>
      <c r="M417" s="31" t="s">
        <v>137</v>
      </c>
      <c r="P417" s="31">
        <f>Migrationsartikel!B415</f>
        <v>0</v>
      </c>
      <c r="U417">
        <f>Migrationsartikel!F415</f>
        <v>0</v>
      </c>
      <c r="V417">
        <f>Migrationsartikel!J415</f>
        <v>0</v>
      </c>
      <c r="W417">
        <f>Migrationsartikel!N415</f>
        <v>0</v>
      </c>
      <c r="X417">
        <f>Migrationsartikel!G415</f>
        <v>0</v>
      </c>
      <c r="Y417">
        <f>Migrationsartikel!K415</f>
        <v>0</v>
      </c>
      <c r="Z417">
        <f>Migrationsartikel!O415</f>
        <v>0</v>
      </c>
      <c r="AA417" s="31">
        <f>Migrationsartikel!H415</f>
        <v>0</v>
      </c>
      <c r="AB417" s="31">
        <f>Migrationsartikel!L415</f>
        <v>0</v>
      </c>
      <c r="AC417" s="31">
        <f>Migrationsartikel!P415</f>
        <v>0</v>
      </c>
      <c r="AD417">
        <f>Migrationsartikel!I415</f>
        <v>0</v>
      </c>
      <c r="AE417">
        <f>Migrationsartikel!M415</f>
        <v>0</v>
      </c>
      <c r="AF417">
        <f>Migrationsartikel!Q415</f>
        <v>0</v>
      </c>
      <c r="AG417" s="45">
        <f>Migrationsartikel!R415</f>
        <v>0</v>
      </c>
      <c r="AH417" s="46">
        <f>Migrationsartikel!T415</f>
        <v>0</v>
      </c>
      <c r="AI417" s="46" t="str">
        <f t="shared" si="18"/>
        <v>n/a</v>
      </c>
      <c r="AJ417" s="46" t="s">
        <v>176</v>
      </c>
      <c r="AK417">
        <f>Migrationsartikel!S415</f>
        <v>0</v>
      </c>
      <c r="AL417">
        <f>Migrationsartikel!S415</f>
        <v>0</v>
      </c>
      <c r="AM417">
        <f>Migrationsartikel!S415</f>
        <v>0</v>
      </c>
      <c r="AN417">
        <f>Migrationsartikel!U415</f>
        <v>0</v>
      </c>
      <c r="AO417" t="str">
        <f t="shared" si="19"/>
        <v>n/a</v>
      </c>
      <c r="AP417" t="str">
        <f t="shared" si="20"/>
        <v>n/a</v>
      </c>
      <c r="AQ417" s="31" t="s">
        <v>195</v>
      </c>
      <c r="AR417" s="47"/>
      <c r="AS417" s="47"/>
      <c r="AT417" s="31" t="s">
        <v>208</v>
      </c>
      <c r="AU417" s="47"/>
      <c r="AV417" s="47"/>
      <c r="AW417" t="b">
        <f>IF(Migrationsartikel!AB415="ja","true",FALSE)</f>
        <v>0</v>
      </c>
      <c r="AX417" t="b">
        <f>IF(Migrationsartikel!AC415="ja","true",FALSE)</f>
        <v>0</v>
      </c>
      <c r="AY417" t="b">
        <f>IF(Migrationsartikel!AD415="ja","true",FALSE)</f>
        <v>0</v>
      </c>
      <c r="AZ417" t="b">
        <f>IF(Migrationsartikel!AE415="ja","true",FALSE)</f>
        <v>0</v>
      </c>
      <c r="BA417" t="str">
        <f>IF(Migrationsartikel!AF415="ja","Denner Partner","")</f>
        <v/>
      </c>
      <c r="BB417" t="str">
        <f>IF(Migrationsartikel!AG415="ja","true","false")</f>
        <v>false</v>
      </c>
      <c r="BC417" t="s">
        <v>1923</v>
      </c>
      <c r="BD417" s="31" t="s">
        <v>235</v>
      </c>
      <c r="BE417" s="31" t="s">
        <v>233</v>
      </c>
    </row>
    <row r="418" spans="2:57" ht="21.75" customHeight="1" x14ac:dyDescent="0.45">
      <c r="B418" t="s">
        <v>115</v>
      </c>
      <c r="E418" s="31" t="s">
        <v>1844</v>
      </c>
      <c r="F418" t="str">
        <f>"Warengruppe&gt;&gt;"&amp;Migrationsartikel!V416&amp;"&gt;&gt;"&amp;Migrationsartikel!W416&amp;"&gt;&gt;"&amp;Migrationsartikel!X416</f>
        <v>Warengruppe&gt;&gt;&gt;&gt;&gt;&gt;</v>
      </c>
      <c r="J418" s="31" t="s">
        <v>125</v>
      </c>
      <c r="M418" s="31" t="s">
        <v>137</v>
      </c>
      <c r="P418" s="31">
        <f>Migrationsartikel!B416</f>
        <v>0</v>
      </c>
      <c r="U418">
        <f>Migrationsartikel!F416</f>
        <v>0</v>
      </c>
      <c r="V418">
        <f>Migrationsartikel!J416</f>
        <v>0</v>
      </c>
      <c r="W418">
        <f>Migrationsartikel!N416</f>
        <v>0</v>
      </c>
      <c r="X418">
        <f>Migrationsartikel!G416</f>
        <v>0</v>
      </c>
      <c r="Y418">
        <f>Migrationsartikel!K416</f>
        <v>0</v>
      </c>
      <c r="Z418">
        <f>Migrationsartikel!O416</f>
        <v>0</v>
      </c>
      <c r="AA418" s="31">
        <f>Migrationsartikel!H416</f>
        <v>0</v>
      </c>
      <c r="AB418" s="31">
        <f>Migrationsartikel!L416</f>
        <v>0</v>
      </c>
      <c r="AC418" s="31">
        <f>Migrationsartikel!P416</f>
        <v>0</v>
      </c>
      <c r="AD418">
        <f>Migrationsartikel!I416</f>
        <v>0</v>
      </c>
      <c r="AE418">
        <f>Migrationsartikel!M416</f>
        <v>0</v>
      </c>
      <c r="AF418">
        <f>Migrationsartikel!Q416</f>
        <v>0</v>
      </c>
      <c r="AG418" s="45">
        <f>Migrationsartikel!R416</f>
        <v>0</v>
      </c>
      <c r="AH418" s="46">
        <f>Migrationsartikel!T416</f>
        <v>0</v>
      </c>
      <c r="AI418" s="46" t="str">
        <f t="shared" si="18"/>
        <v>n/a</v>
      </c>
      <c r="AJ418" s="46" t="s">
        <v>176</v>
      </c>
      <c r="AK418">
        <f>Migrationsartikel!S416</f>
        <v>0</v>
      </c>
      <c r="AL418">
        <f>Migrationsartikel!S416</f>
        <v>0</v>
      </c>
      <c r="AM418">
        <f>Migrationsartikel!S416</f>
        <v>0</v>
      </c>
      <c r="AN418">
        <f>Migrationsartikel!U416</f>
        <v>0</v>
      </c>
      <c r="AO418" t="str">
        <f t="shared" si="19"/>
        <v>n/a</v>
      </c>
      <c r="AP418" t="str">
        <f t="shared" si="20"/>
        <v>n/a</v>
      </c>
      <c r="AQ418" s="31" t="s">
        <v>195</v>
      </c>
      <c r="AR418" s="47"/>
      <c r="AS418" s="47"/>
      <c r="AT418" s="31" t="s">
        <v>208</v>
      </c>
      <c r="AU418" s="47"/>
      <c r="AV418" s="47"/>
      <c r="AW418" t="b">
        <f>IF(Migrationsartikel!AB416="ja","true",FALSE)</f>
        <v>0</v>
      </c>
      <c r="AX418" t="b">
        <f>IF(Migrationsartikel!AC416="ja","true",FALSE)</f>
        <v>0</v>
      </c>
      <c r="AY418" t="b">
        <f>IF(Migrationsartikel!AD416="ja","true",FALSE)</f>
        <v>0</v>
      </c>
      <c r="AZ418" t="b">
        <f>IF(Migrationsartikel!AE416="ja","true",FALSE)</f>
        <v>0</v>
      </c>
      <c r="BA418" t="str">
        <f>IF(Migrationsartikel!AF416="ja","Denner Partner","")</f>
        <v/>
      </c>
      <c r="BB418" t="str">
        <f>IF(Migrationsartikel!AG416="ja","true","false")</f>
        <v>false</v>
      </c>
      <c r="BC418" t="s">
        <v>1923</v>
      </c>
      <c r="BD418" s="31" t="s">
        <v>235</v>
      </c>
      <c r="BE418" s="31" t="s">
        <v>233</v>
      </c>
    </row>
    <row r="419" spans="2:57" ht="21.75" customHeight="1" x14ac:dyDescent="0.45">
      <c r="B419" t="s">
        <v>115</v>
      </c>
      <c r="E419" s="31" t="s">
        <v>1845</v>
      </c>
      <c r="F419" t="str">
        <f>"Warengruppe&gt;&gt;"&amp;Migrationsartikel!V417&amp;"&gt;&gt;"&amp;Migrationsartikel!W417&amp;"&gt;&gt;"&amp;Migrationsartikel!X417</f>
        <v>Warengruppe&gt;&gt;&gt;&gt;&gt;&gt;</v>
      </c>
      <c r="J419" s="31" t="s">
        <v>125</v>
      </c>
      <c r="M419" s="31" t="s">
        <v>137</v>
      </c>
      <c r="P419" s="31">
        <f>Migrationsartikel!B417</f>
        <v>0</v>
      </c>
      <c r="U419">
        <f>Migrationsartikel!F417</f>
        <v>0</v>
      </c>
      <c r="V419">
        <f>Migrationsartikel!J417</f>
        <v>0</v>
      </c>
      <c r="W419">
        <f>Migrationsartikel!N417</f>
        <v>0</v>
      </c>
      <c r="X419">
        <f>Migrationsartikel!G417</f>
        <v>0</v>
      </c>
      <c r="Y419">
        <f>Migrationsartikel!K417</f>
        <v>0</v>
      </c>
      <c r="Z419">
        <f>Migrationsartikel!O417</f>
        <v>0</v>
      </c>
      <c r="AA419" s="31">
        <f>Migrationsartikel!H417</f>
        <v>0</v>
      </c>
      <c r="AB419" s="31">
        <f>Migrationsartikel!L417</f>
        <v>0</v>
      </c>
      <c r="AC419" s="31">
        <f>Migrationsartikel!P417</f>
        <v>0</v>
      </c>
      <c r="AD419">
        <f>Migrationsartikel!I417</f>
        <v>0</v>
      </c>
      <c r="AE419">
        <f>Migrationsartikel!M417</f>
        <v>0</v>
      </c>
      <c r="AF419">
        <f>Migrationsartikel!Q417</f>
        <v>0</v>
      </c>
      <c r="AG419" s="45">
        <f>Migrationsartikel!R417</f>
        <v>0</v>
      </c>
      <c r="AH419" s="46">
        <f>Migrationsartikel!T417</f>
        <v>0</v>
      </c>
      <c r="AI419" s="46" t="str">
        <f t="shared" si="18"/>
        <v>n/a</v>
      </c>
      <c r="AJ419" s="46" t="s">
        <v>176</v>
      </c>
      <c r="AK419">
        <f>Migrationsartikel!S417</f>
        <v>0</v>
      </c>
      <c r="AL419">
        <f>Migrationsartikel!S417</f>
        <v>0</v>
      </c>
      <c r="AM419">
        <f>Migrationsartikel!S417</f>
        <v>0</v>
      </c>
      <c r="AN419">
        <f>Migrationsartikel!U417</f>
        <v>0</v>
      </c>
      <c r="AO419" t="str">
        <f t="shared" si="19"/>
        <v>n/a</v>
      </c>
      <c r="AP419" t="str">
        <f t="shared" si="20"/>
        <v>n/a</v>
      </c>
      <c r="AQ419" s="31" t="s">
        <v>195</v>
      </c>
      <c r="AR419" s="47"/>
      <c r="AS419" s="47"/>
      <c r="AT419" s="31" t="s">
        <v>208</v>
      </c>
      <c r="AU419" s="47"/>
      <c r="AV419" s="47"/>
      <c r="AW419" t="b">
        <f>IF(Migrationsartikel!AB417="ja","true",FALSE)</f>
        <v>0</v>
      </c>
      <c r="AX419" t="b">
        <f>IF(Migrationsartikel!AC417="ja","true",FALSE)</f>
        <v>0</v>
      </c>
      <c r="AY419" t="b">
        <f>IF(Migrationsartikel!AD417="ja","true",FALSE)</f>
        <v>0</v>
      </c>
      <c r="AZ419" t="b">
        <f>IF(Migrationsartikel!AE417="ja","true",FALSE)</f>
        <v>0</v>
      </c>
      <c r="BA419" t="str">
        <f>IF(Migrationsartikel!AF417="ja","Denner Partner","")</f>
        <v/>
      </c>
      <c r="BB419" t="str">
        <f>IF(Migrationsartikel!AG417="ja","true","false")</f>
        <v>false</v>
      </c>
      <c r="BC419" t="s">
        <v>1923</v>
      </c>
      <c r="BD419" s="31" t="s">
        <v>235</v>
      </c>
      <c r="BE419" s="31" t="s">
        <v>233</v>
      </c>
    </row>
    <row r="420" spans="2:57" ht="21.75" customHeight="1" x14ac:dyDescent="0.45">
      <c r="B420" t="s">
        <v>115</v>
      </c>
      <c r="E420" s="31" t="s">
        <v>1846</v>
      </c>
      <c r="F420" t="str">
        <f>"Warengruppe&gt;&gt;"&amp;Migrationsartikel!V418&amp;"&gt;&gt;"&amp;Migrationsartikel!W418&amp;"&gt;&gt;"&amp;Migrationsartikel!X418</f>
        <v>Warengruppe&gt;&gt;&gt;&gt;&gt;&gt;</v>
      </c>
      <c r="J420" s="31" t="s">
        <v>125</v>
      </c>
      <c r="M420" s="31" t="s">
        <v>137</v>
      </c>
      <c r="P420" s="31">
        <f>Migrationsartikel!B418</f>
        <v>0</v>
      </c>
      <c r="U420">
        <f>Migrationsartikel!F418</f>
        <v>0</v>
      </c>
      <c r="V420">
        <f>Migrationsartikel!J418</f>
        <v>0</v>
      </c>
      <c r="W420">
        <f>Migrationsartikel!N418</f>
        <v>0</v>
      </c>
      <c r="X420">
        <f>Migrationsartikel!G418</f>
        <v>0</v>
      </c>
      <c r="Y420">
        <f>Migrationsartikel!K418</f>
        <v>0</v>
      </c>
      <c r="Z420">
        <f>Migrationsartikel!O418</f>
        <v>0</v>
      </c>
      <c r="AA420" s="31">
        <f>Migrationsartikel!H418</f>
        <v>0</v>
      </c>
      <c r="AB420" s="31">
        <f>Migrationsartikel!L418</f>
        <v>0</v>
      </c>
      <c r="AC420" s="31">
        <f>Migrationsartikel!P418</f>
        <v>0</v>
      </c>
      <c r="AD420">
        <f>Migrationsartikel!I418</f>
        <v>0</v>
      </c>
      <c r="AE420">
        <f>Migrationsartikel!M418</f>
        <v>0</v>
      </c>
      <c r="AF420">
        <f>Migrationsartikel!Q418</f>
        <v>0</v>
      </c>
      <c r="AG420" s="45">
        <f>Migrationsartikel!R418</f>
        <v>0</v>
      </c>
      <c r="AH420" s="46">
        <f>Migrationsartikel!T418</f>
        <v>0</v>
      </c>
      <c r="AI420" s="46" t="str">
        <f t="shared" si="18"/>
        <v>n/a</v>
      </c>
      <c r="AJ420" s="46" t="s">
        <v>176</v>
      </c>
      <c r="AK420">
        <f>Migrationsartikel!S418</f>
        <v>0</v>
      </c>
      <c r="AL420">
        <f>Migrationsartikel!S418</f>
        <v>0</v>
      </c>
      <c r="AM420">
        <f>Migrationsartikel!S418</f>
        <v>0</v>
      </c>
      <c r="AN420">
        <f>Migrationsartikel!U418</f>
        <v>0</v>
      </c>
      <c r="AO420" t="str">
        <f t="shared" si="19"/>
        <v>n/a</v>
      </c>
      <c r="AP420" t="str">
        <f t="shared" si="20"/>
        <v>n/a</v>
      </c>
      <c r="AQ420" s="31" t="s">
        <v>195</v>
      </c>
      <c r="AR420" s="47"/>
      <c r="AS420" s="47"/>
      <c r="AT420" s="31" t="s">
        <v>208</v>
      </c>
      <c r="AU420" s="47"/>
      <c r="AV420" s="47"/>
      <c r="AW420" t="b">
        <f>IF(Migrationsartikel!AB418="ja","true",FALSE)</f>
        <v>0</v>
      </c>
      <c r="AX420" t="b">
        <f>IF(Migrationsartikel!AC418="ja","true",FALSE)</f>
        <v>0</v>
      </c>
      <c r="AY420" t="b">
        <f>IF(Migrationsartikel!AD418="ja","true",FALSE)</f>
        <v>0</v>
      </c>
      <c r="AZ420" t="b">
        <f>IF(Migrationsartikel!AE418="ja","true",FALSE)</f>
        <v>0</v>
      </c>
      <c r="BA420" t="str">
        <f>IF(Migrationsartikel!AF418="ja","Denner Partner","")</f>
        <v/>
      </c>
      <c r="BB420" t="str">
        <f>IF(Migrationsartikel!AG418="ja","true","false")</f>
        <v>false</v>
      </c>
      <c r="BC420" t="s">
        <v>1923</v>
      </c>
      <c r="BD420" s="31" t="s">
        <v>235</v>
      </c>
      <c r="BE420" s="31" t="s">
        <v>233</v>
      </c>
    </row>
    <row r="421" spans="2:57" ht="21.75" customHeight="1" x14ac:dyDescent="0.45">
      <c r="B421" t="s">
        <v>115</v>
      </c>
      <c r="E421" s="31" t="s">
        <v>1847</v>
      </c>
      <c r="F421" t="str">
        <f>"Warengruppe&gt;&gt;"&amp;Migrationsartikel!V419&amp;"&gt;&gt;"&amp;Migrationsartikel!W419&amp;"&gt;&gt;"&amp;Migrationsartikel!X419</f>
        <v>Warengruppe&gt;&gt;&gt;&gt;&gt;&gt;</v>
      </c>
      <c r="J421" s="31" t="s">
        <v>125</v>
      </c>
      <c r="M421" s="31" t="s">
        <v>137</v>
      </c>
      <c r="P421" s="31">
        <f>Migrationsartikel!B419</f>
        <v>0</v>
      </c>
      <c r="U421">
        <f>Migrationsartikel!F419</f>
        <v>0</v>
      </c>
      <c r="V421">
        <f>Migrationsartikel!J419</f>
        <v>0</v>
      </c>
      <c r="W421">
        <f>Migrationsartikel!N419</f>
        <v>0</v>
      </c>
      <c r="X421">
        <f>Migrationsartikel!G419</f>
        <v>0</v>
      </c>
      <c r="Y421">
        <f>Migrationsartikel!K419</f>
        <v>0</v>
      </c>
      <c r="Z421">
        <f>Migrationsartikel!O419</f>
        <v>0</v>
      </c>
      <c r="AA421" s="31">
        <f>Migrationsartikel!H419</f>
        <v>0</v>
      </c>
      <c r="AB421" s="31">
        <f>Migrationsartikel!L419</f>
        <v>0</v>
      </c>
      <c r="AC421" s="31">
        <f>Migrationsartikel!P419</f>
        <v>0</v>
      </c>
      <c r="AD421">
        <f>Migrationsartikel!I419</f>
        <v>0</v>
      </c>
      <c r="AE421">
        <f>Migrationsartikel!M419</f>
        <v>0</v>
      </c>
      <c r="AF421">
        <f>Migrationsartikel!Q419</f>
        <v>0</v>
      </c>
      <c r="AG421" s="45">
        <f>Migrationsartikel!R419</f>
        <v>0</v>
      </c>
      <c r="AH421" s="46">
        <f>Migrationsartikel!T419</f>
        <v>0</v>
      </c>
      <c r="AI421" s="46" t="str">
        <f t="shared" si="18"/>
        <v>n/a</v>
      </c>
      <c r="AJ421" s="46" t="s">
        <v>176</v>
      </c>
      <c r="AK421">
        <f>Migrationsartikel!S419</f>
        <v>0</v>
      </c>
      <c r="AL421">
        <f>Migrationsartikel!S419</f>
        <v>0</v>
      </c>
      <c r="AM421">
        <f>Migrationsartikel!S419</f>
        <v>0</v>
      </c>
      <c r="AN421">
        <f>Migrationsartikel!U419</f>
        <v>0</v>
      </c>
      <c r="AO421" t="str">
        <f t="shared" si="19"/>
        <v>n/a</v>
      </c>
      <c r="AP421" t="str">
        <f t="shared" si="20"/>
        <v>n/a</v>
      </c>
      <c r="AQ421" s="31" t="s">
        <v>195</v>
      </c>
      <c r="AR421" s="47"/>
      <c r="AS421" s="47"/>
      <c r="AT421" s="31" t="s">
        <v>208</v>
      </c>
      <c r="AU421" s="47"/>
      <c r="AV421" s="47"/>
      <c r="AW421" t="b">
        <f>IF(Migrationsartikel!AB419="ja","true",FALSE)</f>
        <v>0</v>
      </c>
      <c r="AX421" t="b">
        <f>IF(Migrationsartikel!AC419="ja","true",FALSE)</f>
        <v>0</v>
      </c>
      <c r="AY421" t="b">
        <f>IF(Migrationsartikel!AD419="ja","true",FALSE)</f>
        <v>0</v>
      </c>
      <c r="AZ421" t="b">
        <f>IF(Migrationsartikel!AE419="ja","true",FALSE)</f>
        <v>0</v>
      </c>
      <c r="BA421" t="str">
        <f>IF(Migrationsartikel!AF419="ja","Denner Partner","")</f>
        <v/>
      </c>
      <c r="BB421" t="str">
        <f>IF(Migrationsartikel!AG419="ja","true","false")</f>
        <v>false</v>
      </c>
      <c r="BC421" t="s">
        <v>1923</v>
      </c>
      <c r="BD421" s="31" t="s">
        <v>235</v>
      </c>
      <c r="BE421" s="31" t="s">
        <v>233</v>
      </c>
    </row>
    <row r="422" spans="2:57" ht="21.75" customHeight="1" x14ac:dyDescent="0.45">
      <c r="B422" t="s">
        <v>115</v>
      </c>
      <c r="E422" s="31" t="s">
        <v>1848</v>
      </c>
      <c r="F422" t="str">
        <f>"Warengruppe&gt;&gt;"&amp;Migrationsartikel!V420&amp;"&gt;&gt;"&amp;Migrationsartikel!W420&amp;"&gt;&gt;"&amp;Migrationsartikel!X420</f>
        <v>Warengruppe&gt;&gt;&gt;&gt;&gt;&gt;</v>
      </c>
      <c r="J422" s="31" t="s">
        <v>125</v>
      </c>
      <c r="M422" s="31" t="s">
        <v>137</v>
      </c>
      <c r="P422" s="31">
        <f>Migrationsartikel!B420</f>
        <v>0</v>
      </c>
      <c r="U422">
        <f>Migrationsartikel!F420</f>
        <v>0</v>
      </c>
      <c r="V422">
        <f>Migrationsartikel!J420</f>
        <v>0</v>
      </c>
      <c r="W422">
        <f>Migrationsartikel!N420</f>
        <v>0</v>
      </c>
      <c r="X422">
        <f>Migrationsartikel!G420</f>
        <v>0</v>
      </c>
      <c r="Y422">
        <f>Migrationsartikel!K420</f>
        <v>0</v>
      </c>
      <c r="Z422">
        <f>Migrationsartikel!O420</f>
        <v>0</v>
      </c>
      <c r="AA422" s="31">
        <f>Migrationsartikel!H420</f>
        <v>0</v>
      </c>
      <c r="AB422" s="31">
        <f>Migrationsartikel!L420</f>
        <v>0</v>
      </c>
      <c r="AC422" s="31">
        <f>Migrationsartikel!P420</f>
        <v>0</v>
      </c>
      <c r="AD422">
        <f>Migrationsartikel!I420</f>
        <v>0</v>
      </c>
      <c r="AE422">
        <f>Migrationsartikel!M420</f>
        <v>0</v>
      </c>
      <c r="AF422">
        <f>Migrationsartikel!Q420</f>
        <v>0</v>
      </c>
      <c r="AG422" s="45">
        <f>Migrationsartikel!R420</f>
        <v>0</v>
      </c>
      <c r="AH422" s="46">
        <f>Migrationsartikel!T420</f>
        <v>0</v>
      </c>
      <c r="AI422" s="46" t="str">
        <f t="shared" si="18"/>
        <v>n/a</v>
      </c>
      <c r="AJ422" s="46" t="s">
        <v>176</v>
      </c>
      <c r="AK422">
        <f>Migrationsartikel!S420</f>
        <v>0</v>
      </c>
      <c r="AL422">
        <f>Migrationsartikel!S420</f>
        <v>0</v>
      </c>
      <c r="AM422">
        <f>Migrationsartikel!S420</f>
        <v>0</v>
      </c>
      <c r="AN422">
        <f>Migrationsartikel!U420</f>
        <v>0</v>
      </c>
      <c r="AO422" t="str">
        <f t="shared" si="19"/>
        <v>n/a</v>
      </c>
      <c r="AP422" t="str">
        <f t="shared" si="20"/>
        <v>n/a</v>
      </c>
      <c r="AQ422" s="31" t="s">
        <v>195</v>
      </c>
      <c r="AR422" s="47"/>
      <c r="AS422" s="47"/>
      <c r="AT422" s="31" t="s">
        <v>208</v>
      </c>
      <c r="AU422" s="47"/>
      <c r="AV422" s="47"/>
      <c r="AW422" t="b">
        <f>IF(Migrationsartikel!AB420="ja","true",FALSE)</f>
        <v>0</v>
      </c>
      <c r="AX422" t="b">
        <f>IF(Migrationsartikel!AC420="ja","true",FALSE)</f>
        <v>0</v>
      </c>
      <c r="AY422" t="b">
        <f>IF(Migrationsartikel!AD420="ja","true",FALSE)</f>
        <v>0</v>
      </c>
      <c r="AZ422" t="b">
        <f>IF(Migrationsartikel!AE420="ja","true",FALSE)</f>
        <v>0</v>
      </c>
      <c r="BA422" t="str">
        <f>IF(Migrationsartikel!AF420="ja","Denner Partner","")</f>
        <v/>
      </c>
      <c r="BB422" t="str">
        <f>IF(Migrationsartikel!AG420="ja","true","false")</f>
        <v>false</v>
      </c>
      <c r="BC422" t="s">
        <v>1923</v>
      </c>
      <c r="BD422" s="31" t="s">
        <v>235</v>
      </c>
      <c r="BE422" s="31" t="s">
        <v>233</v>
      </c>
    </row>
    <row r="423" spans="2:57" ht="21.75" customHeight="1" x14ac:dyDescent="0.45">
      <c r="B423" t="s">
        <v>115</v>
      </c>
      <c r="E423" s="31" t="s">
        <v>1849</v>
      </c>
      <c r="F423" t="str">
        <f>"Warengruppe&gt;&gt;"&amp;Migrationsartikel!V421&amp;"&gt;&gt;"&amp;Migrationsartikel!W421&amp;"&gt;&gt;"&amp;Migrationsartikel!X421</f>
        <v>Warengruppe&gt;&gt;&gt;&gt;&gt;&gt;</v>
      </c>
      <c r="J423" s="31" t="s">
        <v>125</v>
      </c>
      <c r="M423" s="31" t="s">
        <v>137</v>
      </c>
      <c r="P423" s="31">
        <f>Migrationsartikel!B421</f>
        <v>0</v>
      </c>
      <c r="U423">
        <f>Migrationsartikel!F421</f>
        <v>0</v>
      </c>
      <c r="V423">
        <f>Migrationsartikel!J421</f>
        <v>0</v>
      </c>
      <c r="W423">
        <f>Migrationsartikel!N421</f>
        <v>0</v>
      </c>
      <c r="X423">
        <f>Migrationsartikel!G421</f>
        <v>0</v>
      </c>
      <c r="Y423">
        <f>Migrationsartikel!K421</f>
        <v>0</v>
      </c>
      <c r="Z423">
        <f>Migrationsartikel!O421</f>
        <v>0</v>
      </c>
      <c r="AA423" s="31">
        <f>Migrationsartikel!H421</f>
        <v>0</v>
      </c>
      <c r="AB423" s="31">
        <f>Migrationsartikel!L421</f>
        <v>0</v>
      </c>
      <c r="AC423" s="31">
        <f>Migrationsartikel!P421</f>
        <v>0</v>
      </c>
      <c r="AD423">
        <f>Migrationsartikel!I421</f>
        <v>0</v>
      </c>
      <c r="AE423">
        <f>Migrationsartikel!M421</f>
        <v>0</v>
      </c>
      <c r="AF423">
        <f>Migrationsartikel!Q421</f>
        <v>0</v>
      </c>
      <c r="AG423" s="45">
        <f>Migrationsartikel!R421</f>
        <v>0</v>
      </c>
      <c r="AH423" s="46">
        <f>Migrationsartikel!T421</f>
        <v>0</v>
      </c>
      <c r="AI423" s="46" t="str">
        <f t="shared" si="18"/>
        <v>n/a</v>
      </c>
      <c r="AJ423" s="46" t="s">
        <v>176</v>
      </c>
      <c r="AK423">
        <f>Migrationsartikel!S421</f>
        <v>0</v>
      </c>
      <c r="AL423">
        <f>Migrationsartikel!S421</f>
        <v>0</v>
      </c>
      <c r="AM423">
        <f>Migrationsartikel!S421</f>
        <v>0</v>
      </c>
      <c r="AN423">
        <f>Migrationsartikel!U421</f>
        <v>0</v>
      </c>
      <c r="AO423" t="str">
        <f t="shared" si="19"/>
        <v>n/a</v>
      </c>
      <c r="AP423" t="str">
        <f t="shared" si="20"/>
        <v>n/a</v>
      </c>
      <c r="AQ423" s="31" t="s">
        <v>195</v>
      </c>
      <c r="AR423" s="47"/>
      <c r="AS423" s="47"/>
      <c r="AT423" s="31" t="s">
        <v>208</v>
      </c>
      <c r="AU423" s="47"/>
      <c r="AV423" s="47"/>
      <c r="AW423" t="b">
        <f>IF(Migrationsartikel!AB421="ja","true",FALSE)</f>
        <v>0</v>
      </c>
      <c r="AX423" t="b">
        <f>IF(Migrationsartikel!AC421="ja","true",FALSE)</f>
        <v>0</v>
      </c>
      <c r="AY423" t="b">
        <f>IF(Migrationsartikel!AD421="ja","true",FALSE)</f>
        <v>0</v>
      </c>
      <c r="AZ423" t="b">
        <f>IF(Migrationsartikel!AE421="ja","true",FALSE)</f>
        <v>0</v>
      </c>
      <c r="BA423" t="str">
        <f>IF(Migrationsartikel!AF421="ja","Denner Partner","")</f>
        <v/>
      </c>
      <c r="BB423" t="str">
        <f>IF(Migrationsartikel!AG421="ja","true","false")</f>
        <v>false</v>
      </c>
      <c r="BC423" t="s">
        <v>1923</v>
      </c>
      <c r="BD423" s="31" t="s">
        <v>235</v>
      </c>
      <c r="BE423" s="31" t="s">
        <v>233</v>
      </c>
    </row>
    <row r="424" spans="2:57" ht="21.75" customHeight="1" x14ac:dyDescent="0.45">
      <c r="B424" t="s">
        <v>115</v>
      </c>
      <c r="E424" s="31" t="s">
        <v>1850</v>
      </c>
      <c r="F424" t="str">
        <f>"Warengruppe&gt;&gt;"&amp;Migrationsartikel!V422&amp;"&gt;&gt;"&amp;Migrationsartikel!W422&amp;"&gt;&gt;"&amp;Migrationsartikel!X422</f>
        <v>Warengruppe&gt;&gt;&gt;&gt;&gt;&gt;</v>
      </c>
      <c r="J424" s="31" t="s">
        <v>125</v>
      </c>
      <c r="M424" s="31" t="s">
        <v>137</v>
      </c>
      <c r="P424" s="31">
        <f>Migrationsartikel!B422</f>
        <v>0</v>
      </c>
      <c r="U424">
        <f>Migrationsartikel!F422</f>
        <v>0</v>
      </c>
      <c r="V424">
        <f>Migrationsartikel!J422</f>
        <v>0</v>
      </c>
      <c r="W424">
        <f>Migrationsartikel!N422</f>
        <v>0</v>
      </c>
      <c r="X424">
        <f>Migrationsartikel!G422</f>
        <v>0</v>
      </c>
      <c r="Y424">
        <f>Migrationsartikel!K422</f>
        <v>0</v>
      </c>
      <c r="Z424">
        <f>Migrationsartikel!O422</f>
        <v>0</v>
      </c>
      <c r="AA424" s="31">
        <f>Migrationsartikel!H422</f>
        <v>0</v>
      </c>
      <c r="AB424" s="31">
        <f>Migrationsartikel!L422</f>
        <v>0</v>
      </c>
      <c r="AC424" s="31">
        <f>Migrationsartikel!P422</f>
        <v>0</v>
      </c>
      <c r="AD424">
        <f>Migrationsartikel!I422</f>
        <v>0</v>
      </c>
      <c r="AE424">
        <f>Migrationsartikel!M422</f>
        <v>0</v>
      </c>
      <c r="AF424">
        <f>Migrationsartikel!Q422</f>
        <v>0</v>
      </c>
      <c r="AG424" s="45">
        <f>Migrationsartikel!R422</f>
        <v>0</v>
      </c>
      <c r="AH424" s="46">
        <f>Migrationsartikel!T422</f>
        <v>0</v>
      </c>
      <c r="AI424" s="46" t="str">
        <f t="shared" si="18"/>
        <v>n/a</v>
      </c>
      <c r="AJ424" s="46" t="s">
        <v>176</v>
      </c>
      <c r="AK424">
        <f>Migrationsartikel!S422</f>
        <v>0</v>
      </c>
      <c r="AL424">
        <f>Migrationsartikel!S422</f>
        <v>0</v>
      </c>
      <c r="AM424">
        <f>Migrationsartikel!S422</f>
        <v>0</v>
      </c>
      <c r="AN424">
        <f>Migrationsartikel!U422</f>
        <v>0</v>
      </c>
      <c r="AO424" t="str">
        <f t="shared" si="19"/>
        <v>n/a</v>
      </c>
      <c r="AP424" t="str">
        <f t="shared" si="20"/>
        <v>n/a</v>
      </c>
      <c r="AQ424" s="31" t="s">
        <v>195</v>
      </c>
      <c r="AR424" s="47"/>
      <c r="AS424" s="47"/>
      <c r="AT424" s="31" t="s">
        <v>208</v>
      </c>
      <c r="AU424" s="47"/>
      <c r="AV424" s="47"/>
      <c r="AW424" t="b">
        <f>IF(Migrationsartikel!AB422="ja","true",FALSE)</f>
        <v>0</v>
      </c>
      <c r="AX424" t="b">
        <f>IF(Migrationsartikel!AC422="ja","true",FALSE)</f>
        <v>0</v>
      </c>
      <c r="AY424" t="b">
        <f>IF(Migrationsartikel!AD422="ja","true",FALSE)</f>
        <v>0</v>
      </c>
      <c r="AZ424" t="b">
        <f>IF(Migrationsartikel!AE422="ja","true",FALSE)</f>
        <v>0</v>
      </c>
      <c r="BA424" t="str">
        <f>IF(Migrationsartikel!AF422="ja","Denner Partner","")</f>
        <v/>
      </c>
      <c r="BB424" t="str">
        <f>IF(Migrationsartikel!AG422="ja","true","false")</f>
        <v>false</v>
      </c>
      <c r="BC424" t="s">
        <v>1923</v>
      </c>
      <c r="BD424" s="31" t="s">
        <v>235</v>
      </c>
      <c r="BE424" s="31" t="s">
        <v>233</v>
      </c>
    </row>
    <row r="425" spans="2:57" ht="21.75" customHeight="1" x14ac:dyDescent="0.45">
      <c r="B425" t="s">
        <v>115</v>
      </c>
      <c r="E425" s="31" t="s">
        <v>1851</v>
      </c>
      <c r="F425" t="str">
        <f>"Warengruppe&gt;&gt;"&amp;Migrationsartikel!V423&amp;"&gt;&gt;"&amp;Migrationsartikel!W423&amp;"&gt;&gt;"&amp;Migrationsartikel!X423</f>
        <v>Warengruppe&gt;&gt;&gt;&gt;&gt;&gt;</v>
      </c>
      <c r="J425" s="31" t="s">
        <v>125</v>
      </c>
      <c r="M425" s="31" t="s">
        <v>137</v>
      </c>
      <c r="P425" s="31">
        <f>Migrationsartikel!B423</f>
        <v>0</v>
      </c>
      <c r="U425">
        <f>Migrationsartikel!F423</f>
        <v>0</v>
      </c>
      <c r="V425">
        <f>Migrationsartikel!J423</f>
        <v>0</v>
      </c>
      <c r="W425">
        <f>Migrationsartikel!N423</f>
        <v>0</v>
      </c>
      <c r="X425">
        <f>Migrationsartikel!G423</f>
        <v>0</v>
      </c>
      <c r="Y425">
        <f>Migrationsartikel!K423</f>
        <v>0</v>
      </c>
      <c r="Z425">
        <f>Migrationsartikel!O423</f>
        <v>0</v>
      </c>
      <c r="AA425" s="31">
        <f>Migrationsartikel!H423</f>
        <v>0</v>
      </c>
      <c r="AB425" s="31">
        <f>Migrationsartikel!L423</f>
        <v>0</v>
      </c>
      <c r="AC425" s="31">
        <f>Migrationsartikel!P423</f>
        <v>0</v>
      </c>
      <c r="AD425">
        <f>Migrationsartikel!I423</f>
        <v>0</v>
      </c>
      <c r="AE425">
        <f>Migrationsartikel!M423</f>
        <v>0</v>
      </c>
      <c r="AF425">
        <f>Migrationsartikel!Q423</f>
        <v>0</v>
      </c>
      <c r="AG425" s="45">
        <f>Migrationsartikel!R423</f>
        <v>0</v>
      </c>
      <c r="AH425" s="46">
        <f>Migrationsartikel!T423</f>
        <v>0</v>
      </c>
      <c r="AI425" s="46" t="str">
        <f t="shared" si="18"/>
        <v>n/a</v>
      </c>
      <c r="AJ425" s="46" t="s">
        <v>176</v>
      </c>
      <c r="AK425">
        <f>Migrationsartikel!S423</f>
        <v>0</v>
      </c>
      <c r="AL425">
        <f>Migrationsartikel!S423</f>
        <v>0</v>
      </c>
      <c r="AM425">
        <f>Migrationsartikel!S423</f>
        <v>0</v>
      </c>
      <c r="AN425">
        <f>Migrationsartikel!U423</f>
        <v>0</v>
      </c>
      <c r="AO425" t="str">
        <f t="shared" si="19"/>
        <v>n/a</v>
      </c>
      <c r="AP425" t="str">
        <f t="shared" si="20"/>
        <v>n/a</v>
      </c>
      <c r="AQ425" s="31" t="s">
        <v>195</v>
      </c>
      <c r="AR425" s="47"/>
      <c r="AS425" s="47"/>
      <c r="AT425" s="31" t="s">
        <v>208</v>
      </c>
      <c r="AU425" s="47"/>
      <c r="AV425" s="47"/>
      <c r="AW425" t="b">
        <f>IF(Migrationsartikel!AB423="ja","true",FALSE)</f>
        <v>0</v>
      </c>
      <c r="AX425" t="b">
        <f>IF(Migrationsartikel!AC423="ja","true",FALSE)</f>
        <v>0</v>
      </c>
      <c r="AY425" t="b">
        <f>IF(Migrationsartikel!AD423="ja","true",FALSE)</f>
        <v>0</v>
      </c>
      <c r="AZ425" t="b">
        <f>IF(Migrationsartikel!AE423="ja","true",FALSE)</f>
        <v>0</v>
      </c>
      <c r="BA425" t="str">
        <f>IF(Migrationsartikel!AF423="ja","Denner Partner","")</f>
        <v/>
      </c>
      <c r="BB425" t="str">
        <f>IF(Migrationsartikel!AG423="ja","true","false")</f>
        <v>false</v>
      </c>
      <c r="BC425" t="s">
        <v>1923</v>
      </c>
      <c r="BD425" s="31" t="s">
        <v>235</v>
      </c>
      <c r="BE425" s="31" t="s">
        <v>233</v>
      </c>
    </row>
    <row r="426" spans="2:57" ht="21.75" customHeight="1" x14ac:dyDescent="0.45">
      <c r="B426" t="s">
        <v>115</v>
      </c>
      <c r="E426" s="31" t="s">
        <v>1852</v>
      </c>
      <c r="F426" t="str">
        <f>"Warengruppe&gt;&gt;"&amp;Migrationsartikel!V424&amp;"&gt;&gt;"&amp;Migrationsartikel!W424&amp;"&gt;&gt;"&amp;Migrationsartikel!X424</f>
        <v>Warengruppe&gt;&gt;&gt;&gt;&gt;&gt;</v>
      </c>
      <c r="J426" s="31" t="s">
        <v>125</v>
      </c>
      <c r="M426" s="31" t="s">
        <v>137</v>
      </c>
      <c r="P426" s="31">
        <f>Migrationsartikel!B424</f>
        <v>0</v>
      </c>
      <c r="U426">
        <f>Migrationsartikel!F424</f>
        <v>0</v>
      </c>
      <c r="V426">
        <f>Migrationsartikel!J424</f>
        <v>0</v>
      </c>
      <c r="W426">
        <f>Migrationsartikel!N424</f>
        <v>0</v>
      </c>
      <c r="X426">
        <f>Migrationsartikel!G424</f>
        <v>0</v>
      </c>
      <c r="Y426">
        <f>Migrationsartikel!K424</f>
        <v>0</v>
      </c>
      <c r="Z426">
        <f>Migrationsartikel!O424</f>
        <v>0</v>
      </c>
      <c r="AA426" s="31">
        <f>Migrationsartikel!H424</f>
        <v>0</v>
      </c>
      <c r="AB426" s="31">
        <f>Migrationsartikel!L424</f>
        <v>0</v>
      </c>
      <c r="AC426" s="31">
        <f>Migrationsartikel!P424</f>
        <v>0</v>
      </c>
      <c r="AD426">
        <f>Migrationsartikel!I424</f>
        <v>0</v>
      </c>
      <c r="AE426">
        <f>Migrationsartikel!M424</f>
        <v>0</v>
      </c>
      <c r="AF426">
        <f>Migrationsartikel!Q424</f>
        <v>0</v>
      </c>
      <c r="AG426" s="45">
        <f>Migrationsartikel!R424</f>
        <v>0</v>
      </c>
      <c r="AH426" s="46">
        <f>Migrationsartikel!T424</f>
        <v>0</v>
      </c>
      <c r="AI426" s="46" t="str">
        <f t="shared" si="18"/>
        <v>n/a</v>
      </c>
      <c r="AJ426" s="46" t="s">
        <v>176</v>
      </c>
      <c r="AK426">
        <f>Migrationsartikel!S424</f>
        <v>0</v>
      </c>
      <c r="AL426">
        <f>Migrationsartikel!S424</f>
        <v>0</v>
      </c>
      <c r="AM426">
        <f>Migrationsartikel!S424</f>
        <v>0</v>
      </c>
      <c r="AN426">
        <f>Migrationsartikel!U424</f>
        <v>0</v>
      </c>
      <c r="AO426" t="str">
        <f t="shared" si="19"/>
        <v>n/a</v>
      </c>
      <c r="AP426" t="str">
        <f t="shared" si="20"/>
        <v>n/a</v>
      </c>
      <c r="AQ426" s="31" t="s">
        <v>195</v>
      </c>
      <c r="AR426" s="47"/>
      <c r="AS426" s="47"/>
      <c r="AT426" s="31" t="s">
        <v>208</v>
      </c>
      <c r="AU426" s="47"/>
      <c r="AV426" s="47"/>
      <c r="AW426" t="b">
        <f>IF(Migrationsartikel!AB424="ja","true",FALSE)</f>
        <v>0</v>
      </c>
      <c r="AX426" t="b">
        <f>IF(Migrationsartikel!AC424="ja","true",FALSE)</f>
        <v>0</v>
      </c>
      <c r="AY426" t="b">
        <f>IF(Migrationsartikel!AD424="ja","true",FALSE)</f>
        <v>0</v>
      </c>
      <c r="AZ426" t="b">
        <f>IF(Migrationsartikel!AE424="ja","true",FALSE)</f>
        <v>0</v>
      </c>
      <c r="BA426" t="str">
        <f>IF(Migrationsartikel!AF424="ja","Denner Partner","")</f>
        <v/>
      </c>
      <c r="BB426" t="str">
        <f>IF(Migrationsartikel!AG424="ja","true","false")</f>
        <v>false</v>
      </c>
      <c r="BC426" t="s">
        <v>1923</v>
      </c>
      <c r="BD426" s="31" t="s">
        <v>235</v>
      </c>
      <c r="BE426" s="31" t="s">
        <v>233</v>
      </c>
    </row>
    <row r="427" spans="2:57" ht="21.75" customHeight="1" x14ac:dyDescent="0.45">
      <c r="B427" t="s">
        <v>115</v>
      </c>
      <c r="E427" s="31" t="s">
        <v>1853</v>
      </c>
      <c r="F427" t="str">
        <f>"Warengruppe&gt;&gt;"&amp;Migrationsartikel!V425&amp;"&gt;&gt;"&amp;Migrationsartikel!W425&amp;"&gt;&gt;"&amp;Migrationsartikel!X425</f>
        <v>Warengruppe&gt;&gt;&gt;&gt;&gt;&gt;</v>
      </c>
      <c r="J427" s="31" t="s">
        <v>125</v>
      </c>
      <c r="M427" s="31" t="s">
        <v>137</v>
      </c>
      <c r="P427" s="31">
        <f>Migrationsartikel!B425</f>
        <v>0</v>
      </c>
      <c r="U427">
        <f>Migrationsartikel!F425</f>
        <v>0</v>
      </c>
      <c r="V427">
        <f>Migrationsartikel!J425</f>
        <v>0</v>
      </c>
      <c r="W427">
        <f>Migrationsartikel!N425</f>
        <v>0</v>
      </c>
      <c r="X427">
        <f>Migrationsartikel!G425</f>
        <v>0</v>
      </c>
      <c r="Y427">
        <f>Migrationsartikel!K425</f>
        <v>0</v>
      </c>
      <c r="Z427">
        <f>Migrationsartikel!O425</f>
        <v>0</v>
      </c>
      <c r="AA427" s="31">
        <f>Migrationsartikel!H425</f>
        <v>0</v>
      </c>
      <c r="AB427" s="31">
        <f>Migrationsartikel!L425</f>
        <v>0</v>
      </c>
      <c r="AC427" s="31">
        <f>Migrationsartikel!P425</f>
        <v>0</v>
      </c>
      <c r="AD427">
        <f>Migrationsartikel!I425</f>
        <v>0</v>
      </c>
      <c r="AE427">
        <f>Migrationsartikel!M425</f>
        <v>0</v>
      </c>
      <c r="AF427">
        <f>Migrationsartikel!Q425</f>
        <v>0</v>
      </c>
      <c r="AG427" s="45">
        <f>Migrationsartikel!R425</f>
        <v>0</v>
      </c>
      <c r="AH427" s="46">
        <f>Migrationsartikel!T425</f>
        <v>0</v>
      </c>
      <c r="AI427" s="46" t="str">
        <f t="shared" si="18"/>
        <v>n/a</v>
      </c>
      <c r="AJ427" s="46" t="s">
        <v>176</v>
      </c>
      <c r="AK427">
        <f>Migrationsartikel!S425</f>
        <v>0</v>
      </c>
      <c r="AL427">
        <f>Migrationsartikel!S425</f>
        <v>0</v>
      </c>
      <c r="AM427">
        <f>Migrationsartikel!S425</f>
        <v>0</v>
      </c>
      <c r="AN427">
        <f>Migrationsartikel!U425</f>
        <v>0</v>
      </c>
      <c r="AO427" t="str">
        <f t="shared" si="19"/>
        <v>n/a</v>
      </c>
      <c r="AP427" t="str">
        <f t="shared" si="20"/>
        <v>n/a</v>
      </c>
      <c r="AQ427" s="31" t="s">
        <v>195</v>
      </c>
      <c r="AR427" s="47"/>
      <c r="AS427" s="47"/>
      <c r="AT427" s="31" t="s">
        <v>208</v>
      </c>
      <c r="AU427" s="47"/>
      <c r="AV427" s="47"/>
      <c r="AW427" t="b">
        <f>IF(Migrationsartikel!AB425="ja","true",FALSE)</f>
        <v>0</v>
      </c>
      <c r="AX427" t="b">
        <f>IF(Migrationsartikel!AC425="ja","true",FALSE)</f>
        <v>0</v>
      </c>
      <c r="AY427" t="b">
        <f>IF(Migrationsartikel!AD425="ja","true",FALSE)</f>
        <v>0</v>
      </c>
      <c r="AZ427" t="b">
        <f>IF(Migrationsartikel!AE425="ja","true",FALSE)</f>
        <v>0</v>
      </c>
      <c r="BA427" t="str">
        <f>IF(Migrationsartikel!AF425="ja","Denner Partner","")</f>
        <v/>
      </c>
      <c r="BB427" t="str">
        <f>IF(Migrationsartikel!AG425="ja","true","false")</f>
        <v>false</v>
      </c>
      <c r="BC427" t="s">
        <v>1923</v>
      </c>
      <c r="BD427" s="31" t="s">
        <v>235</v>
      </c>
      <c r="BE427" s="31" t="s">
        <v>233</v>
      </c>
    </row>
    <row r="428" spans="2:57" ht="21.75" customHeight="1" x14ac:dyDescent="0.45">
      <c r="B428" t="s">
        <v>115</v>
      </c>
      <c r="E428" s="31" t="s">
        <v>1854</v>
      </c>
      <c r="F428" t="str">
        <f>"Warengruppe&gt;&gt;"&amp;Migrationsartikel!V426&amp;"&gt;&gt;"&amp;Migrationsartikel!W426&amp;"&gt;&gt;"&amp;Migrationsartikel!X426</f>
        <v>Warengruppe&gt;&gt;&gt;&gt;&gt;&gt;</v>
      </c>
      <c r="J428" s="31" t="s">
        <v>125</v>
      </c>
      <c r="M428" s="31" t="s">
        <v>137</v>
      </c>
      <c r="P428" s="31">
        <f>Migrationsartikel!B426</f>
        <v>0</v>
      </c>
      <c r="U428">
        <f>Migrationsartikel!F426</f>
        <v>0</v>
      </c>
      <c r="V428">
        <f>Migrationsartikel!J426</f>
        <v>0</v>
      </c>
      <c r="W428">
        <f>Migrationsartikel!N426</f>
        <v>0</v>
      </c>
      <c r="X428">
        <f>Migrationsartikel!G426</f>
        <v>0</v>
      </c>
      <c r="Y428">
        <f>Migrationsartikel!K426</f>
        <v>0</v>
      </c>
      <c r="Z428">
        <f>Migrationsartikel!O426</f>
        <v>0</v>
      </c>
      <c r="AA428" s="31">
        <f>Migrationsartikel!H426</f>
        <v>0</v>
      </c>
      <c r="AB428" s="31">
        <f>Migrationsartikel!L426</f>
        <v>0</v>
      </c>
      <c r="AC428" s="31">
        <f>Migrationsartikel!P426</f>
        <v>0</v>
      </c>
      <c r="AD428">
        <f>Migrationsartikel!I426</f>
        <v>0</v>
      </c>
      <c r="AE428">
        <f>Migrationsartikel!M426</f>
        <v>0</v>
      </c>
      <c r="AF428">
        <f>Migrationsartikel!Q426</f>
        <v>0</v>
      </c>
      <c r="AG428" s="45">
        <f>Migrationsartikel!R426</f>
        <v>0</v>
      </c>
      <c r="AH428" s="46">
        <f>Migrationsartikel!T426</f>
        <v>0</v>
      </c>
      <c r="AI428" s="46" t="str">
        <f t="shared" si="18"/>
        <v>n/a</v>
      </c>
      <c r="AJ428" s="46" t="s">
        <v>176</v>
      </c>
      <c r="AK428">
        <f>Migrationsartikel!S426</f>
        <v>0</v>
      </c>
      <c r="AL428">
        <f>Migrationsartikel!S426</f>
        <v>0</v>
      </c>
      <c r="AM428">
        <f>Migrationsartikel!S426</f>
        <v>0</v>
      </c>
      <c r="AN428">
        <f>Migrationsartikel!U426</f>
        <v>0</v>
      </c>
      <c r="AO428" t="str">
        <f t="shared" si="19"/>
        <v>n/a</v>
      </c>
      <c r="AP428" t="str">
        <f t="shared" si="20"/>
        <v>n/a</v>
      </c>
      <c r="AQ428" s="31" t="s">
        <v>195</v>
      </c>
      <c r="AR428" s="47"/>
      <c r="AS428" s="47"/>
      <c r="AT428" s="31" t="s">
        <v>208</v>
      </c>
      <c r="AU428" s="47"/>
      <c r="AV428" s="47"/>
      <c r="AW428" t="b">
        <f>IF(Migrationsartikel!AB426="ja","true",FALSE)</f>
        <v>0</v>
      </c>
      <c r="AX428" t="b">
        <f>IF(Migrationsartikel!AC426="ja","true",FALSE)</f>
        <v>0</v>
      </c>
      <c r="AY428" t="b">
        <f>IF(Migrationsartikel!AD426="ja","true",FALSE)</f>
        <v>0</v>
      </c>
      <c r="AZ428" t="b">
        <f>IF(Migrationsartikel!AE426="ja","true",FALSE)</f>
        <v>0</v>
      </c>
      <c r="BA428" t="str">
        <f>IF(Migrationsartikel!AF426="ja","Denner Partner","")</f>
        <v/>
      </c>
      <c r="BB428" t="str">
        <f>IF(Migrationsartikel!AG426="ja","true","false")</f>
        <v>false</v>
      </c>
      <c r="BC428" t="s">
        <v>1923</v>
      </c>
      <c r="BD428" s="31" t="s">
        <v>235</v>
      </c>
      <c r="BE428" s="31" t="s">
        <v>233</v>
      </c>
    </row>
    <row r="429" spans="2:57" ht="21.75" customHeight="1" x14ac:dyDescent="0.45">
      <c r="B429" t="s">
        <v>115</v>
      </c>
      <c r="E429" s="31" t="s">
        <v>1855</v>
      </c>
      <c r="F429" t="str">
        <f>"Warengruppe&gt;&gt;"&amp;Migrationsartikel!V427&amp;"&gt;&gt;"&amp;Migrationsartikel!W427&amp;"&gt;&gt;"&amp;Migrationsartikel!X427</f>
        <v>Warengruppe&gt;&gt;&gt;&gt;&gt;&gt;</v>
      </c>
      <c r="J429" s="31" t="s">
        <v>125</v>
      </c>
      <c r="M429" s="31" t="s">
        <v>137</v>
      </c>
      <c r="P429" s="31">
        <f>Migrationsartikel!B427</f>
        <v>0</v>
      </c>
      <c r="U429">
        <f>Migrationsartikel!F427</f>
        <v>0</v>
      </c>
      <c r="V429">
        <f>Migrationsartikel!J427</f>
        <v>0</v>
      </c>
      <c r="W429">
        <f>Migrationsartikel!N427</f>
        <v>0</v>
      </c>
      <c r="X429">
        <f>Migrationsartikel!G427</f>
        <v>0</v>
      </c>
      <c r="Y429">
        <f>Migrationsartikel!K427</f>
        <v>0</v>
      </c>
      <c r="Z429">
        <f>Migrationsartikel!O427</f>
        <v>0</v>
      </c>
      <c r="AA429" s="31">
        <f>Migrationsartikel!H427</f>
        <v>0</v>
      </c>
      <c r="AB429" s="31">
        <f>Migrationsartikel!L427</f>
        <v>0</v>
      </c>
      <c r="AC429" s="31">
        <f>Migrationsartikel!P427</f>
        <v>0</v>
      </c>
      <c r="AD429">
        <f>Migrationsartikel!I427</f>
        <v>0</v>
      </c>
      <c r="AE429">
        <f>Migrationsartikel!M427</f>
        <v>0</v>
      </c>
      <c r="AF429">
        <f>Migrationsartikel!Q427</f>
        <v>0</v>
      </c>
      <c r="AG429" s="45">
        <f>Migrationsartikel!R427</f>
        <v>0</v>
      </c>
      <c r="AH429" s="46">
        <f>Migrationsartikel!T427</f>
        <v>0</v>
      </c>
      <c r="AI429" s="46" t="str">
        <f t="shared" si="18"/>
        <v>n/a</v>
      </c>
      <c r="AJ429" s="46" t="s">
        <v>176</v>
      </c>
      <c r="AK429">
        <f>Migrationsartikel!S427</f>
        <v>0</v>
      </c>
      <c r="AL429">
        <f>Migrationsartikel!S427</f>
        <v>0</v>
      </c>
      <c r="AM429">
        <f>Migrationsartikel!S427</f>
        <v>0</v>
      </c>
      <c r="AN429">
        <f>Migrationsartikel!U427</f>
        <v>0</v>
      </c>
      <c r="AO429" t="str">
        <f t="shared" si="19"/>
        <v>n/a</v>
      </c>
      <c r="AP429" t="str">
        <f t="shared" si="20"/>
        <v>n/a</v>
      </c>
      <c r="AQ429" s="31" t="s">
        <v>195</v>
      </c>
      <c r="AR429" s="47"/>
      <c r="AS429" s="47"/>
      <c r="AT429" s="31" t="s">
        <v>208</v>
      </c>
      <c r="AU429" s="47"/>
      <c r="AV429" s="47"/>
      <c r="AW429" t="b">
        <f>IF(Migrationsartikel!AB427="ja","true",FALSE)</f>
        <v>0</v>
      </c>
      <c r="AX429" t="b">
        <f>IF(Migrationsartikel!AC427="ja","true",FALSE)</f>
        <v>0</v>
      </c>
      <c r="AY429" t="b">
        <f>IF(Migrationsartikel!AD427="ja","true",FALSE)</f>
        <v>0</v>
      </c>
      <c r="AZ429" t="b">
        <f>IF(Migrationsartikel!AE427="ja","true",FALSE)</f>
        <v>0</v>
      </c>
      <c r="BA429" t="str">
        <f>IF(Migrationsartikel!AF427="ja","Denner Partner","")</f>
        <v/>
      </c>
      <c r="BB429" t="str">
        <f>IF(Migrationsartikel!AG427="ja","true","false")</f>
        <v>false</v>
      </c>
      <c r="BC429" t="s">
        <v>1923</v>
      </c>
      <c r="BD429" s="31" t="s">
        <v>235</v>
      </c>
      <c r="BE429" s="31" t="s">
        <v>233</v>
      </c>
    </row>
    <row r="430" spans="2:57" ht="21.75" customHeight="1" x14ac:dyDescent="0.45">
      <c r="B430" t="s">
        <v>115</v>
      </c>
      <c r="E430" s="31" t="s">
        <v>1856</v>
      </c>
      <c r="F430" t="str">
        <f>"Warengruppe&gt;&gt;"&amp;Migrationsartikel!V428&amp;"&gt;&gt;"&amp;Migrationsartikel!W428&amp;"&gt;&gt;"&amp;Migrationsartikel!X428</f>
        <v>Warengruppe&gt;&gt;&gt;&gt;&gt;&gt;</v>
      </c>
      <c r="J430" s="31" t="s">
        <v>125</v>
      </c>
      <c r="M430" s="31" t="s">
        <v>137</v>
      </c>
      <c r="P430" s="31">
        <f>Migrationsartikel!B428</f>
        <v>0</v>
      </c>
      <c r="U430">
        <f>Migrationsartikel!F428</f>
        <v>0</v>
      </c>
      <c r="V430">
        <f>Migrationsartikel!J428</f>
        <v>0</v>
      </c>
      <c r="W430">
        <f>Migrationsartikel!N428</f>
        <v>0</v>
      </c>
      <c r="X430">
        <f>Migrationsartikel!G428</f>
        <v>0</v>
      </c>
      <c r="Y430">
        <f>Migrationsartikel!K428</f>
        <v>0</v>
      </c>
      <c r="Z430">
        <f>Migrationsartikel!O428</f>
        <v>0</v>
      </c>
      <c r="AA430" s="31">
        <f>Migrationsartikel!H428</f>
        <v>0</v>
      </c>
      <c r="AB430" s="31">
        <f>Migrationsartikel!L428</f>
        <v>0</v>
      </c>
      <c r="AC430" s="31">
        <f>Migrationsartikel!P428</f>
        <v>0</v>
      </c>
      <c r="AD430">
        <f>Migrationsartikel!I428</f>
        <v>0</v>
      </c>
      <c r="AE430">
        <f>Migrationsartikel!M428</f>
        <v>0</v>
      </c>
      <c r="AF430">
        <f>Migrationsartikel!Q428</f>
        <v>0</v>
      </c>
      <c r="AG430" s="45">
        <f>Migrationsartikel!R428</f>
        <v>0</v>
      </c>
      <c r="AH430" s="46">
        <f>Migrationsartikel!T428</f>
        <v>0</v>
      </c>
      <c r="AI430" s="46" t="str">
        <f t="shared" si="18"/>
        <v>n/a</v>
      </c>
      <c r="AJ430" s="46" t="s">
        <v>176</v>
      </c>
      <c r="AK430">
        <f>Migrationsartikel!S428</f>
        <v>0</v>
      </c>
      <c r="AL430">
        <f>Migrationsartikel!S428</f>
        <v>0</v>
      </c>
      <c r="AM430">
        <f>Migrationsartikel!S428</f>
        <v>0</v>
      </c>
      <c r="AN430">
        <f>Migrationsartikel!U428</f>
        <v>0</v>
      </c>
      <c r="AO430" t="str">
        <f t="shared" si="19"/>
        <v>n/a</v>
      </c>
      <c r="AP430" t="str">
        <f t="shared" si="20"/>
        <v>n/a</v>
      </c>
      <c r="AQ430" s="31" t="s">
        <v>195</v>
      </c>
      <c r="AR430" s="47"/>
      <c r="AS430" s="47"/>
      <c r="AT430" s="31" t="s">
        <v>208</v>
      </c>
      <c r="AU430" s="47"/>
      <c r="AV430" s="47"/>
      <c r="AW430" t="b">
        <f>IF(Migrationsartikel!AB428="ja","true",FALSE)</f>
        <v>0</v>
      </c>
      <c r="AX430" t="b">
        <f>IF(Migrationsartikel!AC428="ja","true",FALSE)</f>
        <v>0</v>
      </c>
      <c r="AY430" t="b">
        <f>IF(Migrationsartikel!AD428="ja","true",FALSE)</f>
        <v>0</v>
      </c>
      <c r="AZ430" t="b">
        <f>IF(Migrationsartikel!AE428="ja","true",FALSE)</f>
        <v>0</v>
      </c>
      <c r="BA430" t="str">
        <f>IF(Migrationsartikel!AF428="ja","Denner Partner","")</f>
        <v/>
      </c>
      <c r="BB430" t="str">
        <f>IF(Migrationsartikel!AG428="ja","true","false")</f>
        <v>false</v>
      </c>
      <c r="BC430" t="s">
        <v>1923</v>
      </c>
      <c r="BD430" s="31" t="s">
        <v>235</v>
      </c>
      <c r="BE430" s="31" t="s">
        <v>233</v>
      </c>
    </row>
    <row r="431" spans="2:57" ht="21.75" customHeight="1" x14ac:dyDescent="0.45">
      <c r="B431" t="s">
        <v>115</v>
      </c>
      <c r="E431" s="31" t="s">
        <v>1857</v>
      </c>
      <c r="F431" t="str">
        <f>"Warengruppe&gt;&gt;"&amp;Migrationsartikel!V429&amp;"&gt;&gt;"&amp;Migrationsartikel!W429&amp;"&gt;&gt;"&amp;Migrationsartikel!X429</f>
        <v>Warengruppe&gt;&gt;&gt;&gt;&gt;&gt;</v>
      </c>
      <c r="J431" s="31" t="s">
        <v>125</v>
      </c>
      <c r="M431" s="31" t="s">
        <v>137</v>
      </c>
      <c r="P431" s="31">
        <f>Migrationsartikel!B429</f>
        <v>0</v>
      </c>
      <c r="U431">
        <f>Migrationsartikel!F429</f>
        <v>0</v>
      </c>
      <c r="V431">
        <f>Migrationsartikel!J429</f>
        <v>0</v>
      </c>
      <c r="W431">
        <f>Migrationsartikel!N429</f>
        <v>0</v>
      </c>
      <c r="X431">
        <f>Migrationsartikel!G429</f>
        <v>0</v>
      </c>
      <c r="Y431">
        <f>Migrationsartikel!K429</f>
        <v>0</v>
      </c>
      <c r="Z431">
        <f>Migrationsartikel!O429</f>
        <v>0</v>
      </c>
      <c r="AA431" s="31">
        <f>Migrationsartikel!H429</f>
        <v>0</v>
      </c>
      <c r="AB431" s="31">
        <f>Migrationsartikel!L429</f>
        <v>0</v>
      </c>
      <c r="AC431" s="31">
        <f>Migrationsartikel!P429</f>
        <v>0</v>
      </c>
      <c r="AD431">
        <f>Migrationsartikel!I429</f>
        <v>0</v>
      </c>
      <c r="AE431">
        <f>Migrationsartikel!M429</f>
        <v>0</v>
      </c>
      <c r="AF431">
        <f>Migrationsartikel!Q429</f>
        <v>0</v>
      </c>
      <c r="AG431" s="45">
        <f>Migrationsartikel!R429</f>
        <v>0</v>
      </c>
      <c r="AH431" s="46">
        <f>Migrationsartikel!T429</f>
        <v>0</v>
      </c>
      <c r="AI431" s="46" t="str">
        <f t="shared" si="18"/>
        <v>n/a</v>
      </c>
      <c r="AJ431" s="46" t="s">
        <v>176</v>
      </c>
      <c r="AK431">
        <f>Migrationsartikel!S429</f>
        <v>0</v>
      </c>
      <c r="AL431">
        <f>Migrationsartikel!S429</f>
        <v>0</v>
      </c>
      <c r="AM431">
        <f>Migrationsartikel!S429</f>
        <v>0</v>
      </c>
      <c r="AN431">
        <f>Migrationsartikel!U429</f>
        <v>0</v>
      </c>
      <c r="AO431" t="str">
        <f t="shared" si="19"/>
        <v>n/a</v>
      </c>
      <c r="AP431" t="str">
        <f t="shared" si="20"/>
        <v>n/a</v>
      </c>
      <c r="AQ431" s="31" t="s">
        <v>195</v>
      </c>
      <c r="AR431" s="47"/>
      <c r="AS431" s="47"/>
      <c r="AT431" s="31" t="s">
        <v>208</v>
      </c>
      <c r="AU431" s="47"/>
      <c r="AV431" s="47"/>
      <c r="AW431" t="b">
        <f>IF(Migrationsartikel!AB429="ja","true",FALSE)</f>
        <v>0</v>
      </c>
      <c r="AX431" t="b">
        <f>IF(Migrationsartikel!AC429="ja","true",FALSE)</f>
        <v>0</v>
      </c>
      <c r="AY431" t="b">
        <f>IF(Migrationsartikel!AD429="ja","true",FALSE)</f>
        <v>0</v>
      </c>
      <c r="AZ431" t="b">
        <f>IF(Migrationsartikel!AE429="ja","true",FALSE)</f>
        <v>0</v>
      </c>
      <c r="BA431" t="str">
        <f>IF(Migrationsartikel!AF429="ja","Denner Partner","")</f>
        <v/>
      </c>
      <c r="BB431" t="str">
        <f>IF(Migrationsartikel!AG429="ja","true","false")</f>
        <v>false</v>
      </c>
      <c r="BC431" t="s">
        <v>1923</v>
      </c>
      <c r="BD431" s="31" t="s">
        <v>235</v>
      </c>
      <c r="BE431" s="31" t="s">
        <v>233</v>
      </c>
    </row>
    <row r="432" spans="2:57" ht="21.75" customHeight="1" x14ac:dyDescent="0.45">
      <c r="B432" t="s">
        <v>115</v>
      </c>
      <c r="E432" s="31" t="s">
        <v>1858</v>
      </c>
      <c r="F432" t="str">
        <f>"Warengruppe&gt;&gt;"&amp;Migrationsartikel!V430&amp;"&gt;&gt;"&amp;Migrationsartikel!W430&amp;"&gt;&gt;"&amp;Migrationsartikel!X430</f>
        <v>Warengruppe&gt;&gt;&gt;&gt;&gt;&gt;</v>
      </c>
      <c r="J432" s="31" t="s">
        <v>125</v>
      </c>
      <c r="M432" s="31" t="s">
        <v>137</v>
      </c>
      <c r="P432" s="31">
        <f>Migrationsartikel!B430</f>
        <v>0</v>
      </c>
      <c r="U432">
        <f>Migrationsartikel!F430</f>
        <v>0</v>
      </c>
      <c r="V432">
        <f>Migrationsartikel!J430</f>
        <v>0</v>
      </c>
      <c r="W432">
        <f>Migrationsartikel!N430</f>
        <v>0</v>
      </c>
      <c r="X432">
        <f>Migrationsartikel!G430</f>
        <v>0</v>
      </c>
      <c r="Y432">
        <f>Migrationsartikel!K430</f>
        <v>0</v>
      </c>
      <c r="Z432">
        <f>Migrationsartikel!O430</f>
        <v>0</v>
      </c>
      <c r="AA432" s="31">
        <f>Migrationsartikel!H430</f>
        <v>0</v>
      </c>
      <c r="AB432" s="31">
        <f>Migrationsartikel!L430</f>
        <v>0</v>
      </c>
      <c r="AC432" s="31">
        <f>Migrationsartikel!P430</f>
        <v>0</v>
      </c>
      <c r="AD432">
        <f>Migrationsartikel!I430</f>
        <v>0</v>
      </c>
      <c r="AE432">
        <f>Migrationsartikel!M430</f>
        <v>0</v>
      </c>
      <c r="AF432">
        <f>Migrationsartikel!Q430</f>
        <v>0</v>
      </c>
      <c r="AG432" s="45">
        <f>Migrationsartikel!R430</f>
        <v>0</v>
      </c>
      <c r="AH432" s="46">
        <f>Migrationsartikel!T430</f>
        <v>0</v>
      </c>
      <c r="AI432" s="46" t="str">
        <f t="shared" si="18"/>
        <v>n/a</v>
      </c>
      <c r="AJ432" s="46" t="s">
        <v>176</v>
      </c>
      <c r="AK432">
        <f>Migrationsartikel!S430</f>
        <v>0</v>
      </c>
      <c r="AL432">
        <f>Migrationsartikel!S430</f>
        <v>0</v>
      </c>
      <c r="AM432">
        <f>Migrationsartikel!S430</f>
        <v>0</v>
      </c>
      <c r="AN432">
        <f>Migrationsartikel!U430</f>
        <v>0</v>
      </c>
      <c r="AO432" t="str">
        <f t="shared" si="19"/>
        <v>n/a</v>
      </c>
      <c r="AP432" t="str">
        <f t="shared" si="20"/>
        <v>n/a</v>
      </c>
      <c r="AQ432" s="31" t="s">
        <v>195</v>
      </c>
      <c r="AR432" s="47"/>
      <c r="AS432" s="47"/>
      <c r="AT432" s="31" t="s">
        <v>208</v>
      </c>
      <c r="AU432" s="47"/>
      <c r="AV432" s="47"/>
      <c r="AW432" t="b">
        <f>IF(Migrationsartikel!AB430="ja","true",FALSE)</f>
        <v>0</v>
      </c>
      <c r="AX432" t="b">
        <f>IF(Migrationsartikel!AC430="ja","true",FALSE)</f>
        <v>0</v>
      </c>
      <c r="AY432" t="b">
        <f>IF(Migrationsartikel!AD430="ja","true",FALSE)</f>
        <v>0</v>
      </c>
      <c r="AZ432" t="b">
        <f>IF(Migrationsartikel!AE430="ja","true",FALSE)</f>
        <v>0</v>
      </c>
      <c r="BA432" t="str">
        <f>IF(Migrationsartikel!AF430="ja","Denner Partner","")</f>
        <v/>
      </c>
      <c r="BB432" t="str">
        <f>IF(Migrationsartikel!AG430="ja","true","false")</f>
        <v>false</v>
      </c>
      <c r="BC432" t="s">
        <v>1923</v>
      </c>
      <c r="BD432" s="31" t="s">
        <v>235</v>
      </c>
      <c r="BE432" s="31" t="s">
        <v>233</v>
      </c>
    </row>
    <row r="433" spans="2:57" ht="21.75" customHeight="1" x14ac:dyDescent="0.45">
      <c r="B433" t="s">
        <v>115</v>
      </c>
      <c r="E433" s="31" t="s">
        <v>1859</v>
      </c>
      <c r="F433" t="str">
        <f>"Warengruppe&gt;&gt;"&amp;Migrationsartikel!V431&amp;"&gt;&gt;"&amp;Migrationsartikel!W431&amp;"&gt;&gt;"&amp;Migrationsartikel!X431</f>
        <v>Warengruppe&gt;&gt;&gt;&gt;&gt;&gt;</v>
      </c>
      <c r="J433" s="31" t="s">
        <v>125</v>
      </c>
      <c r="M433" s="31" t="s">
        <v>137</v>
      </c>
      <c r="P433" s="31">
        <f>Migrationsartikel!B431</f>
        <v>0</v>
      </c>
      <c r="U433">
        <f>Migrationsartikel!F431</f>
        <v>0</v>
      </c>
      <c r="V433">
        <f>Migrationsartikel!J431</f>
        <v>0</v>
      </c>
      <c r="W433">
        <f>Migrationsartikel!N431</f>
        <v>0</v>
      </c>
      <c r="X433">
        <f>Migrationsartikel!G431</f>
        <v>0</v>
      </c>
      <c r="Y433">
        <f>Migrationsartikel!K431</f>
        <v>0</v>
      </c>
      <c r="Z433">
        <f>Migrationsartikel!O431</f>
        <v>0</v>
      </c>
      <c r="AA433" s="31">
        <f>Migrationsartikel!H431</f>
        <v>0</v>
      </c>
      <c r="AB433" s="31">
        <f>Migrationsartikel!L431</f>
        <v>0</v>
      </c>
      <c r="AC433" s="31">
        <f>Migrationsartikel!P431</f>
        <v>0</v>
      </c>
      <c r="AD433">
        <f>Migrationsartikel!I431</f>
        <v>0</v>
      </c>
      <c r="AE433">
        <f>Migrationsartikel!M431</f>
        <v>0</v>
      </c>
      <c r="AF433">
        <f>Migrationsartikel!Q431</f>
        <v>0</v>
      </c>
      <c r="AG433" s="45">
        <f>Migrationsartikel!R431</f>
        <v>0</v>
      </c>
      <c r="AH433" s="46">
        <f>Migrationsartikel!T431</f>
        <v>0</v>
      </c>
      <c r="AI433" s="46" t="str">
        <f t="shared" si="18"/>
        <v>n/a</v>
      </c>
      <c r="AJ433" s="46" t="s">
        <v>176</v>
      </c>
      <c r="AK433">
        <f>Migrationsartikel!S431</f>
        <v>0</v>
      </c>
      <c r="AL433">
        <f>Migrationsartikel!S431</f>
        <v>0</v>
      </c>
      <c r="AM433">
        <f>Migrationsartikel!S431</f>
        <v>0</v>
      </c>
      <c r="AN433">
        <f>Migrationsartikel!U431</f>
        <v>0</v>
      </c>
      <c r="AO433" t="str">
        <f t="shared" si="19"/>
        <v>n/a</v>
      </c>
      <c r="AP433" t="str">
        <f t="shared" si="20"/>
        <v>n/a</v>
      </c>
      <c r="AQ433" s="31" t="s">
        <v>195</v>
      </c>
      <c r="AR433" s="47"/>
      <c r="AS433" s="47"/>
      <c r="AT433" s="31" t="s">
        <v>208</v>
      </c>
      <c r="AU433" s="47"/>
      <c r="AV433" s="47"/>
      <c r="AW433" t="b">
        <f>IF(Migrationsartikel!AB431="ja","true",FALSE)</f>
        <v>0</v>
      </c>
      <c r="AX433" t="b">
        <f>IF(Migrationsartikel!AC431="ja","true",FALSE)</f>
        <v>0</v>
      </c>
      <c r="AY433" t="b">
        <f>IF(Migrationsartikel!AD431="ja","true",FALSE)</f>
        <v>0</v>
      </c>
      <c r="AZ433" t="b">
        <f>IF(Migrationsartikel!AE431="ja","true",FALSE)</f>
        <v>0</v>
      </c>
      <c r="BA433" t="str">
        <f>IF(Migrationsartikel!AF431="ja","Denner Partner","")</f>
        <v/>
      </c>
      <c r="BB433" t="str">
        <f>IF(Migrationsartikel!AG431="ja","true","false")</f>
        <v>false</v>
      </c>
      <c r="BC433" t="s">
        <v>1923</v>
      </c>
      <c r="BD433" s="31" t="s">
        <v>235</v>
      </c>
      <c r="BE433" s="31" t="s">
        <v>233</v>
      </c>
    </row>
    <row r="434" spans="2:57" ht="21.75" customHeight="1" x14ac:dyDescent="0.45">
      <c r="B434" t="s">
        <v>115</v>
      </c>
      <c r="E434" s="31" t="s">
        <v>1860</v>
      </c>
      <c r="F434" t="str">
        <f>"Warengruppe&gt;&gt;"&amp;Migrationsartikel!V432&amp;"&gt;&gt;"&amp;Migrationsartikel!W432&amp;"&gt;&gt;"&amp;Migrationsartikel!X432</f>
        <v>Warengruppe&gt;&gt;&gt;&gt;&gt;&gt;</v>
      </c>
      <c r="J434" s="31" t="s">
        <v>125</v>
      </c>
      <c r="M434" s="31" t="s">
        <v>137</v>
      </c>
      <c r="P434" s="31">
        <f>Migrationsartikel!B432</f>
        <v>0</v>
      </c>
      <c r="U434">
        <f>Migrationsartikel!F432</f>
        <v>0</v>
      </c>
      <c r="V434">
        <f>Migrationsartikel!J432</f>
        <v>0</v>
      </c>
      <c r="W434">
        <f>Migrationsartikel!N432</f>
        <v>0</v>
      </c>
      <c r="X434">
        <f>Migrationsartikel!G432</f>
        <v>0</v>
      </c>
      <c r="Y434">
        <f>Migrationsartikel!K432</f>
        <v>0</v>
      </c>
      <c r="Z434">
        <f>Migrationsartikel!O432</f>
        <v>0</v>
      </c>
      <c r="AA434" s="31">
        <f>Migrationsartikel!H432</f>
        <v>0</v>
      </c>
      <c r="AB434" s="31">
        <f>Migrationsartikel!L432</f>
        <v>0</v>
      </c>
      <c r="AC434" s="31">
        <f>Migrationsartikel!P432</f>
        <v>0</v>
      </c>
      <c r="AD434">
        <f>Migrationsartikel!I432</f>
        <v>0</v>
      </c>
      <c r="AE434">
        <f>Migrationsartikel!M432</f>
        <v>0</v>
      </c>
      <c r="AF434">
        <f>Migrationsartikel!Q432</f>
        <v>0</v>
      </c>
      <c r="AG434" s="45">
        <f>Migrationsartikel!R432</f>
        <v>0</v>
      </c>
      <c r="AH434" s="46">
        <f>Migrationsartikel!T432</f>
        <v>0</v>
      </c>
      <c r="AI434" s="46" t="str">
        <f t="shared" si="18"/>
        <v>n/a</v>
      </c>
      <c r="AJ434" s="46" t="s">
        <v>176</v>
      </c>
      <c r="AK434">
        <f>Migrationsartikel!S432</f>
        <v>0</v>
      </c>
      <c r="AL434">
        <f>Migrationsartikel!S432</f>
        <v>0</v>
      </c>
      <c r="AM434">
        <f>Migrationsartikel!S432</f>
        <v>0</v>
      </c>
      <c r="AN434">
        <f>Migrationsartikel!U432</f>
        <v>0</v>
      </c>
      <c r="AO434" t="str">
        <f t="shared" si="19"/>
        <v>n/a</v>
      </c>
      <c r="AP434" t="str">
        <f t="shared" si="20"/>
        <v>n/a</v>
      </c>
      <c r="AQ434" s="31" t="s">
        <v>195</v>
      </c>
      <c r="AR434" s="47"/>
      <c r="AS434" s="47"/>
      <c r="AT434" s="31" t="s">
        <v>208</v>
      </c>
      <c r="AU434" s="47"/>
      <c r="AV434" s="47"/>
      <c r="AW434" t="b">
        <f>IF(Migrationsartikel!AB432="ja","true",FALSE)</f>
        <v>0</v>
      </c>
      <c r="AX434" t="b">
        <f>IF(Migrationsartikel!AC432="ja","true",FALSE)</f>
        <v>0</v>
      </c>
      <c r="AY434" t="b">
        <f>IF(Migrationsartikel!AD432="ja","true",FALSE)</f>
        <v>0</v>
      </c>
      <c r="AZ434" t="b">
        <f>IF(Migrationsartikel!AE432="ja","true",FALSE)</f>
        <v>0</v>
      </c>
      <c r="BA434" t="str">
        <f>IF(Migrationsartikel!AF432="ja","Denner Partner","")</f>
        <v/>
      </c>
      <c r="BB434" t="str">
        <f>IF(Migrationsartikel!AG432="ja","true","false")</f>
        <v>false</v>
      </c>
      <c r="BC434" t="s">
        <v>1923</v>
      </c>
      <c r="BD434" s="31" t="s">
        <v>235</v>
      </c>
      <c r="BE434" s="31" t="s">
        <v>233</v>
      </c>
    </row>
    <row r="435" spans="2:57" ht="21.75" customHeight="1" x14ac:dyDescent="0.45">
      <c r="B435" t="s">
        <v>115</v>
      </c>
      <c r="E435" s="31" t="s">
        <v>1861</v>
      </c>
      <c r="F435" t="str">
        <f>"Warengruppe&gt;&gt;"&amp;Migrationsartikel!V433&amp;"&gt;&gt;"&amp;Migrationsartikel!W433&amp;"&gt;&gt;"&amp;Migrationsartikel!X433</f>
        <v>Warengruppe&gt;&gt;&gt;&gt;&gt;&gt;</v>
      </c>
      <c r="J435" s="31" t="s">
        <v>125</v>
      </c>
      <c r="M435" s="31" t="s">
        <v>137</v>
      </c>
      <c r="P435" s="31">
        <f>Migrationsartikel!B433</f>
        <v>0</v>
      </c>
      <c r="U435">
        <f>Migrationsartikel!F433</f>
        <v>0</v>
      </c>
      <c r="V435">
        <f>Migrationsartikel!J433</f>
        <v>0</v>
      </c>
      <c r="W435">
        <f>Migrationsartikel!N433</f>
        <v>0</v>
      </c>
      <c r="X435">
        <f>Migrationsartikel!G433</f>
        <v>0</v>
      </c>
      <c r="Y435">
        <f>Migrationsartikel!K433</f>
        <v>0</v>
      </c>
      <c r="Z435">
        <f>Migrationsartikel!O433</f>
        <v>0</v>
      </c>
      <c r="AA435" s="31">
        <f>Migrationsartikel!H433</f>
        <v>0</v>
      </c>
      <c r="AB435" s="31">
        <f>Migrationsartikel!L433</f>
        <v>0</v>
      </c>
      <c r="AC435" s="31">
        <f>Migrationsartikel!P433</f>
        <v>0</v>
      </c>
      <c r="AD435">
        <f>Migrationsartikel!I433</f>
        <v>0</v>
      </c>
      <c r="AE435">
        <f>Migrationsartikel!M433</f>
        <v>0</v>
      </c>
      <c r="AF435">
        <f>Migrationsartikel!Q433</f>
        <v>0</v>
      </c>
      <c r="AG435" s="45">
        <f>Migrationsartikel!R433</f>
        <v>0</v>
      </c>
      <c r="AH435" s="46">
        <f>Migrationsartikel!T433</f>
        <v>0</v>
      </c>
      <c r="AI435" s="46" t="str">
        <f t="shared" si="18"/>
        <v>n/a</v>
      </c>
      <c r="AJ435" s="46" t="s">
        <v>176</v>
      </c>
      <c r="AK435">
        <f>Migrationsartikel!S433</f>
        <v>0</v>
      </c>
      <c r="AL435">
        <f>Migrationsartikel!S433</f>
        <v>0</v>
      </c>
      <c r="AM435">
        <f>Migrationsartikel!S433</f>
        <v>0</v>
      </c>
      <c r="AN435">
        <f>Migrationsartikel!U433</f>
        <v>0</v>
      </c>
      <c r="AO435" t="str">
        <f t="shared" si="19"/>
        <v>n/a</v>
      </c>
      <c r="AP435" t="str">
        <f t="shared" si="20"/>
        <v>n/a</v>
      </c>
      <c r="AQ435" s="31" t="s">
        <v>195</v>
      </c>
      <c r="AR435" s="47"/>
      <c r="AS435" s="47"/>
      <c r="AT435" s="31" t="s">
        <v>208</v>
      </c>
      <c r="AU435" s="47"/>
      <c r="AV435" s="47"/>
      <c r="AW435" t="b">
        <f>IF(Migrationsartikel!AB433="ja","true",FALSE)</f>
        <v>0</v>
      </c>
      <c r="AX435" t="b">
        <f>IF(Migrationsartikel!AC433="ja","true",FALSE)</f>
        <v>0</v>
      </c>
      <c r="AY435" t="b">
        <f>IF(Migrationsartikel!AD433="ja","true",FALSE)</f>
        <v>0</v>
      </c>
      <c r="AZ435" t="b">
        <f>IF(Migrationsartikel!AE433="ja","true",FALSE)</f>
        <v>0</v>
      </c>
      <c r="BA435" t="str">
        <f>IF(Migrationsartikel!AF433="ja","Denner Partner","")</f>
        <v/>
      </c>
      <c r="BB435" t="str">
        <f>IF(Migrationsartikel!AG433="ja","true","false")</f>
        <v>false</v>
      </c>
      <c r="BC435" t="s">
        <v>1923</v>
      </c>
      <c r="BD435" s="31" t="s">
        <v>235</v>
      </c>
      <c r="BE435" s="31" t="s">
        <v>233</v>
      </c>
    </row>
    <row r="436" spans="2:57" ht="21.75" customHeight="1" x14ac:dyDescent="0.45">
      <c r="B436" t="s">
        <v>115</v>
      </c>
      <c r="E436" s="31" t="s">
        <v>1862</v>
      </c>
      <c r="F436" t="str">
        <f>"Warengruppe&gt;&gt;"&amp;Migrationsartikel!V434&amp;"&gt;&gt;"&amp;Migrationsartikel!W434&amp;"&gt;&gt;"&amp;Migrationsartikel!X434</f>
        <v>Warengruppe&gt;&gt;&gt;&gt;&gt;&gt;</v>
      </c>
      <c r="J436" s="31" t="s">
        <v>125</v>
      </c>
      <c r="M436" s="31" t="s">
        <v>137</v>
      </c>
      <c r="P436" s="31">
        <f>Migrationsartikel!B434</f>
        <v>0</v>
      </c>
      <c r="U436">
        <f>Migrationsartikel!F434</f>
        <v>0</v>
      </c>
      <c r="V436">
        <f>Migrationsartikel!J434</f>
        <v>0</v>
      </c>
      <c r="W436">
        <f>Migrationsartikel!N434</f>
        <v>0</v>
      </c>
      <c r="X436">
        <f>Migrationsartikel!G434</f>
        <v>0</v>
      </c>
      <c r="Y436">
        <f>Migrationsartikel!K434</f>
        <v>0</v>
      </c>
      <c r="Z436">
        <f>Migrationsartikel!O434</f>
        <v>0</v>
      </c>
      <c r="AA436" s="31">
        <f>Migrationsartikel!H434</f>
        <v>0</v>
      </c>
      <c r="AB436" s="31">
        <f>Migrationsartikel!L434</f>
        <v>0</v>
      </c>
      <c r="AC436" s="31">
        <f>Migrationsartikel!P434</f>
        <v>0</v>
      </c>
      <c r="AD436">
        <f>Migrationsartikel!I434</f>
        <v>0</v>
      </c>
      <c r="AE436">
        <f>Migrationsartikel!M434</f>
        <v>0</v>
      </c>
      <c r="AF436">
        <f>Migrationsartikel!Q434</f>
        <v>0</v>
      </c>
      <c r="AG436" s="45">
        <f>Migrationsartikel!R434</f>
        <v>0</v>
      </c>
      <c r="AH436" s="46">
        <f>Migrationsartikel!T434</f>
        <v>0</v>
      </c>
      <c r="AI436" s="46" t="str">
        <f t="shared" si="18"/>
        <v>n/a</v>
      </c>
      <c r="AJ436" s="46" t="s">
        <v>176</v>
      </c>
      <c r="AK436">
        <f>Migrationsartikel!S434</f>
        <v>0</v>
      </c>
      <c r="AL436">
        <f>Migrationsartikel!S434</f>
        <v>0</v>
      </c>
      <c r="AM436">
        <f>Migrationsartikel!S434</f>
        <v>0</v>
      </c>
      <c r="AN436">
        <f>Migrationsartikel!U434</f>
        <v>0</v>
      </c>
      <c r="AO436" t="str">
        <f t="shared" si="19"/>
        <v>n/a</v>
      </c>
      <c r="AP436" t="str">
        <f t="shared" si="20"/>
        <v>n/a</v>
      </c>
      <c r="AQ436" s="31" t="s">
        <v>195</v>
      </c>
      <c r="AR436" s="47"/>
      <c r="AS436" s="47"/>
      <c r="AT436" s="31" t="s">
        <v>208</v>
      </c>
      <c r="AU436" s="47"/>
      <c r="AV436" s="47"/>
      <c r="AW436" t="b">
        <f>IF(Migrationsartikel!AB434="ja","true",FALSE)</f>
        <v>0</v>
      </c>
      <c r="AX436" t="b">
        <f>IF(Migrationsartikel!AC434="ja","true",FALSE)</f>
        <v>0</v>
      </c>
      <c r="AY436" t="b">
        <f>IF(Migrationsartikel!AD434="ja","true",FALSE)</f>
        <v>0</v>
      </c>
      <c r="AZ436" t="b">
        <f>IF(Migrationsartikel!AE434="ja","true",FALSE)</f>
        <v>0</v>
      </c>
      <c r="BA436" t="str">
        <f>IF(Migrationsartikel!AF434="ja","Denner Partner","")</f>
        <v/>
      </c>
      <c r="BB436" t="str">
        <f>IF(Migrationsartikel!AG434="ja","true","false")</f>
        <v>false</v>
      </c>
      <c r="BC436" t="s">
        <v>1923</v>
      </c>
      <c r="BD436" s="31" t="s">
        <v>235</v>
      </c>
      <c r="BE436" s="31" t="s">
        <v>233</v>
      </c>
    </row>
    <row r="437" spans="2:57" ht="21.75" customHeight="1" x14ac:dyDescent="0.45">
      <c r="B437" t="s">
        <v>115</v>
      </c>
      <c r="E437" s="31" t="s">
        <v>1863</v>
      </c>
      <c r="F437" t="str">
        <f>"Warengruppe&gt;&gt;"&amp;Migrationsartikel!V435&amp;"&gt;&gt;"&amp;Migrationsartikel!W435&amp;"&gt;&gt;"&amp;Migrationsartikel!X435</f>
        <v>Warengruppe&gt;&gt;&gt;&gt;&gt;&gt;</v>
      </c>
      <c r="J437" s="31" t="s">
        <v>125</v>
      </c>
      <c r="M437" s="31" t="s">
        <v>137</v>
      </c>
      <c r="P437" s="31">
        <f>Migrationsartikel!B435</f>
        <v>0</v>
      </c>
      <c r="U437">
        <f>Migrationsartikel!F435</f>
        <v>0</v>
      </c>
      <c r="V437">
        <f>Migrationsartikel!J435</f>
        <v>0</v>
      </c>
      <c r="W437">
        <f>Migrationsartikel!N435</f>
        <v>0</v>
      </c>
      <c r="X437">
        <f>Migrationsartikel!G435</f>
        <v>0</v>
      </c>
      <c r="Y437">
        <f>Migrationsartikel!K435</f>
        <v>0</v>
      </c>
      <c r="Z437">
        <f>Migrationsartikel!O435</f>
        <v>0</v>
      </c>
      <c r="AA437" s="31">
        <f>Migrationsartikel!H435</f>
        <v>0</v>
      </c>
      <c r="AB437" s="31">
        <f>Migrationsartikel!L435</f>
        <v>0</v>
      </c>
      <c r="AC437" s="31">
        <f>Migrationsartikel!P435</f>
        <v>0</v>
      </c>
      <c r="AD437">
        <f>Migrationsartikel!I435</f>
        <v>0</v>
      </c>
      <c r="AE437">
        <f>Migrationsartikel!M435</f>
        <v>0</v>
      </c>
      <c r="AF437">
        <f>Migrationsartikel!Q435</f>
        <v>0</v>
      </c>
      <c r="AG437" s="45">
        <f>Migrationsartikel!R435</f>
        <v>0</v>
      </c>
      <c r="AH437" s="46">
        <f>Migrationsartikel!T435</f>
        <v>0</v>
      </c>
      <c r="AI437" s="46" t="str">
        <f t="shared" si="18"/>
        <v>n/a</v>
      </c>
      <c r="AJ437" s="46" t="s">
        <v>176</v>
      </c>
      <c r="AK437">
        <f>Migrationsartikel!S435</f>
        <v>0</v>
      </c>
      <c r="AL437">
        <f>Migrationsartikel!S435</f>
        <v>0</v>
      </c>
      <c r="AM437">
        <f>Migrationsartikel!S435</f>
        <v>0</v>
      </c>
      <c r="AN437">
        <f>Migrationsartikel!U435</f>
        <v>0</v>
      </c>
      <c r="AO437" t="str">
        <f t="shared" si="19"/>
        <v>n/a</v>
      </c>
      <c r="AP437" t="str">
        <f t="shared" si="20"/>
        <v>n/a</v>
      </c>
      <c r="AQ437" s="31" t="s">
        <v>195</v>
      </c>
      <c r="AR437" s="47"/>
      <c r="AS437" s="47"/>
      <c r="AT437" s="31" t="s">
        <v>208</v>
      </c>
      <c r="AU437" s="47"/>
      <c r="AV437" s="47"/>
      <c r="AW437" t="b">
        <f>IF(Migrationsartikel!AB435="ja","true",FALSE)</f>
        <v>0</v>
      </c>
      <c r="AX437" t="b">
        <f>IF(Migrationsartikel!AC435="ja","true",FALSE)</f>
        <v>0</v>
      </c>
      <c r="AY437" t="b">
        <f>IF(Migrationsartikel!AD435="ja","true",FALSE)</f>
        <v>0</v>
      </c>
      <c r="AZ437" t="b">
        <f>IF(Migrationsartikel!AE435="ja","true",FALSE)</f>
        <v>0</v>
      </c>
      <c r="BA437" t="str">
        <f>IF(Migrationsartikel!AF435="ja","Denner Partner","")</f>
        <v/>
      </c>
      <c r="BB437" t="str">
        <f>IF(Migrationsartikel!AG435="ja","true","false")</f>
        <v>false</v>
      </c>
      <c r="BC437" t="s">
        <v>1923</v>
      </c>
      <c r="BD437" s="31" t="s">
        <v>235</v>
      </c>
      <c r="BE437" s="31" t="s">
        <v>233</v>
      </c>
    </row>
    <row r="438" spans="2:57" ht="21.75" customHeight="1" x14ac:dyDescent="0.45">
      <c r="B438" t="s">
        <v>115</v>
      </c>
      <c r="E438" s="31" t="s">
        <v>1864</v>
      </c>
      <c r="F438" t="str">
        <f>"Warengruppe&gt;&gt;"&amp;Migrationsartikel!V436&amp;"&gt;&gt;"&amp;Migrationsartikel!W436&amp;"&gt;&gt;"&amp;Migrationsartikel!X436</f>
        <v>Warengruppe&gt;&gt;&gt;&gt;&gt;&gt;</v>
      </c>
      <c r="J438" s="31" t="s">
        <v>125</v>
      </c>
      <c r="M438" s="31" t="s">
        <v>137</v>
      </c>
      <c r="P438" s="31">
        <f>Migrationsartikel!B436</f>
        <v>0</v>
      </c>
      <c r="U438">
        <f>Migrationsartikel!F436</f>
        <v>0</v>
      </c>
      <c r="V438">
        <f>Migrationsartikel!J436</f>
        <v>0</v>
      </c>
      <c r="W438">
        <f>Migrationsartikel!N436</f>
        <v>0</v>
      </c>
      <c r="X438">
        <f>Migrationsartikel!G436</f>
        <v>0</v>
      </c>
      <c r="Y438">
        <f>Migrationsartikel!K436</f>
        <v>0</v>
      </c>
      <c r="Z438">
        <f>Migrationsartikel!O436</f>
        <v>0</v>
      </c>
      <c r="AA438" s="31">
        <f>Migrationsartikel!H436</f>
        <v>0</v>
      </c>
      <c r="AB438" s="31">
        <f>Migrationsartikel!L436</f>
        <v>0</v>
      </c>
      <c r="AC438" s="31">
        <f>Migrationsartikel!P436</f>
        <v>0</v>
      </c>
      <c r="AD438">
        <f>Migrationsartikel!I436</f>
        <v>0</v>
      </c>
      <c r="AE438">
        <f>Migrationsartikel!M436</f>
        <v>0</v>
      </c>
      <c r="AF438">
        <f>Migrationsartikel!Q436</f>
        <v>0</v>
      </c>
      <c r="AG438" s="45">
        <f>Migrationsartikel!R436</f>
        <v>0</v>
      </c>
      <c r="AH438" s="46">
        <f>Migrationsartikel!T436</f>
        <v>0</v>
      </c>
      <c r="AI438" s="46" t="str">
        <f t="shared" si="18"/>
        <v>n/a</v>
      </c>
      <c r="AJ438" s="46" t="s">
        <v>176</v>
      </c>
      <c r="AK438">
        <f>Migrationsartikel!S436</f>
        <v>0</v>
      </c>
      <c r="AL438">
        <f>Migrationsartikel!S436</f>
        <v>0</v>
      </c>
      <c r="AM438">
        <f>Migrationsartikel!S436</f>
        <v>0</v>
      </c>
      <c r="AN438">
        <f>Migrationsartikel!U436</f>
        <v>0</v>
      </c>
      <c r="AO438" t="str">
        <f t="shared" si="19"/>
        <v>n/a</v>
      </c>
      <c r="AP438" t="str">
        <f t="shared" si="20"/>
        <v>n/a</v>
      </c>
      <c r="AQ438" s="31" t="s">
        <v>195</v>
      </c>
      <c r="AR438" s="47"/>
      <c r="AS438" s="47"/>
      <c r="AT438" s="31" t="s">
        <v>208</v>
      </c>
      <c r="AU438" s="47"/>
      <c r="AV438" s="47"/>
      <c r="AW438" t="b">
        <f>IF(Migrationsartikel!AB436="ja","true",FALSE)</f>
        <v>0</v>
      </c>
      <c r="AX438" t="b">
        <f>IF(Migrationsartikel!AC436="ja","true",FALSE)</f>
        <v>0</v>
      </c>
      <c r="AY438" t="b">
        <f>IF(Migrationsartikel!AD436="ja","true",FALSE)</f>
        <v>0</v>
      </c>
      <c r="AZ438" t="b">
        <f>IF(Migrationsartikel!AE436="ja","true",FALSE)</f>
        <v>0</v>
      </c>
      <c r="BA438" t="str">
        <f>IF(Migrationsartikel!AF436="ja","Denner Partner","")</f>
        <v/>
      </c>
      <c r="BB438" t="str">
        <f>IF(Migrationsartikel!AG436="ja","true","false")</f>
        <v>false</v>
      </c>
      <c r="BC438" t="s">
        <v>1923</v>
      </c>
      <c r="BD438" s="31" t="s">
        <v>235</v>
      </c>
      <c r="BE438" s="31" t="s">
        <v>233</v>
      </c>
    </row>
    <row r="439" spans="2:57" ht="21.75" customHeight="1" x14ac:dyDescent="0.45">
      <c r="B439" t="s">
        <v>115</v>
      </c>
      <c r="E439" s="31" t="s">
        <v>1865</v>
      </c>
      <c r="F439" t="str">
        <f>"Warengruppe&gt;&gt;"&amp;Migrationsartikel!V437&amp;"&gt;&gt;"&amp;Migrationsartikel!W437&amp;"&gt;&gt;"&amp;Migrationsartikel!X437</f>
        <v>Warengruppe&gt;&gt;&gt;&gt;&gt;&gt;</v>
      </c>
      <c r="J439" s="31" t="s">
        <v>125</v>
      </c>
      <c r="M439" s="31" t="s">
        <v>137</v>
      </c>
      <c r="P439" s="31">
        <f>Migrationsartikel!B437</f>
        <v>0</v>
      </c>
      <c r="U439">
        <f>Migrationsartikel!F437</f>
        <v>0</v>
      </c>
      <c r="V439">
        <f>Migrationsartikel!J437</f>
        <v>0</v>
      </c>
      <c r="W439">
        <f>Migrationsartikel!N437</f>
        <v>0</v>
      </c>
      <c r="X439">
        <f>Migrationsartikel!G437</f>
        <v>0</v>
      </c>
      <c r="Y439">
        <f>Migrationsartikel!K437</f>
        <v>0</v>
      </c>
      <c r="Z439">
        <f>Migrationsartikel!O437</f>
        <v>0</v>
      </c>
      <c r="AA439" s="31">
        <f>Migrationsartikel!H437</f>
        <v>0</v>
      </c>
      <c r="AB439" s="31">
        <f>Migrationsartikel!L437</f>
        <v>0</v>
      </c>
      <c r="AC439" s="31">
        <f>Migrationsartikel!P437</f>
        <v>0</v>
      </c>
      <c r="AD439">
        <f>Migrationsartikel!I437</f>
        <v>0</v>
      </c>
      <c r="AE439">
        <f>Migrationsartikel!M437</f>
        <v>0</v>
      </c>
      <c r="AF439">
        <f>Migrationsartikel!Q437</f>
        <v>0</v>
      </c>
      <c r="AG439" s="45">
        <f>Migrationsartikel!R437</f>
        <v>0</v>
      </c>
      <c r="AH439" s="46">
        <f>Migrationsartikel!T437</f>
        <v>0</v>
      </c>
      <c r="AI439" s="46" t="str">
        <f t="shared" si="18"/>
        <v>n/a</v>
      </c>
      <c r="AJ439" s="46" t="s">
        <v>176</v>
      </c>
      <c r="AK439">
        <f>Migrationsartikel!S437</f>
        <v>0</v>
      </c>
      <c r="AL439">
        <f>Migrationsartikel!S437</f>
        <v>0</v>
      </c>
      <c r="AM439">
        <f>Migrationsartikel!S437</f>
        <v>0</v>
      </c>
      <c r="AN439">
        <f>Migrationsartikel!U437</f>
        <v>0</v>
      </c>
      <c r="AO439" t="str">
        <f t="shared" si="19"/>
        <v>n/a</v>
      </c>
      <c r="AP439" t="str">
        <f t="shared" si="20"/>
        <v>n/a</v>
      </c>
      <c r="AQ439" s="31" t="s">
        <v>195</v>
      </c>
      <c r="AR439" s="47"/>
      <c r="AS439" s="47"/>
      <c r="AT439" s="31" t="s">
        <v>208</v>
      </c>
      <c r="AU439" s="47"/>
      <c r="AV439" s="47"/>
      <c r="AW439" t="b">
        <f>IF(Migrationsartikel!AB437="ja","true",FALSE)</f>
        <v>0</v>
      </c>
      <c r="AX439" t="b">
        <f>IF(Migrationsartikel!AC437="ja","true",FALSE)</f>
        <v>0</v>
      </c>
      <c r="AY439" t="b">
        <f>IF(Migrationsartikel!AD437="ja","true",FALSE)</f>
        <v>0</v>
      </c>
      <c r="AZ439" t="b">
        <f>IF(Migrationsartikel!AE437="ja","true",FALSE)</f>
        <v>0</v>
      </c>
      <c r="BA439" t="str">
        <f>IF(Migrationsartikel!AF437="ja","Denner Partner","")</f>
        <v/>
      </c>
      <c r="BB439" t="str">
        <f>IF(Migrationsartikel!AG437="ja","true","false")</f>
        <v>false</v>
      </c>
      <c r="BC439" t="s">
        <v>1923</v>
      </c>
      <c r="BD439" s="31" t="s">
        <v>235</v>
      </c>
      <c r="BE439" s="31" t="s">
        <v>233</v>
      </c>
    </row>
    <row r="440" spans="2:57" ht="21.75" customHeight="1" x14ac:dyDescent="0.45">
      <c r="B440" t="s">
        <v>115</v>
      </c>
      <c r="E440" s="31" t="s">
        <v>1866</v>
      </c>
      <c r="F440" t="str">
        <f>"Warengruppe&gt;&gt;"&amp;Migrationsartikel!V438&amp;"&gt;&gt;"&amp;Migrationsartikel!W438&amp;"&gt;&gt;"&amp;Migrationsartikel!X438</f>
        <v>Warengruppe&gt;&gt;&gt;&gt;&gt;&gt;</v>
      </c>
      <c r="J440" s="31" t="s">
        <v>125</v>
      </c>
      <c r="M440" s="31" t="s">
        <v>137</v>
      </c>
      <c r="P440" s="31">
        <f>Migrationsartikel!B438</f>
        <v>0</v>
      </c>
      <c r="U440">
        <f>Migrationsartikel!F438</f>
        <v>0</v>
      </c>
      <c r="V440">
        <f>Migrationsartikel!J438</f>
        <v>0</v>
      </c>
      <c r="W440">
        <f>Migrationsartikel!N438</f>
        <v>0</v>
      </c>
      <c r="X440">
        <f>Migrationsartikel!G438</f>
        <v>0</v>
      </c>
      <c r="Y440">
        <f>Migrationsartikel!K438</f>
        <v>0</v>
      </c>
      <c r="Z440">
        <f>Migrationsartikel!O438</f>
        <v>0</v>
      </c>
      <c r="AA440" s="31">
        <f>Migrationsartikel!H438</f>
        <v>0</v>
      </c>
      <c r="AB440" s="31">
        <f>Migrationsartikel!L438</f>
        <v>0</v>
      </c>
      <c r="AC440" s="31">
        <f>Migrationsartikel!P438</f>
        <v>0</v>
      </c>
      <c r="AD440">
        <f>Migrationsartikel!I438</f>
        <v>0</v>
      </c>
      <c r="AE440">
        <f>Migrationsartikel!M438</f>
        <v>0</v>
      </c>
      <c r="AF440">
        <f>Migrationsartikel!Q438</f>
        <v>0</v>
      </c>
      <c r="AG440" s="45">
        <f>Migrationsartikel!R438</f>
        <v>0</v>
      </c>
      <c r="AH440" s="46">
        <f>Migrationsartikel!T438</f>
        <v>0</v>
      </c>
      <c r="AI440" s="46" t="str">
        <f t="shared" si="18"/>
        <v>n/a</v>
      </c>
      <c r="AJ440" s="46" t="s">
        <v>176</v>
      </c>
      <c r="AK440">
        <f>Migrationsartikel!S438</f>
        <v>0</v>
      </c>
      <c r="AL440">
        <f>Migrationsartikel!S438</f>
        <v>0</v>
      </c>
      <c r="AM440">
        <f>Migrationsartikel!S438</f>
        <v>0</v>
      </c>
      <c r="AN440">
        <f>Migrationsartikel!U438</f>
        <v>0</v>
      </c>
      <c r="AO440" t="str">
        <f t="shared" si="19"/>
        <v>n/a</v>
      </c>
      <c r="AP440" t="str">
        <f t="shared" si="20"/>
        <v>n/a</v>
      </c>
      <c r="AQ440" s="31" t="s">
        <v>195</v>
      </c>
      <c r="AR440" s="47"/>
      <c r="AS440" s="47"/>
      <c r="AT440" s="31" t="s">
        <v>208</v>
      </c>
      <c r="AU440" s="47"/>
      <c r="AV440" s="47"/>
      <c r="AW440" t="b">
        <f>IF(Migrationsartikel!AB438="ja","true",FALSE)</f>
        <v>0</v>
      </c>
      <c r="AX440" t="b">
        <f>IF(Migrationsartikel!AC438="ja","true",FALSE)</f>
        <v>0</v>
      </c>
      <c r="AY440" t="b">
        <f>IF(Migrationsartikel!AD438="ja","true",FALSE)</f>
        <v>0</v>
      </c>
      <c r="AZ440" t="b">
        <f>IF(Migrationsartikel!AE438="ja","true",FALSE)</f>
        <v>0</v>
      </c>
      <c r="BA440" t="str">
        <f>IF(Migrationsartikel!AF438="ja","Denner Partner","")</f>
        <v/>
      </c>
      <c r="BB440" t="str">
        <f>IF(Migrationsartikel!AG438="ja","true","false")</f>
        <v>false</v>
      </c>
      <c r="BC440" t="s">
        <v>1923</v>
      </c>
      <c r="BD440" s="31" t="s">
        <v>235</v>
      </c>
      <c r="BE440" s="31" t="s">
        <v>233</v>
      </c>
    </row>
    <row r="441" spans="2:57" ht="21.75" customHeight="1" x14ac:dyDescent="0.45">
      <c r="B441" t="s">
        <v>115</v>
      </c>
      <c r="E441" s="31" t="s">
        <v>1867</v>
      </c>
      <c r="F441" t="str">
        <f>"Warengruppe&gt;&gt;"&amp;Migrationsartikel!V439&amp;"&gt;&gt;"&amp;Migrationsartikel!W439&amp;"&gt;&gt;"&amp;Migrationsartikel!X439</f>
        <v>Warengruppe&gt;&gt;&gt;&gt;&gt;&gt;</v>
      </c>
      <c r="J441" s="31" t="s">
        <v>125</v>
      </c>
      <c r="M441" s="31" t="s">
        <v>137</v>
      </c>
      <c r="P441" s="31">
        <f>Migrationsartikel!B439</f>
        <v>0</v>
      </c>
      <c r="U441">
        <f>Migrationsartikel!F439</f>
        <v>0</v>
      </c>
      <c r="V441">
        <f>Migrationsartikel!J439</f>
        <v>0</v>
      </c>
      <c r="W441">
        <f>Migrationsartikel!N439</f>
        <v>0</v>
      </c>
      <c r="X441">
        <f>Migrationsartikel!G439</f>
        <v>0</v>
      </c>
      <c r="Y441">
        <f>Migrationsartikel!K439</f>
        <v>0</v>
      </c>
      <c r="Z441">
        <f>Migrationsartikel!O439</f>
        <v>0</v>
      </c>
      <c r="AA441" s="31">
        <f>Migrationsartikel!H439</f>
        <v>0</v>
      </c>
      <c r="AB441" s="31">
        <f>Migrationsartikel!L439</f>
        <v>0</v>
      </c>
      <c r="AC441" s="31">
        <f>Migrationsartikel!P439</f>
        <v>0</v>
      </c>
      <c r="AD441">
        <f>Migrationsartikel!I439</f>
        <v>0</v>
      </c>
      <c r="AE441">
        <f>Migrationsartikel!M439</f>
        <v>0</v>
      </c>
      <c r="AF441">
        <f>Migrationsartikel!Q439</f>
        <v>0</v>
      </c>
      <c r="AG441" s="45">
        <f>Migrationsartikel!R439</f>
        <v>0</v>
      </c>
      <c r="AH441" s="46">
        <f>Migrationsartikel!T439</f>
        <v>0</v>
      </c>
      <c r="AI441" s="46" t="str">
        <f t="shared" si="18"/>
        <v>n/a</v>
      </c>
      <c r="AJ441" s="46" t="s">
        <v>176</v>
      </c>
      <c r="AK441">
        <f>Migrationsartikel!S439</f>
        <v>0</v>
      </c>
      <c r="AL441">
        <f>Migrationsartikel!S439</f>
        <v>0</v>
      </c>
      <c r="AM441">
        <f>Migrationsartikel!S439</f>
        <v>0</v>
      </c>
      <c r="AN441">
        <f>Migrationsartikel!U439</f>
        <v>0</v>
      </c>
      <c r="AO441" t="str">
        <f t="shared" si="19"/>
        <v>n/a</v>
      </c>
      <c r="AP441" t="str">
        <f t="shared" si="20"/>
        <v>n/a</v>
      </c>
      <c r="AQ441" s="31" t="s">
        <v>195</v>
      </c>
      <c r="AR441" s="47"/>
      <c r="AS441" s="47"/>
      <c r="AT441" s="31" t="s">
        <v>208</v>
      </c>
      <c r="AU441" s="47"/>
      <c r="AV441" s="47"/>
      <c r="AW441" t="b">
        <f>IF(Migrationsartikel!AB439="ja","true",FALSE)</f>
        <v>0</v>
      </c>
      <c r="AX441" t="b">
        <f>IF(Migrationsartikel!AC439="ja","true",FALSE)</f>
        <v>0</v>
      </c>
      <c r="AY441" t="b">
        <f>IF(Migrationsartikel!AD439="ja","true",FALSE)</f>
        <v>0</v>
      </c>
      <c r="AZ441" t="b">
        <f>IF(Migrationsartikel!AE439="ja","true",FALSE)</f>
        <v>0</v>
      </c>
      <c r="BA441" t="str">
        <f>IF(Migrationsartikel!AF439="ja","Denner Partner","")</f>
        <v/>
      </c>
      <c r="BB441" t="str">
        <f>IF(Migrationsartikel!AG439="ja","true","false")</f>
        <v>false</v>
      </c>
      <c r="BC441" t="s">
        <v>1923</v>
      </c>
      <c r="BD441" s="31" t="s">
        <v>235</v>
      </c>
      <c r="BE441" s="31" t="s">
        <v>233</v>
      </c>
    </row>
    <row r="442" spans="2:57" ht="21.75" customHeight="1" x14ac:dyDescent="0.45">
      <c r="B442" t="s">
        <v>115</v>
      </c>
      <c r="E442" s="31" t="s">
        <v>1868</v>
      </c>
      <c r="F442" t="str">
        <f>"Warengruppe&gt;&gt;"&amp;Migrationsartikel!V440&amp;"&gt;&gt;"&amp;Migrationsartikel!W440&amp;"&gt;&gt;"&amp;Migrationsartikel!X440</f>
        <v>Warengruppe&gt;&gt;&gt;&gt;&gt;&gt;</v>
      </c>
      <c r="J442" s="31" t="s">
        <v>125</v>
      </c>
      <c r="M442" s="31" t="s">
        <v>137</v>
      </c>
      <c r="P442" s="31">
        <f>Migrationsartikel!B440</f>
        <v>0</v>
      </c>
      <c r="U442">
        <f>Migrationsartikel!F440</f>
        <v>0</v>
      </c>
      <c r="V442">
        <f>Migrationsartikel!J440</f>
        <v>0</v>
      </c>
      <c r="W442">
        <f>Migrationsartikel!N440</f>
        <v>0</v>
      </c>
      <c r="X442">
        <f>Migrationsartikel!G440</f>
        <v>0</v>
      </c>
      <c r="Y442">
        <f>Migrationsartikel!K440</f>
        <v>0</v>
      </c>
      <c r="Z442">
        <f>Migrationsartikel!O440</f>
        <v>0</v>
      </c>
      <c r="AA442" s="31">
        <f>Migrationsartikel!H440</f>
        <v>0</v>
      </c>
      <c r="AB442" s="31">
        <f>Migrationsartikel!L440</f>
        <v>0</v>
      </c>
      <c r="AC442" s="31">
        <f>Migrationsartikel!P440</f>
        <v>0</v>
      </c>
      <c r="AD442">
        <f>Migrationsartikel!I440</f>
        <v>0</v>
      </c>
      <c r="AE442">
        <f>Migrationsartikel!M440</f>
        <v>0</v>
      </c>
      <c r="AF442">
        <f>Migrationsartikel!Q440</f>
        <v>0</v>
      </c>
      <c r="AG442" s="45">
        <f>Migrationsartikel!R440</f>
        <v>0</v>
      </c>
      <c r="AH442" s="46">
        <f>Migrationsartikel!T440</f>
        <v>0</v>
      </c>
      <c r="AI442" s="46" t="str">
        <f t="shared" si="18"/>
        <v>n/a</v>
      </c>
      <c r="AJ442" s="46" t="s">
        <v>176</v>
      </c>
      <c r="AK442">
        <f>Migrationsartikel!S440</f>
        <v>0</v>
      </c>
      <c r="AL442">
        <f>Migrationsartikel!S440</f>
        <v>0</v>
      </c>
      <c r="AM442">
        <f>Migrationsartikel!S440</f>
        <v>0</v>
      </c>
      <c r="AN442">
        <f>Migrationsartikel!U440</f>
        <v>0</v>
      </c>
      <c r="AO442" t="str">
        <f t="shared" si="19"/>
        <v>n/a</v>
      </c>
      <c r="AP442" t="str">
        <f t="shared" si="20"/>
        <v>n/a</v>
      </c>
      <c r="AQ442" s="31" t="s">
        <v>195</v>
      </c>
      <c r="AR442" s="47"/>
      <c r="AS442" s="47"/>
      <c r="AT442" s="31" t="s">
        <v>208</v>
      </c>
      <c r="AU442" s="47"/>
      <c r="AV442" s="47"/>
      <c r="AW442" t="b">
        <f>IF(Migrationsartikel!AB440="ja","true",FALSE)</f>
        <v>0</v>
      </c>
      <c r="AX442" t="b">
        <f>IF(Migrationsartikel!AC440="ja","true",FALSE)</f>
        <v>0</v>
      </c>
      <c r="AY442" t="b">
        <f>IF(Migrationsartikel!AD440="ja","true",FALSE)</f>
        <v>0</v>
      </c>
      <c r="AZ442" t="b">
        <f>IF(Migrationsartikel!AE440="ja","true",FALSE)</f>
        <v>0</v>
      </c>
      <c r="BA442" t="str">
        <f>IF(Migrationsartikel!AF440="ja","Denner Partner","")</f>
        <v/>
      </c>
      <c r="BB442" t="str">
        <f>IF(Migrationsartikel!AG440="ja","true","false")</f>
        <v>false</v>
      </c>
      <c r="BC442" t="s">
        <v>1923</v>
      </c>
      <c r="BD442" s="31" t="s">
        <v>235</v>
      </c>
      <c r="BE442" s="31" t="s">
        <v>233</v>
      </c>
    </row>
    <row r="443" spans="2:57" ht="21.75" customHeight="1" x14ac:dyDescent="0.45">
      <c r="B443" t="s">
        <v>115</v>
      </c>
      <c r="E443" s="31" t="s">
        <v>1869</v>
      </c>
      <c r="F443" t="str">
        <f>"Warengruppe&gt;&gt;"&amp;Migrationsartikel!V441&amp;"&gt;&gt;"&amp;Migrationsartikel!W441&amp;"&gt;&gt;"&amp;Migrationsartikel!X441</f>
        <v>Warengruppe&gt;&gt;&gt;&gt;&gt;&gt;</v>
      </c>
      <c r="J443" s="31" t="s">
        <v>125</v>
      </c>
      <c r="M443" s="31" t="s">
        <v>137</v>
      </c>
      <c r="P443" s="31">
        <f>Migrationsartikel!B441</f>
        <v>0</v>
      </c>
      <c r="U443">
        <f>Migrationsartikel!F441</f>
        <v>0</v>
      </c>
      <c r="V443">
        <f>Migrationsartikel!J441</f>
        <v>0</v>
      </c>
      <c r="W443">
        <f>Migrationsartikel!N441</f>
        <v>0</v>
      </c>
      <c r="X443">
        <f>Migrationsartikel!G441</f>
        <v>0</v>
      </c>
      <c r="Y443">
        <f>Migrationsartikel!K441</f>
        <v>0</v>
      </c>
      <c r="Z443">
        <f>Migrationsartikel!O441</f>
        <v>0</v>
      </c>
      <c r="AA443" s="31">
        <f>Migrationsartikel!H441</f>
        <v>0</v>
      </c>
      <c r="AB443" s="31">
        <f>Migrationsartikel!L441</f>
        <v>0</v>
      </c>
      <c r="AC443" s="31">
        <f>Migrationsartikel!P441</f>
        <v>0</v>
      </c>
      <c r="AD443">
        <f>Migrationsartikel!I441</f>
        <v>0</v>
      </c>
      <c r="AE443">
        <f>Migrationsartikel!M441</f>
        <v>0</v>
      </c>
      <c r="AF443">
        <f>Migrationsartikel!Q441</f>
        <v>0</v>
      </c>
      <c r="AG443" s="45">
        <f>Migrationsartikel!R441</f>
        <v>0</v>
      </c>
      <c r="AH443" s="46">
        <f>Migrationsartikel!T441</f>
        <v>0</v>
      </c>
      <c r="AI443" s="46" t="str">
        <f t="shared" si="18"/>
        <v>n/a</v>
      </c>
      <c r="AJ443" s="46" t="s">
        <v>176</v>
      </c>
      <c r="AK443">
        <f>Migrationsartikel!S441</f>
        <v>0</v>
      </c>
      <c r="AL443">
        <f>Migrationsartikel!S441</f>
        <v>0</v>
      </c>
      <c r="AM443">
        <f>Migrationsartikel!S441</f>
        <v>0</v>
      </c>
      <c r="AN443">
        <f>Migrationsartikel!U441</f>
        <v>0</v>
      </c>
      <c r="AO443" t="str">
        <f t="shared" si="19"/>
        <v>n/a</v>
      </c>
      <c r="AP443" t="str">
        <f t="shared" si="20"/>
        <v>n/a</v>
      </c>
      <c r="AQ443" s="31" t="s">
        <v>195</v>
      </c>
      <c r="AR443" s="47"/>
      <c r="AS443" s="47"/>
      <c r="AT443" s="31" t="s">
        <v>208</v>
      </c>
      <c r="AU443" s="47"/>
      <c r="AV443" s="47"/>
      <c r="AW443" t="b">
        <f>IF(Migrationsartikel!AB441="ja","true",FALSE)</f>
        <v>0</v>
      </c>
      <c r="AX443" t="b">
        <f>IF(Migrationsartikel!AC441="ja","true",FALSE)</f>
        <v>0</v>
      </c>
      <c r="AY443" t="b">
        <f>IF(Migrationsartikel!AD441="ja","true",FALSE)</f>
        <v>0</v>
      </c>
      <c r="AZ443" t="b">
        <f>IF(Migrationsartikel!AE441="ja","true",FALSE)</f>
        <v>0</v>
      </c>
      <c r="BA443" t="str">
        <f>IF(Migrationsartikel!AF441="ja","Denner Partner","")</f>
        <v/>
      </c>
      <c r="BB443" t="str">
        <f>IF(Migrationsartikel!AG441="ja","true","false")</f>
        <v>false</v>
      </c>
      <c r="BC443" t="s">
        <v>1923</v>
      </c>
      <c r="BD443" s="31" t="s">
        <v>235</v>
      </c>
      <c r="BE443" s="31" t="s">
        <v>233</v>
      </c>
    </row>
    <row r="444" spans="2:57" ht="21.75" customHeight="1" x14ac:dyDescent="0.45">
      <c r="B444" t="s">
        <v>115</v>
      </c>
      <c r="E444" s="31" t="s">
        <v>1870</v>
      </c>
      <c r="F444" t="str">
        <f>"Warengruppe&gt;&gt;"&amp;Migrationsartikel!V442&amp;"&gt;&gt;"&amp;Migrationsartikel!W442&amp;"&gt;&gt;"&amp;Migrationsartikel!X442</f>
        <v>Warengruppe&gt;&gt;&gt;&gt;&gt;&gt;</v>
      </c>
      <c r="J444" s="31" t="s">
        <v>125</v>
      </c>
      <c r="M444" s="31" t="s">
        <v>137</v>
      </c>
      <c r="P444" s="31">
        <f>Migrationsartikel!B442</f>
        <v>0</v>
      </c>
      <c r="U444">
        <f>Migrationsartikel!F442</f>
        <v>0</v>
      </c>
      <c r="V444">
        <f>Migrationsartikel!J442</f>
        <v>0</v>
      </c>
      <c r="W444">
        <f>Migrationsartikel!N442</f>
        <v>0</v>
      </c>
      <c r="X444">
        <f>Migrationsartikel!G442</f>
        <v>0</v>
      </c>
      <c r="Y444">
        <f>Migrationsartikel!K442</f>
        <v>0</v>
      </c>
      <c r="Z444">
        <f>Migrationsartikel!O442</f>
        <v>0</v>
      </c>
      <c r="AA444" s="31">
        <f>Migrationsartikel!H442</f>
        <v>0</v>
      </c>
      <c r="AB444" s="31">
        <f>Migrationsartikel!L442</f>
        <v>0</v>
      </c>
      <c r="AC444" s="31">
        <f>Migrationsartikel!P442</f>
        <v>0</v>
      </c>
      <c r="AD444">
        <f>Migrationsartikel!I442</f>
        <v>0</v>
      </c>
      <c r="AE444">
        <f>Migrationsartikel!M442</f>
        <v>0</v>
      </c>
      <c r="AF444">
        <f>Migrationsartikel!Q442</f>
        <v>0</v>
      </c>
      <c r="AG444" s="45">
        <f>Migrationsartikel!R442</f>
        <v>0</v>
      </c>
      <c r="AH444" s="46">
        <f>Migrationsartikel!T442</f>
        <v>0</v>
      </c>
      <c r="AI444" s="46" t="str">
        <f t="shared" si="18"/>
        <v>n/a</v>
      </c>
      <c r="AJ444" s="46" t="s">
        <v>176</v>
      </c>
      <c r="AK444">
        <f>Migrationsartikel!S442</f>
        <v>0</v>
      </c>
      <c r="AL444">
        <f>Migrationsartikel!S442</f>
        <v>0</v>
      </c>
      <c r="AM444">
        <f>Migrationsartikel!S442</f>
        <v>0</v>
      </c>
      <c r="AN444">
        <f>Migrationsartikel!U442</f>
        <v>0</v>
      </c>
      <c r="AO444" t="str">
        <f t="shared" si="19"/>
        <v>n/a</v>
      </c>
      <c r="AP444" t="str">
        <f t="shared" si="20"/>
        <v>n/a</v>
      </c>
      <c r="AQ444" s="31" t="s">
        <v>195</v>
      </c>
      <c r="AR444" s="47"/>
      <c r="AS444" s="47"/>
      <c r="AT444" s="31" t="s">
        <v>208</v>
      </c>
      <c r="AU444" s="47"/>
      <c r="AV444" s="47"/>
      <c r="AW444" t="b">
        <f>IF(Migrationsartikel!AB442="ja","true",FALSE)</f>
        <v>0</v>
      </c>
      <c r="AX444" t="b">
        <f>IF(Migrationsartikel!AC442="ja","true",FALSE)</f>
        <v>0</v>
      </c>
      <c r="AY444" t="b">
        <f>IF(Migrationsartikel!AD442="ja","true",FALSE)</f>
        <v>0</v>
      </c>
      <c r="AZ444" t="b">
        <f>IF(Migrationsartikel!AE442="ja","true",FALSE)</f>
        <v>0</v>
      </c>
      <c r="BA444" t="str">
        <f>IF(Migrationsartikel!AF442="ja","Denner Partner","")</f>
        <v/>
      </c>
      <c r="BB444" t="str">
        <f>IF(Migrationsartikel!AG442="ja","true","false")</f>
        <v>false</v>
      </c>
      <c r="BC444" t="s">
        <v>1923</v>
      </c>
      <c r="BD444" s="31" t="s">
        <v>235</v>
      </c>
      <c r="BE444" s="31" t="s">
        <v>233</v>
      </c>
    </row>
    <row r="445" spans="2:57" ht="21.75" customHeight="1" x14ac:dyDescent="0.45">
      <c r="B445" t="s">
        <v>115</v>
      </c>
      <c r="E445" s="31" t="s">
        <v>1871</v>
      </c>
      <c r="F445" t="str">
        <f>"Warengruppe&gt;&gt;"&amp;Migrationsartikel!V443&amp;"&gt;&gt;"&amp;Migrationsartikel!W443&amp;"&gt;&gt;"&amp;Migrationsartikel!X443</f>
        <v>Warengruppe&gt;&gt;&gt;&gt;&gt;&gt;</v>
      </c>
      <c r="J445" s="31" t="s">
        <v>125</v>
      </c>
      <c r="M445" s="31" t="s">
        <v>137</v>
      </c>
      <c r="P445" s="31">
        <f>Migrationsartikel!B443</f>
        <v>0</v>
      </c>
      <c r="U445">
        <f>Migrationsartikel!F443</f>
        <v>0</v>
      </c>
      <c r="V445">
        <f>Migrationsartikel!J443</f>
        <v>0</v>
      </c>
      <c r="W445">
        <f>Migrationsartikel!N443</f>
        <v>0</v>
      </c>
      <c r="X445">
        <f>Migrationsartikel!G443</f>
        <v>0</v>
      </c>
      <c r="Y445">
        <f>Migrationsartikel!K443</f>
        <v>0</v>
      </c>
      <c r="Z445">
        <f>Migrationsartikel!O443</f>
        <v>0</v>
      </c>
      <c r="AA445" s="31">
        <f>Migrationsartikel!H443</f>
        <v>0</v>
      </c>
      <c r="AB445" s="31">
        <f>Migrationsartikel!L443</f>
        <v>0</v>
      </c>
      <c r="AC445" s="31">
        <f>Migrationsartikel!P443</f>
        <v>0</v>
      </c>
      <c r="AD445">
        <f>Migrationsartikel!I443</f>
        <v>0</v>
      </c>
      <c r="AE445">
        <f>Migrationsartikel!M443</f>
        <v>0</v>
      </c>
      <c r="AF445">
        <f>Migrationsartikel!Q443</f>
        <v>0</v>
      </c>
      <c r="AG445" s="45">
        <f>Migrationsartikel!R443</f>
        <v>0</v>
      </c>
      <c r="AH445" s="46">
        <f>Migrationsartikel!T443</f>
        <v>0</v>
      </c>
      <c r="AI445" s="46" t="str">
        <f t="shared" si="18"/>
        <v>n/a</v>
      </c>
      <c r="AJ445" s="46" t="s">
        <v>176</v>
      </c>
      <c r="AK445">
        <f>Migrationsartikel!S443</f>
        <v>0</v>
      </c>
      <c r="AL445">
        <f>Migrationsartikel!S443</f>
        <v>0</v>
      </c>
      <c r="AM445">
        <f>Migrationsartikel!S443</f>
        <v>0</v>
      </c>
      <c r="AN445">
        <f>Migrationsartikel!U443</f>
        <v>0</v>
      </c>
      <c r="AO445" t="str">
        <f t="shared" si="19"/>
        <v>n/a</v>
      </c>
      <c r="AP445" t="str">
        <f t="shared" si="20"/>
        <v>n/a</v>
      </c>
      <c r="AQ445" s="31" t="s">
        <v>195</v>
      </c>
      <c r="AR445" s="47"/>
      <c r="AS445" s="47"/>
      <c r="AT445" s="31" t="s">
        <v>208</v>
      </c>
      <c r="AU445" s="47"/>
      <c r="AV445" s="47"/>
      <c r="AW445" t="b">
        <f>IF(Migrationsartikel!AB443="ja","true",FALSE)</f>
        <v>0</v>
      </c>
      <c r="AX445" t="b">
        <f>IF(Migrationsartikel!AC443="ja","true",FALSE)</f>
        <v>0</v>
      </c>
      <c r="AY445" t="b">
        <f>IF(Migrationsartikel!AD443="ja","true",FALSE)</f>
        <v>0</v>
      </c>
      <c r="AZ445" t="b">
        <f>IF(Migrationsartikel!AE443="ja","true",FALSE)</f>
        <v>0</v>
      </c>
      <c r="BA445" t="str">
        <f>IF(Migrationsartikel!AF443="ja","Denner Partner","")</f>
        <v/>
      </c>
      <c r="BB445" t="str">
        <f>IF(Migrationsartikel!AG443="ja","true","false")</f>
        <v>false</v>
      </c>
      <c r="BC445" t="s">
        <v>1923</v>
      </c>
      <c r="BD445" s="31" t="s">
        <v>235</v>
      </c>
      <c r="BE445" s="31" t="s">
        <v>233</v>
      </c>
    </row>
    <row r="446" spans="2:57" ht="21.75" customHeight="1" x14ac:dyDescent="0.45">
      <c r="B446" t="s">
        <v>115</v>
      </c>
      <c r="E446" s="31" t="s">
        <v>1872</v>
      </c>
      <c r="F446" t="str">
        <f>"Warengruppe&gt;&gt;"&amp;Migrationsartikel!V444&amp;"&gt;&gt;"&amp;Migrationsartikel!W444&amp;"&gt;&gt;"&amp;Migrationsartikel!X444</f>
        <v>Warengruppe&gt;&gt;&gt;&gt;&gt;&gt;</v>
      </c>
      <c r="J446" s="31" t="s">
        <v>125</v>
      </c>
      <c r="M446" s="31" t="s">
        <v>137</v>
      </c>
      <c r="P446" s="31">
        <f>Migrationsartikel!B444</f>
        <v>0</v>
      </c>
      <c r="U446">
        <f>Migrationsartikel!F444</f>
        <v>0</v>
      </c>
      <c r="V446">
        <f>Migrationsartikel!J444</f>
        <v>0</v>
      </c>
      <c r="W446">
        <f>Migrationsartikel!N444</f>
        <v>0</v>
      </c>
      <c r="X446">
        <f>Migrationsartikel!G444</f>
        <v>0</v>
      </c>
      <c r="Y446">
        <f>Migrationsartikel!K444</f>
        <v>0</v>
      </c>
      <c r="Z446">
        <f>Migrationsartikel!O444</f>
        <v>0</v>
      </c>
      <c r="AA446" s="31">
        <f>Migrationsartikel!H444</f>
        <v>0</v>
      </c>
      <c r="AB446" s="31">
        <f>Migrationsartikel!L444</f>
        <v>0</v>
      </c>
      <c r="AC446" s="31">
        <f>Migrationsartikel!P444</f>
        <v>0</v>
      </c>
      <c r="AD446">
        <f>Migrationsartikel!I444</f>
        <v>0</v>
      </c>
      <c r="AE446">
        <f>Migrationsartikel!M444</f>
        <v>0</v>
      </c>
      <c r="AF446">
        <f>Migrationsartikel!Q444</f>
        <v>0</v>
      </c>
      <c r="AG446" s="45">
        <f>Migrationsartikel!R444</f>
        <v>0</v>
      </c>
      <c r="AH446" s="46">
        <f>Migrationsartikel!T444</f>
        <v>0</v>
      </c>
      <c r="AI446" s="46" t="str">
        <f t="shared" si="18"/>
        <v>n/a</v>
      </c>
      <c r="AJ446" s="46" t="s">
        <v>176</v>
      </c>
      <c r="AK446">
        <f>Migrationsartikel!S444</f>
        <v>0</v>
      </c>
      <c r="AL446">
        <f>Migrationsartikel!S444</f>
        <v>0</v>
      </c>
      <c r="AM446">
        <f>Migrationsartikel!S444</f>
        <v>0</v>
      </c>
      <c r="AN446">
        <f>Migrationsartikel!U444</f>
        <v>0</v>
      </c>
      <c r="AO446" t="str">
        <f t="shared" si="19"/>
        <v>n/a</v>
      </c>
      <c r="AP446" t="str">
        <f t="shared" si="20"/>
        <v>n/a</v>
      </c>
      <c r="AQ446" s="31" t="s">
        <v>195</v>
      </c>
      <c r="AR446" s="47"/>
      <c r="AS446" s="47"/>
      <c r="AT446" s="31" t="s">
        <v>208</v>
      </c>
      <c r="AU446" s="47"/>
      <c r="AV446" s="47"/>
      <c r="AW446" t="b">
        <f>IF(Migrationsartikel!AB444="ja","true",FALSE)</f>
        <v>0</v>
      </c>
      <c r="AX446" t="b">
        <f>IF(Migrationsartikel!AC444="ja","true",FALSE)</f>
        <v>0</v>
      </c>
      <c r="AY446" t="b">
        <f>IF(Migrationsartikel!AD444="ja","true",FALSE)</f>
        <v>0</v>
      </c>
      <c r="AZ446" t="b">
        <f>IF(Migrationsartikel!AE444="ja","true",FALSE)</f>
        <v>0</v>
      </c>
      <c r="BA446" t="str">
        <f>IF(Migrationsartikel!AF444="ja","Denner Partner","")</f>
        <v/>
      </c>
      <c r="BB446" t="str">
        <f>IF(Migrationsartikel!AG444="ja","true","false")</f>
        <v>false</v>
      </c>
      <c r="BC446" t="s">
        <v>1923</v>
      </c>
      <c r="BD446" s="31" t="s">
        <v>235</v>
      </c>
      <c r="BE446" s="31" t="s">
        <v>233</v>
      </c>
    </row>
    <row r="447" spans="2:57" ht="21.75" customHeight="1" x14ac:dyDescent="0.45">
      <c r="B447" t="s">
        <v>115</v>
      </c>
      <c r="E447" s="31" t="s">
        <v>1873</v>
      </c>
      <c r="F447" t="str">
        <f>"Warengruppe&gt;&gt;"&amp;Migrationsartikel!V445&amp;"&gt;&gt;"&amp;Migrationsartikel!W445&amp;"&gt;&gt;"&amp;Migrationsartikel!X445</f>
        <v>Warengruppe&gt;&gt;&gt;&gt;&gt;&gt;</v>
      </c>
      <c r="J447" s="31" t="s">
        <v>125</v>
      </c>
      <c r="M447" s="31" t="s">
        <v>137</v>
      </c>
      <c r="P447" s="31">
        <f>Migrationsartikel!B445</f>
        <v>0</v>
      </c>
      <c r="U447">
        <f>Migrationsartikel!F445</f>
        <v>0</v>
      </c>
      <c r="V447">
        <f>Migrationsartikel!J445</f>
        <v>0</v>
      </c>
      <c r="W447">
        <f>Migrationsartikel!N445</f>
        <v>0</v>
      </c>
      <c r="X447">
        <f>Migrationsartikel!G445</f>
        <v>0</v>
      </c>
      <c r="Y447">
        <f>Migrationsartikel!K445</f>
        <v>0</v>
      </c>
      <c r="Z447">
        <f>Migrationsartikel!O445</f>
        <v>0</v>
      </c>
      <c r="AA447" s="31">
        <f>Migrationsartikel!H445</f>
        <v>0</v>
      </c>
      <c r="AB447" s="31">
        <f>Migrationsartikel!L445</f>
        <v>0</v>
      </c>
      <c r="AC447" s="31">
        <f>Migrationsartikel!P445</f>
        <v>0</v>
      </c>
      <c r="AD447">
        <f>Migrationsartikel!I445</f>
        <v>0</v>
      </c>
      <c r="AE447">
        <f>Migrationsartikel!M445</f>
        <v>0</v>
      </c>
      <c r="AF447">
        <f>Migrationsartikel!Q445</f>
        <v>0</v>
      </c>
      <c r="AG447" s="45">
        <f>Migrationsartikel!R445</f>
        <v>0</v>
      </c>
      <c r="AH447" s="46">
        <f>Migrationsartikel!T445</f>
        <v>0</v>
      </c>
      <c r="AI447" s="46" t="str">
        <f t="shared" si="18"/>
        <v>n/a</v>
      </c>
      <c r="AJ447" s="46" t="s">
        <v>176</v>
      </c>
      <c r="AK447">
        <f>Migrationsartikel!S445</f>
        <v>0</v>
      </c>
      <c r="AL447">
        <f>Migrationsartikel!S445</f>
        <v>0</v>
      </c>
      <c r="AM447">
        <f>Migrationsartikel!S445</f>
        <v>0</v>
      </c>
      <c r="AN447">
        <f>Migrationsartikel!U445</f>
        <v>0</v>
      </c>
      <c r="AO447" t="str">
        <f t="shared" si="19"/>
        <v>n/a</v>
      </c>
      <c r="AP447" t="str">
        <f t="shared" si="20"/>
        <v>n/a</v>
      </c>
      <c r="AQ447" s="31" t="s">
        <v>195</v>
      </c>
      <c r="AR447" s="47"/>
      <c r="AS447" s="47"/>
      <c r="AT447" s="31" t="s">
        <v>208</v>
      </c>
      <c r="AU447" s="47"/>
      <c r="AV447" s="47"/>
      <c r="AW447" t="b">
        <f>IF(Migrationsartikel!AB445="ja","true",FALSE)</f>
        <v>0</v>
      </c>
      <c r="AX447" t="b">
        <f>IF(Migrationsartikel!AC445="ja","true",FALSE)</f>
        <v>0</v>
      </c>
      <c r="AY447" t="b">
        <f>IF(Migrationsartikel!AD445="ja","true",FALSE)</f>
        <v>0</v>
      </c>
      <c r="AZ447" t="b">
        <f>IF(Migrationsartikel!AE445="ja","true",FALSE)</f>
        <v>0</v>
      </c>
      <c r="BA447" t="str">
        <f>IF(Migrationsartikel!AF445="ja","Denner Partner","")</f>
        <v/>
      </c>
      <c r="BB447" t="str">
        <f>IF(Migrationsartikel!AG445="ja","true","false")</f>
        <v>false</v>
      </c>
      <c r="BC447" t="s">
        <v>1923</v>
      </c>
      <c r="BD447" s="31" t="s">
        <v>235</v>
      </c>
      <c r="BE447" s="31" t="s">
        <v>233</v>
      </c>
    </row>
    <row r="448" spans="2:57" ht="21.75" customHeight="1" x14ac:dyDescent="0.45">
      <c r="B448" t="s">
        <v>115</v>
      </c>
      <c r="E448" s="31" t="s">
        <v>1874</v>
      </c>
      <c r="F448" t="str">
        <f>"Warengruppe&gt;&gt;"&amp;Migrationsartikel!V446&amp;"&gt;&gt;"&amp;Migrationsartikel!W446&amp;"&gt;&gt;"&amp;Migrationsartikel!X446</f>
        <v>Warengruppe&gt;&gt;&gt;&gt;&gt;&gt;</v>
      </c>
      <c r="J448" s="31" t="s">
        <v>125</v>
      </c>
      <c r="M448" s="31" t="s">
        <v>137</v>
      </c>
      <c r="P448" s="31">
        <f>Migrationsartikel!B446</f>
        <v>0</v>
      </c>
      <c r="U448">
        <f>Migrationsartikel!F446</f>
        <v>0</v>
      </c>
      <c r="V448">
        <f>Migrationsartikel!J446</f>
        <v>0</v>
      </c>
      <c r="W448">
        <f>Migrationsartikel!N446</f>
        <v>0</v>
      </c>
      <c r="X448">
        <f>Migrationsartikel!G446</f>
        <v>0</v>
      </c>
      <c r="Y448">
        <f>Migrationsartikel!K446</f>
        <v>0</v>
      </c>
      <c r="Z448">
        <f>Migrationsartikel!O446</f>
        <v>0</v>
      </c>
      <c r="AA448" s="31">
        <f>Migrationsartikel!H446</f>
        <v>0</v>
      </c>
      <c r="AB448" s="31">
        <f>Migrationsartikel!L446</f>
        <v>0</v>
      </c>
      <c r="AC448" s="31">
        <f>Migrationsartikel!P446</f>
        <v>0</v>
      </c>
      <c r="AD448">
        <f>Migrationsartikel!I446</f>
        <v>0</v>
      </c>
      <c r="AE448">
        <f>Migrationsartikel!M446</f>
        <v>0</v>
      </c>
      <c r="AF448">
        <f>Migrationsartikel!Q446</f>
        <v>0</v>
      </c>
      <c r="AG448" s="45">
        <f>Migrationsartikel!R446</f>
        <v>0</v>
      </c>
      <c r="AH448" s="46">
        <f>Migrationsartikel!T446</f>
        <v>0</v>
      </c>
      <c r="AI448" s="46" t="str">
        <f t="shared" si="18"/>
        <v>n/a</v>
      </c>
      <c r="AJ448" s="46" t="s">
        <v>176</v>
      </c>
      <c r="AK448">
        <f>Migrationsartikel!S446</f>
        <v>0</v>
      </c>
      <c r="AL448">
        <f>Migrationsartikel!S446</f>
        <v>0</v>
      </c>
      <c r="AM448">
        <f>Migrationsartikel!S446</f>
        <v>0</v>
      </c>
      <c r="AN448">
        <f>Migrationsartikel!U446</f>
        <v>0</v>
      </c>
      <c r="AO448" t="str">
        <f t="shared" si="19"/>
        <v>n/a</v>
      </c>
      <c r="AP448" t="str">
        <f t="shared" si="20"/>
        <v>n/a</v>
      </c>
      <c r="AQ448" s="31" t="s">
        <v>195</v>
      </c>
      <c r="AR448" s="47"/>
      <c r="AS448" s="47"/>
      <c r="AT448" s="31" t="s">
        <v>208</v>
      </c>
      <c r="AU448" s="47"/>
      <c r="AV448" s="47"/>
      <c r="AW448" t="b">
        <f>IF(Migrationsartikel!AB446="ja","true",FALSE)</f>
        <v>0</v>
      </c>
      <c r="AX448" t="b">
        <f>IF(Migrationsartikel!AC446="ja","true",FALSE)</f>
        <v>0</v>
      </c>
      <c r="AY448" t="b">
        <f>IF(Migrationsartikel!AD446="ja","true",FALSE)</f>
        <v>0</v>
      </c>
      <c r="AZ448" t="b">
        <f>IF(Migrationsartikel!AE446="ja","true",FALSE)</f>
        <v>0</v>
      </c>
      <c r="BA448" t="str">
        <f>IF(Migrationsartikel!AF446="ja","Denner Partner","")</f>
        <v/>
      </c>
      <c r="BB448" t="str">
        <f>IF(Migrationsartikel!AG446="ja","true","false")</f>
        <v>false</v>
      </c>
      <c r="BC448" t="s">
        <v>1923</v>
      </c>
      <c r="BD448" s="31" t="s">
        <v>235</v>
      </c>
      <c r="BE448" s="31" t="s">
        <v>233</v>
      </c>
    </row>
    <row r="449" spans="2:57" ht="21.75" customHeight="1" x14ac:dyDescent="0.45">
      <c r="B449" t="s">
        <v>115</v>
      </c>
      <c r="E449" s="31" t="s">
        <v>1875</v>
      </c>
      <c r="F449" t="str">
        <f>"Warengruppe&gt;&gt;"&amp;Migrationsartikel!V447&amp;"&gt;&gt;"&amp;Migrationsartikel!W447&amp;"&gt;&gt;"&amp;Migrationsartikel!X447</f>
        <v>Warengruppe&gt;&gt;&gt;&gt;&gt;&gt;</v>
      </c>
      <c r="J449" s="31" t="s">
        <v>125</v>
      </c>
      <c r="M449" s="31" t="s">
        <v>137</v>
      </c>
      <c r="P449" s="31">
        <f>Migrationsartikel!B447</f>
        <v>0</v>
      </c>
      <c r="U449">
        <f>Migrationsartikel!F447</f>
        <v>0</v>
      </c>
      <c r="V449">
        <f>Migrationsartikel!J447</f>
        <v>0</v>
      </c>
      <c r="W449">
        <f>Migrationsartikel!N447</f>
        <v>0</v>
      </c>
      <c r="X449">
        <f>Migrationsartikel!G447</f>
        <v>0</v>
      </c>
      <c r="Y449">
        <f>Migrationsartikel!K447</f>
        <v>0</v>
      </c>
      <c r="Z449">
        <f>Migrationsartikel!O447</f>
        <v>0</v>
      </c>
      <c r="AA449" s="31">
        <f>Migrationsartikel!H447</f>
        <v>0</v>
      </c>
      <c r="AB449" s="31">
        <f>Migrationsartikel!L447</f>
        <v>0</v>
      </c>
      <c r="AC449" s="31">
        <f>Migrationsartikel!P447</f>
        <v>0</v>
      </c>
      <c r="AD449">
        <f>Migrationsartikel!I447</f>
        <v>0</v>
      </c>
      <c r="AE449">
        <f>Migrationsartikel!M447</f>
        <v>0</v>
      </c>
      <c r="AF449">
        <f>Migrationsartikel!Q447</f>
        <v>0</v>
      </c>
      <c r="AG449" s="45">
        <f>Migrationsartikel!R447</f>
        <v>0</v>
      </c>
      <c r="AH449" s="46">
        <f>Migrationsartikel!T447</f>
        <v>0</v>
      </c>
      <c r="AI449" s="46" t="str">
        <f t="shared" si="18"/>
        <v>n/a</v>
      </c>
      <c r="AJ449" s="46" t="s">
        <v>176</v>
      </c>
      <c r="AK449">
        <f>Migrationsartikel!S447</f>
        <v>0</v>
      </c>
      <c r="AL449">
        <f>Migrationsartikel!S447</f>
        <v>0</v>
      </c>
      <c r="AM449">
        <f>Migrationsartikel!S447</f>
        <v>0</v>
      </c>
      <c r="AN449">
        <f>Migrationsartikel!U447</f>
        <v>0</v>
      </c>
      <c r="AO449" t="str">
        <f t="shared" si="19"/>
        <v>n/a</v>
      </c>
      <c r="AP449" t="str">
        <f t="shared" si="20"/>
        <v>n/a</v>
      </c>
      <c r="AQ449" s="31" t="s">
        <v>195</v>
      </c>
      <c r="AR449" s="47"/>
      <c r="AS449" s="47"/>
      <c r="AT449" s="31" t="s">
        <v>208</v>
      </c>
      <c r="AU449" s="47"/>
      <c r="AV449" s="47"/>
      <c r="AW449" t="b">
        <f>IF(Migrationsartikel!AB447="ja","true",FALSE)</f>
        <v>0</v>
      </c>
      <c r="AX449" t="b">
        <f>IF(Migrationsartikel!AC447="ja","true",FALSE)</f>
        <v>0</v>
      </c>
      <c r="AY449" t="b">
        <f>IF(Migrationsartikel!AD447="ja","true",FALSE)</f>
        <v>0</v>
      </c>
      <c r="AZ449" t="b">
        <f>IF(Migrationsartikel!AE447="ja","true",FALSE)</f>
        <v>0</v>
      </c>
      <c r="BA449" t="str">
        <f>IF(Migrationsartikel!AF447="ja","Denner Partner","")</f>
        <v/>
      </c>
      <c r="BB449" t="str">
        <f>IF(Migrationsartikel!AG447="ja","true","false")</f>
        <v>false</v>
      </c>
      <c r="BC449" t="s">
        <v>1923</v>
      </c>
      <c r="BD449" s="31" t="s">
        <v>235</v>
      </c>
      <c r="BE449" s="31" t="s">
        <v>233</v>
      </c>
    </row>
    <row r="450" spans="2:57" ht="21.75" customHeight="1" x14ac:dyDescent="0.45">
      <c r="B450" t="s">
        <v>115</v>
      </c>
      <c r="E450" s="31" t="s">
        <v>1876</v>
      </c>
      <c r="F450" t="str">
        <f>"Warengruppe&gt;&gt;"&amp;Migrationsartikel!V448&amp;"&gt;&gt;"&amp;Migrationsartikel!W448&amp;"&gt;&gt;"&amp;Migrationsartikel!X448</f>
        <v>Warengruppe&gt;&gt;&gt;&gt;&gt;&gt;</v>
      </c>
      <c r="J450" s="31" t="s">
        <v>125</v>
      </c>
      <c r="M450" s="31" t="s">
        <v>137</v>
      </c>
      <c r="P450" s="31">
        <f>Migrationsartikel!B448</f>
        <v>0</v>
      </c>
      <c r="U450">
        <f>Migrationsartikel!F448</f>
        <v>0</v>
      </c>
      <c r="V450">
        <f>Migrationsartikel!J448</f>
        <v>0</v>
      </c>
      <c r="W450">
        <f>Migrationsartikel!N448</f>
        <v>0</v>
      </c>
      <c r="X450">
        <f>Migrationsartikel!G448</f>
        <v>0</v>
      </c>
      <c r="Y450">
        <f>Migrationsartikel!K448</f>
        <v>0</v>
      </c>
      <c r="Z450">
        <f>Migrationsartikel!O448</f>
        <v>0</v>
      </c>
      <c r="AA450" s="31">
        <f>Migrationsartikel!H448</f>
        <v>0</v>
      </c>
      <c r="AB450" s="31">
        <f>Migrationsartikel!L448</f>
        <v>0</v>
      </c>
      <c r="AC450" s="31">
        <f>Migrationsartikel!P448</f>
        <v>0</v>
      </c>
      <c r="AD450">
        <f>Migrationsartikel!I448</f>
        <v>0</v>
      </c>
      <c r="AE450">
        <f>Migrationsartikel!M448</f>
        <v>0</v>
      </c>
      <c r="AF450">
        <f>Migrationsartikel!Q448</f>
        <v>0</v>
      </c>
      <c r="AG450" s="45">
        <f>Migrationsartikel!R448</f>
        <v>0</v>
      </c>
      <c r="AH450" s="46">
        <f>Migrationsartikel!T448</f>
        <v>0</v>
      </c>
      <c r="AI450" s="46" t="str">
        <f t="shared" si="18"/>
        <v>n/a</v>
      </c>
      <c r="AJ450" s="46" t="s">
        <v>176</v>
      </c>
      <c r="AK450">
        <f>Migrationsartikel!S448</f>
        <v>0</v>
      </c>
      <c r="AL450">
        <f>Migrationsartikel!S448</f>
        <v>0</v>
      </c>
      <c r="AM450">
        <f>Migrationsartikel!S448</f>
        <v>0</v>
      </c>
      <c r="AN450">
        <f>Migrationsartikel!U448</f>
        <v>0</v>
      </c>
      <c r="AO450" t="str">
        <f t="shared" si="19"/>
        <v>n/a</v>
      </c>
      <c r="AP450" t="str">
        <f t="shared" si="20"/>
        <v>n/a</v>
      </c>
      <c r="AQ450" s="31" t="s">
        <v>195</v>
      </c>
      <c r="AR450" s="47"/>
      <c r="AS450" s="47"/>
      <c r="AT450" s="31" t="s">
        <v>208</v>
      </c>
      <c r="AU450" s="47"/>
      <c r="AV450" s="47"/>
      <c r="AW450" t="b">
        <f>IF(Migrationsartikel!AB448="ja","true",FALSE)</f>
        <v>0</v>
      </c>
      <c r="AX450" t="b">
        <f>IF(Migrationsartikel!AC448="ja","true",FALSE)</f>
        <v>0</v>
      </c>
      <c r="AY450" t="b">
        <f>IF(Migrationsartikel!AD448="ja","true",FALSE)</f>
        <v>0</v>
      </c>
      <c r="AZ450" t="b">
        <f>IF(Migrationsartikel!AE448="ja","true",FALSE)</f>
        <v>0</v>
      </c>
      <c r="BA450" t="str">
        <f>IF(Migrationsartikel!AF448="ja","Denner Partner","")</f>
        <v/>
      </c>
      <c r="BB450" t="str">
        <f>IF(Migrationsartikel!AG448="ja","true","false")</f>
        <v>false</v>
      </c>
      <c r="BC450" t="s">
        <v>1923</v>
      </c>
      <c r="BD450" s="31" t="s">
        <v>235</v>
      </c>
      <c r="BE450" s="31" t="s">
        <v>233</v>
      </c>
    </row>
    <row r="451" spans="2:57" ht="21.75" customHeight="1" x14ac:dyDescent="0.45">
      <c r="B451" t="s">
        <v>115</v>
      </c>
      <c r="E451" s="31" t="s">
        <v>1877</v>
      </c>
      <c r="F451" t="str">
        <f>"Warengruppe&gt;&gt;"&amp;Migrationsartikel!V449&amp;"&gt;&gt;"&amp;Migrationsartikel!W449&amp;"&gt;&gt;"&amp;Migrationsartikel!X449</f>
        <v>Warengruppe&gt;&gt;&gt;&gt;&gt;&gt;</v>
      </c>
      <c r="J451" s="31" t="s">
        <v>125</v>
      </c>
      <c r="M451" s="31" t="s">
        <v>137</v>
      </c>
      <c r="P451" s="31">
        <f>Migrationsartikel!B449</f>
        <v>0</v>
      </c>
      <c r="U451">
        <f>Migrationsartikel!F449</f>
        <v>0</v>
      </c>
      <c r="V451">
        <f>Migrationsartikel!J449</f>
        <v>0</v>
      </c>
      <c r="W451">
        <f>Migrationsartikel!N449</f>
        <v>0</v>
      </c>
      <c r="X451">
        <f>Migrationsartikel!G449</f>
        <v>0</v>
      </c>
      <c r="Y451">
        <f>Migrationsartikel!K449</f>
        <v>0</v>
      </c>
      <c r="Z451">
        <f>Migrationsartikel!O449</f>
        <v>0</v>
      </c>
      <c r="AA451" s="31">
        <f>Migrationsartikel!H449</f>
        <v>0</v>
      </c>
      <c r="AB451" s="31">
        <f>Migrationsartikel!L449</f>
        <v>0</v>
      </c>
      <c r="AC451" s="31">
        <f>Migrationsartikel!P449</f>
        <v>0</v>
      </c>
      <c r="AD451">
        <f>Migrationsartikel!I449</f>
        <v>0</v>
      </c>
      <c r="AE451">
        <f>Migrationsartikel!M449</f>
        <v>0</v>
      </c>
      <c r="AF451">
        <f>Migrationsartikel!Q449</f>
        <v>0</v>
      </c>
      <c r="AG451" s="45">
        <f>Migrationsartikel!R449</f>
        <v>0</v>
      </c>
      <c r="AH451" s="46">
        <f>Migrationsartikel!T449</f>
        <v>0</v>
      </c>
      <c r="AI451" s="46" t="str">
        <f t="shared" si="18"/>
        <v>n/a</v>
      </c>
      <c r="AJ451" s="46" t="s">
        <v>176</v>
      </c>
      <c r="AK451">
        <f>Migrationsartikel!S449</f>
        <v>0</v>
      </c>
      <c r="AL451">
        <f>Migrationsartikel!S449</f>
        <v>0</v>
      </c>
      <c r="AM451">
        <f>Migrationsartikel!S449</f>
        <v>0</v>
      </c>
      <c r="AN451">
        <f>Migrationsartikel!U449</f>
        <v>0</v>
      </c>
      <c r="AO451" t="str">
        <f t="shared" si="19"/>
        <v>n/a</v>
      </c>
      <c r="AP451" t="str">
        <f t="shared" si="20"/>
        <v>n/a</v>
      </c>
      <c r="AQ451" s="31" t="s">
        <v>195</v>
      </c>
      <c r="AR451" s="47"/>
      <c r="AS451" s="47"/>
      <c r="AT451" s="31" t="s">
        <v>208</v>
      </c>
      <c r="AU451" s="47"/>
      <c r="AV451" s="47"/>
      <c r="AW451" t="b">
        <f>IF(Migrationsartikel!AB449="ja","true",FALSE)</f>
        <v>0</v>
      </c>
      <c r="AX451" t="b">
        <f>IF(Migrationsartikel!AC449="ja","true",FALSE)</f>
        <v>0</v>
      </c>
      <c r="AY451" t="b">
        <f>IF(Migrationsartikel!AD449="ja","true",FALSE)</f>
        <v>0</v>
      </c>
      <c r="AZ451" t="b">
        <f>IF(Migrationsartikel!AE449="ja","true",FALSE)</f>
        <v>0</v>
      </c>
      <c r="BA451" t="str">
        <f>IF(Migrationsartikel!AF449="ja","Denner Partner","")</f>
        <v/>
      </c>
      <c r="BB451" t="str">
        <f>IF(Migrationsartikel!AG449="ja","true","false")</f>
        <v>false</v>
      </c>
      <c r="BC451" t="s">
        <v>1923</v>
      </c>
      <c r="BD451" s="31" t="s">
        <v>235</v>
      </c>
      <c r="BE451" s="31" t="s">
        <v>233</v>
      </c>
    </row>
    <row r="452" spans="2:57" ht="21.75" customHeight="1" x14ac:dyDescent="0.45">
      <c r="B452" t="s">
        <v>115</v>
      </c>
      <c r="E452" s="31" t="s">
        <v>1878</v>
      </c>
      <c r="F452" t="str">
        <f>"Warengruppe&gt;&gt;"&amp;Migrationsartikel!V450&amp;"&gt;&gt;"&amp;Migrationsartikel!W450&amp;"&gt;&gt;"&amp;Migrationsartikel!X450</f>
        <v>Warengruppe&gt;&gt;&gt;&gt;&gt;&gt;</v>
      </c>
      <c r="J452" s="31" t="s">
        <v>125</v>
      </c>
      <c r="M452" s="31" t="s">
        <v>137</v>
      </c>
      <c r="P452" s="31">
        <f>Migrationsartikel!B450</f>
        <v>0</v>
      </c>
      <c r="U452">
        <f>Migrationsartikel!F450</f>
        <v>0</v>
      </c>
      <c r="V452">
        <f>Migrationsartikel!J450</f>
        <v>0</v>
      </c>
      <c r="W452">
        <f>Migrationsartikel!N450</f>
        <v>0</v>
      </c>
      <c r="X452">
        <f>Migrationsartikel!G450</f>
        <v>0</v>
      </c>
      <c r="Y452">
        <f>Migrationsartikel!K450</f>
        <v>0</v>
      </c>
      <c r="Z452">
        <f>Migrationsartikel!O450</f>
        <v>0</v>
      </c>
      <c r="AA452" s="31">
        <f>Migrationsartikel!H450</f>
        <v>0</v>
      </c>
      <c r="AB452" s="31">
        <f>Migrationsartikel!L450</f>
        <v>0</v>
      </c>
      <c r="AC452" s="31">
        <f>Migrationsartikel!P450</f>
        <v>0</v>
      </c>
      <c r="AD452">
        <f>Migrationsartikel!I450</f>
        <v>0</v>
      </c>
      <c r="AE452">
        <f>Migrationsartikel!M450</f>
        <v>0</v>
      </c>
      <c r="AF452">
        <f>Migrationsartikel!Q450</f>
        <v>0</v>
      </c>
      <c r="AG452" s="45">
        <f>Migrationsartikel!R450</f>
        <v>0</v>
      </c>
      <c r="AH452" s="46">
        <f>Migrationsartikel!T450</f>
        <v>0</v>
      </c>
      <c r="AI452" s="46" t="str">
        <f t="shared" si="18"/>
        <v>n/a</v>
      </c>
      <c r="AJ452" s="46" t="s">
        <v>176</v>
      </c>
      <c r="AK452">
        <f>Migrationsartikel!S450</f>
        <v>0</v>
      </c>
      <c r="AL452">
        <f>Migrationsartikel!S450</f>
        <v>0</v>
      </c>
      <c r="AM452">
        <f>Migrationsartikel!S450</f>
        <v>0</v>
      </c>
      <c r="AN452">
        <f>Migrationsartikel!U450</f>
        <v>0</v>
      </c>
      <c r="AO452" t="str">
        <f t="shared" si="19"/>
        <v>n/a</v>
      </c>
      <c r="AP452" t="str">
        <f t="shared" si="20"/>
        <v>n/a</v>
      </c>
      <c r="AQ452" s="31" t="s">
        <v>195</v>
      </c>
      <c r="AR452" s="47"/>
      <c r="AS452" s="47"/>
      <c r="AT452" s="31" t="s">
        <v>208</v>
      </c>
      <c r="AU452" s="47"/>
      <c r="AV452" s="47"/>
      <c r="AW452" t="b">
        <f>IF(Migrationsartikel!AB450="ja","true",FALSE)</f>
        <v>0</v>
      </c>
      <c r="AX452" t="b">
        <f>IF(Migrationsartikel!AC450="ja","true",FALSE)</f>
        <v>0</v>
      </c>
      <c r="AY452" t="b">
        <f>IF(Migrationsartikel!AD450="ja","true",FALSE)</f>
        <v>0</v>
      </c>
      <c r="AZ452" t="b">
        <f>IF(Migrationsartikel!AE450="ja","true",FALSE)</f>
        <v>0</v>
      </c>
      <c r="BA452" t="str">
        <f>IF(Migrationsartikel!AF450="ja","Denner Partner","")</f>
        <v/>
      </c>
      <c r="BB452" t="str">
        <f>IF(Migrationsartikel!AG450="ja","true","false")</f>
        <v>false</v>
      </c>
      <c r="BC452" t="s">
        <v>1923</v>
      </c>
      <c r="BD452" s="31" t="s">
        <v>235</v>
      </c>
      <c r="BE452" s="31" t="s">
        <v>233</v>
      </c>
    </row>
    <row r="453" spans="2:57" ht="21.75" customHeight="1" x14ac:dyDescent="0.45">
      <c r="B453" t="s">
        <v>115</v>
      </c>
      <c r="E453" s="31" t="s">
        <v>1879</v>
      </c>
      <c r="F453" t="str">
        <f>"Warengruppe&gt;&gt;"&amp;Migrationsartikel!V451&amp;"&gt;&gt;"&amp;Migrationsartikel!W451&amp;"&gt;&gt;"&amp;Migrationsartikel!X451</f>
        <v>Warengruppe&gt;&gt;&gt;&gt;&gt;&gt;</v>
      </c>
      <c r="J453" s="31" t="s">
        <v>125</v>
      </c>
      <c r="M453" s="31" t="s">
        <v>137</v>
      </c>
      <c r="P453" s="31">
        <f>Migrationsartikel!B451</f>
        <v>0</v>
      </c>
      <c r="U453">
        <f>Migrationsartikel!F451</f>
        <v>0</v>
      </c>
      <c r="V453">
        <f>Migrationsartikel!J451</f>
        <v>0</v>
      </c>
      <c r="W453">
        <f>Migrationsartikel!N451</f>
        <v>0</v>
      </c>
      <c r="X453">
        <f>Migrationsartikel!G451</f>
        <v>0</v>
      </c>
      <c r="Y453">
        <f>Migrationsartikel!K451</f>
        <v>0</v>
      </c>
      <c r="Z453">
        <f>Migrationsartikel!O451</f>
        <v>0</v>
      </c>
      <c r="AA453" s="31">
        <f>Migrationsartikel!H451</f>
        <v>0</v>
      </c>
      <c r="AB453" s="31">
        <f>Migrationsartikel!L451</f>
        <v>0</v>
      </c>
      <c r="AC453" s="31">
        <f>Migrationsartikel!P451</f>
        <v>0</v>
      </c>
      <c r="AD453">
        <f>Migrationsartikel!I451</f>
        <v>0</v>
      </c>
      <c r="AE453">
        <f>Migrationsartikel!M451</f>
        <v>0</v>
      </c>
      <c r="AF453">
        <f>Migrationsartikel!Q451</f>
        <v>0</v>
      </c>
      <c r="AG453" s="45">
        <f>Migrationsartikel!R451</f>
        <v>0</v>
      </c>
      <c r="AH453" s="46">
        <f>Migrationsartikel!T451</f>
        <v>0</v>
      </c>
      <c r="AI453" s="46" t="str">
        <f t="shared" ref="AI453:AI494" si="21">IF(AH453="Gramm","Gramm",(IF(AH453="Centiliter","2",IF(AH453="Kilogramm","3",IF(AH453="Liter","5",IF(AH453="Milliliter","6",(IF(AH453="Stück","7","n/a"))))))))</f>
        <v>n/a</v>
      </c>
      <c r="AJ453" s="46" t="s">
        <v>176</v>
      </c>
      <c r="AK453">
        <f>Migrationsartikel!S451</f>
        <v>0</v>
      </c>
      <c r="AL453">
        <f>Migrationsartikel!S451</f>
        <v>0</v>
      </c>
      <c r="AM453">
        <f>Migrationsartikel!S451</f>
        <v>0</v>
      </c>
      <c r="AN453">
        <f>Migrationsartikel!U451</f>
        <v>0</v>
      </c>
      <c r="AO453" t="str">
        <f t="shared" ref="AO453:AO494" si="22">IF(AN453="(PCE) Stück","(PCE) Pièce",(IF(AN453="(KGM) KG","(KGM) Kg","n/a")))</f>
        <v>n/a</v>
      </c>
      <c r="AP453" t="str">
        <f t="shared" ref="AP453:AP494" si="23">IF(AN453="(PCE) Stück","(PCE) Pièce",(IF(AN453="(KGM) KG","(KGM) KG","n/a")))</f>
        <v>n/a</v>
      </c>
      <c r="AQ453" s="31" t="s">
        <v>195</v>
      </c>
      <c r="AR453" s="47"/>
      <c r="AS453" s="47"/>
      <c r="AT453" s="31" t="s">
        <v>208</v>
      </c>
      <c r="AU453" s="47"/>
      <c r="AV453" s="47"/>
      <c r="AW453" t="b">
        <f>IF(Migrationsartikel!AB451="ja","true",FALSE)</f>
        <v>0</v>
      </c>
      <c r="AX453" t="b">
        <f>IF(Migrationsartikel!AC451="ja","true",FALSE)</f>
        <v>0</v>
      </c>
      <c r="AY453" t="b">
        <f>IF(Migrationsartikel!AD451="ja","true",FALSE)</f>
        <v>0</v>
      </c>
      <c r="AZ453" t="b">
        <f>IF(Migrationsartikel!AE451="ja","true",FALSE)</f>
        <v>0</v>
      </c>
      <c r="BA453" t="str">
        <f>IF(Migrationsartikel!AF451="ja","Denner Partner","")</f>
        <v/>
      </c>
      <c r="BB453" t="str">
        <f>IF(Migrationsartikel!AG451="ja","true","false")</f>
        <v>false</v>
      </c>
      <c r="BC453" t="s">
        <v>1923</v>
      </c>
      <c r="BD453" s="31" t="s">
        <v>235</v>
      </c>
      <c r="BE453" s="31" t="s">
        <v>233</v>
      </c>
    </row>
    <row r="454" spans="2:57" ht="21.75" customHeight="1" x14ac:dyDescent="0.45">
      <c r="B454" t="s">
        <v>115</v>
      </c>
      <c r="E454" s="31" t="s">
        <v>1880</v>
      </c>
      <c r="F454" t="str">
        <f>"Warengruppe&gt;&gt;"&amp;Migrationsartikel!V452&amp;"&gt;&gt;"&amp;Migrationsartikel!W452&amp;"&gt;&gt;"&amp;Migrationsartikel!X452</f>
        <v>Warengruppe&gt;&gt;&gt;&gt;&gt;&gt;</v>
      </c>
      <c r="J454" s="31" t="s">
        <v>125</v>
      </c>
      <c r="M454" s="31" t="s">
        <v>137</v>
      </c>
      <c r="P454" s="31">
        <f>Migrationsartikel!B452</f>
        <v>0</v>
      </c>
      <c r="U454">
        <f>Migrationsartikel!F452</f>
        <v>0</v>
      </c>
      <c r="V454">
        <f>Migrationsartikel!J452</f>
        <v>0</v>
      </c>
      <c r="W454">
        <f>Migrationsartikel!N452</f>
        <v>0</v>
      </c>
      <c r="X454">
        <f>Migrationsartikel!G452</f>
        <v>0</v>
      </c>
      <c r="Y454">
        <f>Migrationsartikel!K452</f>
        <v>0</v>
      </c>
      <c r="Z454">
        <f>Migrationsartikel!O452</f>
        <v>0</v>
      </c>
      <c r="AA454" s="31">
        <f>Migrationsartikel!H452</f>
        <v>0</v>
      </c>
      <c r="AB454" s="31">
        <f>Migrationsartikel!L452</f>
        <v>0</v>
      </c>
      <c r="AC454" s="31">
        <f>Migrationsartikel!P452</f>
        <v>0</v>
      </c>
      <c r="AD454">
        <f>Migrationsartikel!I452</f>
        <v>0</v>
      </c>
      <c r="AE454">
        <f>Migrationsartikel!M452</f>
        <v>0</v>
      </c>
      <c r="AF454">
        <f>Migrationsartikel!Q452</f>
        <v>0</v>
      </c>
      <c r="AG454" s="45">
        <f>Migrationsartikel!R452</f>
        <v>0</v>
      </c>
      <c r="AH454" s="46">
        <f>Migrationsartikel!T452</f>
        <v>0</v>
      </c>
      <c r="AI454" s="46" t="str">
        <f t="shared" si="21"/>
        <v>n/a</v>
      </c>
      <c r="AJ454" s="46" t="s">
        <v>176</v>
      </c>
      <c r="AK454">
        <f>Migrationsartikel!S452</f>
        <v>0</v>
      </c>
      <c r="AL454">
        <f>Migrationsartikel!S452</f>
        <v>0</v>
      </c>
      <c r="AM454">
        <f>Migrationsartikel!S452</f>
        <v>0</v>
      </c>
      <c r="AN454">
        <f>Migrationsartikel!U452</f>
        <v>0</v>
      </c>
      <c r="AO454" t="str">
        <f t="shared" si="22"/>
        <v>n/a</v>
      </c>
      <c r="AP454" t="str">
        <f t="shared" si="23"/>
        <v>n/a</v>
      </c>
      <c r="AQ454" s="31" t="s">
        <v>195</v>
      </c>
      <c r="AR454" s="47"/>
      <c r="AS454" s="47"/>
      <c r="AT454" s="31" t="s">
        <v>208</v>
      </c>
      <c r="AU454" s="47"/>
      <c r="AV454" s="47"/>
      <c r="AW454" t="b">
        <f>IF(Migrationsartikel!AB452="ja","true",FALSE)</f>
        <v>0</v>
      </c>
      <c r="AX454" t="b">
        <f>IF(Migrationsartikel!AC452="ja","true",FALSE)</f>
        <v>0</v>
      </c>
      <c r="AY454" t="b">
        <f>IF(Migrationsartikel!AD452="ja","true",FALSE)</f>
        <v>0</v>
      </c>
      <c r="AZ454" t="b">
        <f>IF(Migrationsartikel!AE452="ja","true",FALSE)</f>
        <v>0</v>
      </c>
      <c r="BA454" t="str">
        <f>IF(Migrationsartikel!AF452="ja","Denner Partner","")</f>
        <v/>
      </c>
      <c r="BB454" t="str">
        <f>IF(Migrationsartikel!AG452="ja","true","false")</f>
        <v>false</v>
      </c>
      <c r="BC454" t="s">
        <v>1923</v>
      </c>
      <c r="BD454" s="31" t="s">
        <v>235</v>
      </c>
      <c r="BE454" s="31" t="s">
        <v>233</v>
      </c>
    </row>
    <row r="455" spans="2:57" ht="21.75" customHeight="1" x14ac:dyDescent="0.45">
      <c r="B455" t="s">
        <v>115</v>
      </c>
      <c r="E455" s="31" t="s">
        <v>1881</v>
      </c>
      <c r="F455" t="str">
        <f>"Warengruppe&gt;&gt;"&amp;Migrationsartikel!V453&amp;"&gt;&gt;"&amp;Migrationsartikel!W453&amp;"&gt;&gt;"&amp;Migrationsartikel!X453</f>
        <v>Warengruppe&gt;&gt;&gt;&gt;&gt;&gt;</v>
      </c>
      <c r="J455" s="31" t="s">
        <v>125</v>
      </c>
      <c r="M455" s="31" t="s">
        <v>137</v>
      </c>
      <c r="P455" s="31">
        <f>Migrationsartikel!B453</f>
        <v>0</v>
      </c>
      <c r="U455">
        <f>Migrationsartikel!F453</f>
        <v>0</v>
      </c>
      <c r="V455">
        <f>Migrationsartikel!J453</f>
        <v>0</v>
      </c>
      <c r="W455">
        <f>Migrationsartikel!N453</f>
        <v>0</v>
      </c>
      <c r="X455">
        <f>Migrationsartikel!G453</f>
        <v>0</v>
      </c>
      <c r="Y455">
        <f>Migrationsartikel!K453</f>
        <v>0</v>
      </c>
      <c r="Z455">
        <f>Migrationsartikel!O453</f>
        <v>0</v>
      </c>
      <c r="AA455" s="31">
        <f>Migrationsartikel!H453</f>
        <v>0</v>
      </c>
      <c r="AB455" s="31">
        <f>Migrationsartikel!L453</f>
        <v>0</v>
      </c>
      <c r="AC455" s="31">
        <f>Migrationsartikel!P453</f>
        <v>0</v>
      </c>
      <c r="AD455">
        <f>Migrationsartikel!I453</f>
        <v>0</v>
      </c>
      <c r="AE455">
        <f>Migrationsartikel!M453</f>
        <v>0</v>
      </c>
      <c r="AF455">
        <f>Migrationsartikel!Q453</f>
        <v>0</v>
      </c>
      <c r="AG455" s="45">
        <f>Migrationsartikel!R453</f>
        <v>0</v>
      </c>
      <c r="AH455" s="46">
        <f>Migrationsartikel!T453</f>
        <v>0</v>
      </c>
      <c r="AI455" s="46" t="str">
        <f t="shared" si="21"/>
        <v>n/a</v>
      </c>
      <c r="AJ455" s="46" t="s">
        <v>176</v>
      </c>
      <c r="AK455">
        <f>Migrationsartikel!S453</f>
        <v>0</v>
      </c>
      <c r="AL455">
        <f>Migrationsartikel!S453</f>
        <v>0</v>
      </c>
      <c r="AM455">
        <f>Migrationsartikel!S453</f>
        <v>0</v>
      </c>
      <c r="AN455">
        <f>Migrationsartikel!U453</f>
        <v>0</v>
      </c>
      <c r="AO455" t="str">
        <f t="shared" si="22"/>
        <v>n/a</v>
      </c>
      <c r="AP455" t="str">
        <f t="shared" si="23"/>
        <v>n/a</v>
      </c>
      <c r="AQ455" s="31" t="s">
        <v>195</v>
      </c>
      <c r="AR455" s="47"/>
      <c r="AS455" s="47"/>
      <c r="AT455" s="31" t="s">
        <v>208</v>
      </c>
      <c r="AU455" s="47"/>
      <c r="AV455" s="47"/>
      <c r="AW455" t="b">
        <f>IF(Migrationsartikel!AB453="ja","true",FALSE)</f>
        <v>0</v>
      </c>
      <c r="AX455" t="b">
        <f>IF(Migrationsartikel!AC453="ja","true",FALSE)</f>
        <v>0</v>
      </c>
      <c r="AY455" t="b">
        <f>IF(Migrationsartikel!AD453="ja","true",FALSE)</f>
        <v>0</v>
      </c>
      <c r="AZ455" t="b">
        <f>IF(Migrationsartikel!AE453="ja","true",FALSE)</f>
        <v>0</v>
      </c>
      <c r="BA455" t="str">
        <f>IF(Migrationsartikel!AF453="ja","Denner Partner","")</f>
        <v/>
      </c>
      <c r="BB455" t="str">
        <f>IF(Migrationsartikel!AG453="ja","true","false")</f>
        <v>false</v>
      </c>
      <c r="BC455" t="s">
        <v>1923</v>
      </c>
      <c r="BD455" s="31" t="s">
        <v>235</v>
      </c>
      <c r="BE455" s="31" t="s">
        <v>233</v>
      </c>
    </row>
    <row r="456" spans="2:57" ht="21.75" customHeight="1" x14ac:dyDescent="0.45">
      <c r="B456" t="s">
        <v>115</v>
      </c>
      <c r="E456" s="31" t="s">
        <v>1882</v>
      </c>
      <c r="F456" t="str">
        <f>"Warengruppe&gt;&gt;"&amp;Migrationsartikel!V454&amp;"&gt;&gt;"&amp;Migrationsartikel!W454&amp;"&gt;&gt;"&amp;Migrationsartikel!X454</f>
        <v>Warengruppe&gt;&gt;&gt;&gt;&gt;&gt;</v>
      </c>
      <c r="J456" s="31" t="s">
        <v>125</v>
      </c>
      <c r="M456" s="31" t="s">
        <v>137</v>
      </c>
      <c r="P456" s="31">
        <f>Migrationsartikel!B454</f>
        <v>0</v>
      </c>
      <c r="U456">
        <f>Migrationsartikel!F454</f>
        <v>0</v>
      </c>
      <c r="V456">
        <f>Migrationsartikel!J454</f>
        <v>0</v>
      </c>
      <c r="W456">
        <f>Migrationsartikel!N454</f>
        <v>0</v>
      </c>
      <c r="X456">
        <f>Migrationsartikel!G454</f>
        <v>0</v>
      </c>
      <c r="Y456">
        <f>Migrationsartikel!K454</f>
        <v>0</v>
      </c>
      <c r="Z456">
        <f>Migrationsartikel!O454</f>
        <v>0</v>
      </c>
      <c r="AA456" s="31">
        <f>Migrationsartikel!H454</f>
        <v>0</v>
      </c>
      <c r="AB456" s="31">
        <f>Migrationsartikel!L454</f>
        <v>0</v>
      </c>
      <c r="AC456" s="31">
        <f>Migrationsartikel!P454</f>
        <v>0</v>
      </c>
      <c r="AD456">
        <f>Migrationsartikel!I454</f>
        <v>0</v>
      </c>
      <c r="AE456">
        <f>Migrationsartikel!M454</f>
        <v>0</v>
      </c>
      <c r="AF456">
        <f>Migrationsartikel!Q454</f>
        <v>0</v>
      </c>
      <c r="AG456" s="45">
        <f>Migrationsartikel!R454</f>
        <v>0</v>
      </c>
      <c r="AH456" s="46">
        <f>Migrationsartikel!T454</f>
        <v>0</v>
      </c>
      <c r="AI456" s="46" t="str">
        <f t="shared" si="21"/>
        <v>n/a</v>
      </c>
      <c r="AJ456" s="46" t="s">
        <v>176</v>
      </c>
      <c r="AK456">
        <f>Migrationsartikel!S454</f>
        <v>0</v>
      </c>
      <c r="AL456">
        <f>Migrationsartikel!S454</f>
        <v>0</v>
      </c>
      <c r="AM456">
        <f>Migrationsartikel!S454</f>
        <v>0</v>
      </c>
      <c r="AN456">
        <f>Migrationsartikel!U454</f>
        <v>0</v>
      </c>
      <c r="AO456" t="str">
        <f t="shared" si="22"/>
        <v>n/a</v>
      </c>
      <c r="AP456" t="str">
        <f t="shared" si="23"/>
        <v>n/a</v>
      </c>
      <c r="AQ456" s="31" t="s">
        <v>195</v>
      </c>
      <c r="AR456" s="47"/>
      <c r="AS456" s="47"/>
      <c r="AT456" s="31" t="s">
        <v>208</v>
      </c>
      <c r="AU456" s="47"/>
      <c r="AV456" s="47"/>
      <c r="AW456" t="b">
        <f>IF(Migrationsartikel!AB454="ja","true",FALSE)</f>
        <v>0</v>
      </c>
      <c r="AX456" t="b">
        <f>IF(Migrationsartikel!AC454="ja","true",FALSE)</f>
        <v>0</v>
      </c>
      <c r="AY456" t="b">
        <f>IF(Migrationsartikel!AD454="ja","true",FALSE)</f>
        <v>0</v>
      </c>
      <c r="AZ456" t="b">
        <f>IF(Migrationsartikel!AE454="ja","true",FALSE)</f>
        <v>0</v>
      </c>
      <c r="BA456" t="str">
        <f>IF(Migrationsartikel!AF454="ja","Denner Partner","")</f>
        <v/>
      </c>
      <c r="BB456" t="str">
        <f>IF(Migrationsartikel!AG454="ja","true","false")</f>
        <v>false</v>
      </c>
      <c r="BC456" t="s">
        <v>1923</v>
      </c>
      <c r="BD456" s="31" t="s">
        <v>235</v>
      </c>
      <c r="BE456" s="31" t="s">
        <v>233</v>
      </c>
    </row>
    <row r="457" spans="2:57" ht="21.75" customHeight="1" x14ac:dyDescent="0.45">
      <c r="B457" t="s">
        <v>115</v>
      </c>
      <c r="E457" s="31" t="s">
        <v>1883</v>
      </c>
      <c r="F457" t="str">
        <f>"Warengruppe&gt;&gt;"&amp;Migrationsartikel!V455&amp;"&gt;&gt;"&amp;Migrationsartikel!W455&amp;"&gt;&gt;"&amp;Migrationsartikel!X455</f>
        <v>Warengruppe&gt;&gt;&gt;&gt;&gt;&gt;</v>
      </c>
      <c r="J457" s="31" t="s">
        <v>125</v>
      </c>
      <c r="M457" s="31" t="s">
        <v>137</v>
      </c>
      <c r="P457" s="31">
        <f>Migrationsartikel!B455</f>
        <v>0</v>
      </c>
      <c r="U457">
        <f>Migrationsartikel!F455</f>
        <v>0</v>
      </c>
      <c r="V457">
        <f>Migrationsartikel!J455</f>
        <v>0</v>
      </c>
      <c r="W457">
        <f>Migrationsartikel!N455</f>
        <v>0</v>
      </c>
      <c r="X457">
        <f>Migrationsartikel!G455</f>
        <v>0</v>
      </c>
      <c r="Y457">
        <f>Migrationsartikel!K455</f>
        <v>0</v>
      </c>
      <c r="Z457">
        <f>Migrationsartikel!O455</f>
        <v>0</v>
      </c>
      <c r="AA457" s="31">
        <f>Migrationsartikel!H455</f>
        <v>0</v>
      </c>
      <c r="AB457" s="31">
        <f>Migrationsartikel!L455</f>
        <v>0</v>
      </c>
      <c r="AC457" s="31">
        <f>Migrationsartikel!P455</f>
        <v>0</v>
      </c>
      <c r="AD457">
        <f>Migrationsartikel!I455</f>
        <v>0</v>
      </c>
      <c r="AE457">
        <f>Migrationsartikel!M455</f>
        <v>0</v>
      </c>
      <c r="AF457">
        <f>Migrationsartikel!Q455</f>
        <v>0</v>
      </c>
      <c r="AG457" s="45">
        <f>Migrationsartikel!R455</f>
        <v>0</v>
      </c>
      <c r="AH457" s="46">
        <f>Migrationsartikel!T455</f>
        <v>0</v>
      </c>
      <c r="AI457" s="46" t="str">
        <f t="shared" si="21"/>
        <v>n/a</v>
      </c>
      <c r="AJ457" s="46" t="s">
        <v>176</v>
      </c>
      <c r="AK457">
        <f>Migrationsartikel!S455</f>
        <v>0</v>
      </c>
      <c r="AL457">
        <f>Migrationsartikel!S455</f>
        <v>0</v>
      </c>
      <c r="AM457">
        <f>Migrationsartikel!S455</f>
        <v>0</v>
      </c>
      <c r="AN457">
        <f>Migrationsartikel!U455</f>
        <v>0</v>
      </c>
      <c r="AO457" t="str">
        <f t="shared" si="22"/>
        <v>n/a</v>
      </c>
      <c r="AP457" t="str">
        <f t="shared" si="23"/>
        <v>n/a</v>
      </c>
      <c r="AQ457" s="31" t="s">
        <v>195</v>
      </c>
      <c r="AR457" s="47"/>
      <c r="AS457" s="47"/>
      <c r="AT457" s="31" t="s">
        <v>208</v>
      </c>
      <c r="AU457" s="47"/>
      <c r="AV457" s="47"/>
      <c r="AW457" t="b">
        <f>IF(Migrationsartikel!AB455="ja","true",FALSE)</f>
        <v>0</v>
      </c>
      <c r="AX457" t="b">
        <f>IF(Migrationsartikel!AC455="ja","true",FALSE)</f>
        <v>0</v>
      </c>
      <c r="AY457" t="b">
        <f>IF(Migrationsartikel!AD455="ja","true",FALSE)</f>
        <v>0</v>
      </c>
      <c r="AZ457" t="b">
        <f>IF(Migrationsartikel!AE455="ja","true",FALSE)</f>
        <v>0</v>
      </c>
      <c r="BA457" t="str">
        <f>IF(Migrationsartikel!AF455="ja","Denner Partner","")</f>
        <v/>
      </c>
      <c r="BB457" t="str">
        <f>IF(Migrationsartikel!AG455="ja","true","false")</f>
        <v>false</v>
      </c>
      <c r="BC457" t="s">
        <v>1923</v>
      </c>
      <c r="BD457" s="31" t="s">
        <v>235</v>
      </c>
      <c r="BE457" s="31" t="s">
        <v>233</v>
      </c>
    </row>
    <row r="458" spans="2:57" ht="21.75" customHeight="1" x14ac:dyDescent="0.45">
      <c r="B458" t="s">
        <v>115</v>
      </c>
      <c r="E458" s="31" t="s">
        <v>1884</v>
      </c>
      <c r="F458" t="str">
        <f>"Warengruppe&gt;&gt;"&amp;Migrationsartikel!V456&amp;"&gt;&gt;"&amp;Migrationsartikel!W456&amp;"&gt;&gt;"&amp;Migrationsartikel!X456</f>
        <v>Warengruppe&gt;&gt;&gt;&gt;&gt;&gt;</v>
      </c>
      <c r="J458" s="31" t="s">
        <v>125</v>
      </c>
      <c r="M458" s="31" t="s">
        <v>137</v>
      </c>
      <c r="P458" s="31">
        <f>Migrationsartikel!B456</f>
        <v>0</v>
      </c>
      <c r="U458">
        <f>Migrationsartikel!F456</f>
        <v>0</v>
      </c>
      <c r="V458">
        <f>Migrationsartikel!J456</f>
        <v>0</v>
      </c>
      <c r="W458">
        <f>Migrationsartikel!N456</f>
        <v>0</v>
      </c>
      <c r="X458">
        <f>Migrationsartikel!G456</f>
        <v>0</v>
      </c>
      <c r="Y458">
        <f>Migrationsartikel!K456</f>
        <v>0</v>
      </c>
      <c r="Z458">
        <f>Migrationsartikel!O456</f>
        <v>0</v>
      </c>
      <c r="AA458" s="31">
        <f>Migrationsartikel!H456</f>
        <v>0</v>
      </c>
      <c r="AB458" s="31">
        <f>Migrationsartikel!L456</f>
        <v>0</v>
      </c>
      <c r="AC458" s="31">
        <f>Migrationsartikel!P456</f>
        <v>0</v>
      </c>
      <c r="AD458">
        <f>Migrationsartikel!I456</f>
        <v>0</v>
      </c>
      <c r="AE458">
        <f>Migrationsartikel!M456</f>
        <v>0</v>
      </c>
      <c r="AF458">
        <f>Migrationsartikel!Q456</f>
        <v>0</v>
      </c>
      <c r="AG458" s="45">
        <f>Migrationsartikel!R456</f>
        <v>0</v>
      </c>
      <c r="AH458" s="46">
        <f>Migrationsartikel!T456</f>
        <v>0</v>
      </c>
      <c r="AI458" s="46" t="str">
        <f t="shared" si="21"/>
        <v>n/a</v>
      </c>
      <c r="AJ458" s="46" t="s">
        <v>176</v>
      </c>
      <c r="AK458">
        <f>Migrationsartikel!S456</f>
        <v>0</v>
      </c>
      <c r="AL458">
        <f>Migrationsartikel!S456</f>
        <v>0</v>
      </c>
      <c r="AM458">
        <f>Migrationsartikel!S456</f>
        <v>0</v>
      </c>
      <c r="AN458">
        <f>Migrationsartikel!U456</f>
        <v>0</v>
      </c>
      <c r="AO458" t="str">
        <f t="shared" si="22"/>
        <v>n/a</v>
      </c>
      <c r="AP458" t="str">
        <f t="shared" si="23"/>
        <v>n/a</v>
      </c>
      <c r="AQ458" s="31" t="s">
        <v>195</v>
      </c>
      <c r="AR458" s="47"/>
      <c r="AS458" s="47"/>
      <c r="AT458" s="31" t="s">
        <v>208</v>
      </c>
      <c r="AU458" s="47"/>
      <c r="AV458" s="47"/>
      <c r="AW458" t="b">
        <f>IF(Migrationsartikel!AB456="ja","true",FALSE)</f>
        <v>0</v>
      </c>
      <c r="AX458" t="b">
        <f>IF(Migrationsartikel!AC456="ja","true",FALSE)</f>
        <v>0</v>
      </c>
      <c r="AY458" t="b">
        <f>IF(Migrationsartikel!AD456="ja","true",FALSE)</f>
        <v>0</v>
      </c>
      <c r="AZ458" t="b">
        <f>IF(Migrationsartikel!AE456="ja","true",FALSE)</f>
        <v>0</v>
      </c>
      <c r="BA458" t="str">
        <f>IF(Migrationsartikel!AF456="ja","Denner Partner","")</f>
        <v/>
      </c>
      <c r="BB458" t="str">
        <f>IF(Migrationsartikel!AG456="ja","true","false")</f>
        <v>false</v>
      </c>
      <c r="BC458" t="s">
        <v>1923</v>
      </c>
      <c r="BD458" s="31" t="s">
        <v>235</v>
      </c>
      <c r="BE458" s="31" t="s">
        <v>233</v>
      </c>
    </row>
    <row r="459" spans="2:57" ht="21.75" customHeight="1" x14ac:dyDescent="0.45">
      <c r="B459" t="s">
        <v>115</v>
      </c>
      <c r="E459" s="31" t="s">
        <v>1885</v>
      </c>
      <c r="F459" t="str">
        <f>"Warengruppe&gt;&gt;"&amp;Migrationsartikel!V457&amp;"&gt;&gt;"&amp;Migrationsartikel!W457&amp;"&gt;&gt;"&amp;Migrationsartikel!X457</f>
        <v>Warengruppe&gt;&gt;&gt;&gt;&gt;&gt;</v>
      </c>
      <c r="J459" s="31" t="s">
        <v>125</v>
      </c>
      <c r="M459" s="31" t="s">
        <v>137</v>
      </c>
      <c r="P459" s="31">
        <f>Migrationsartikel!B457</f>
        <v>0</v>
      </c>
      <c r="U459">
        <f>Migrationsartikel!F457</f>
        <v>0</v>
      </c>
      <c r="V459">
        <f>Migrationsartikel!J457</f>
        <v>0</v>
      </c>
      <c r="W459">
        <f>Migrationsartikel!N457</f>
        <v>0</v>
      </c>
      <c r="X459">
        <f>Migrationsartikel!G457</f>
        <v>0</v>
      </c>
      <c r="Y459">
        <f>Migrationsartikel!K457</f>
        <v>0</v>
      </c>
      <c r="Z459">
        <f>Migrationsartikel!O457</f>
        <v>0</v>
      </c>
      <c r="AA459" s="31">
        <f>Migrationsartikel!H457</f>
        <v>0</v>
      </c>
      <c r="AB459" s="31">
        <f>Migrationsartikel!L457</f>
        <v>0</v>
      </c>
      <c r="AC459" s="31">
        <f>Migrationsartikel!P457</f>
        <v>0</v>
      </c>
      <c r="AD459">
        <f>Migrationsartikel!I457</f>
        <v>0</v>
      </c>
      <c r="AE459">
        <f>Migrationsartikel!M457</f>
        <v>0</v>
      </c>
      <c r="AF459">
        <f>Migrationsartikel!Q457</f>
        <v>0</v>
      </c>
      <c r="AG459" s="45">
        <f>Migrationsartikel!R457</f>
        <v>0</v>
      </c>
      <c r="AH459" s="46">
        <f>Migrationsartikel!T457</f>
        <v>0</v>
      </c>
      <c r="AI459" s="46" t="str">
        <f t="shared" si="21"/>
        <v>n/a</v>
      </c>
      <c r="AJ459" s="46" t="s">
        <v>176</v>
      </c>
      <c r="AK459">
        <f>Migrationsartikel!S457</f>
        <v>0</v>
      </c>
      <c r="AL459">
        <f>Migrationsartikel!S457</f>
        <v>0</v>
      </c>
      <c r="AM459">
        <f>Migrationsartikel!S457</f>
        <v>0</v>
      </c>
      <c r="AN459">
        <f>Migrationsartikel!U457</f>
        <v>0</v>
      </c>
      <c r="AO459" t="str">
        <f t="shared" si="22"/>
        <v>n/a</v>
      </c>
      <c r="AP459" t="str">
        <f t="shared" si="23"/>
        <v>n/a</v>
      </c>
      <c r="AQ459" s="31" t="s">
        <v>195</v>
      </c>
      <c r="AR459" s="47"/>
      <c r="AS459" s="47"/>
      <c r="AT459" s="31" t="s">
        <v>208</v>
      </c>
      <c r="AU459" s="47"/>
      <c r="AV459" s="47"/>
      <c r="AW459" t="b">
        <f>IF(Migrationsartikel!AB457="ja","true",FALSE)</f>
        <v>0</v>
      </c>
      <c r="AX459" t="b">
        <f>IF(Migrationsartikel!AC457="ja","true",FALSE)</f>
        <v>0</v>
      </c>
      <c r="AY459" t="b">
        <f>IF(Migrationsartikel!AD457="ja","true",FALSE)</f>
        <v>0</v>
      </c>
      <c r="AZ459" t="b">
        <f>IF(Migrationsartikel!AE457="ja","true",FALSE)</f>
        <v>0</v>
      </c>
      <c r="BA459" t="str">
        <f>IF(Migrationsartikel!AF457="ja","Denner Partner","")</f>
        <v/>
      </c>
      <c r="BB459" t="str">
        <f>IF(Migrationsartikel!AG457="ja","true","false")</f>
        <v>false</v>
      </c>
      <c r="BC459" t="s">
        <v>1923</v>
      </c>
      <c r="BD459" s="31" t="s">
        <v>235</v>
      </c>
      <c r="BE459" s="31" t="s">
        <v>233</v>
      </c>
    </row>
    <row r="460" spans="2:57" ht="21.75" customHeight="1" x14ac:dyDescent="0.45">
      <c r="B460" t="s">
        <v>115</v>
      </c>
      <c r="E460" s="31" t="s">
        <v>1886</v>
      </c>
      <c r="F460" t="str">
        <f>"Warengruppe&gt;&gt;"&amp;Migrationsartikel!V458&amp;"&gt;&gt;"&amp;Migrationsartikel!W458&amp;"&gt;&gt;"&amp;Migrationsartikel!X458</f>
        <v>Warengruppe&gt;&gt;&gt;&gt;&gt;&gt;</v>
      </c>
      <c r="J460" s="31" t="s">
        <v>125</v>
      </c>
      <c r="M460" s="31" t="s">
        <v>137</v>
      </c>
      <c r="P460" s="31">
        <f>Migrationsartikel!B458</f>
        <v>0</v>
      </c>
      <c r="U460">
        <f>Migrationsartikel!F458</f>
        <v>0</v>
      </c>
      <c r="V460">
        <f>Migrationsartikel!J458</f>
        <v>0</v>
      </c>
      <c r="W460">
        <f>Migrationsartikel!N458</f>
        <v>0</v>
      </c>
      <c r="X460">
        <f>Migrationsartikel!G458</f>
        <v>0</v>
      </c>
      <c r="Y460">
        <f>Migrationsartikel!K458</f>
        <v>0</v>
      </c>
      <c r="Z460">
        <f>Migrationsartikel!O458</f>
        <v>0</v>
      </c>
      <c r="AA460" s="31">
        <f>Migrationsartikel!H458</f>
        <v>0</v>
      </c>
      <c r="AB460" s="31">
        <f>Migrationsartikel!L458</f>
        <v>0</v>
      </c>
      <c r="AC460" s="31">
        <f>Migrationsartikel!P458</f>
        <v>0</v>
      </c>
      <c r="AD460">
        <f>Migrationsartikel!I458</f>
        <v>0</v>
      </c>
      <c r="AE460">
        <f>Migrationsartikel!M458</f>
        <v>0</v>
      </c>
      <c r="AF460">
        <f>Migrationsartikel!Q458</f>
        <v>0</v>
      </c>
      <c r="AG460" s="45">
        <f>Migrationsartikel!R458</f>
        <v>0</v>
      </c>
      <c r="AH460" s="46">
        <f>Migrationsartikel!T458</f>
        <v>0</v>
      </c>
      <c r="AI460" s="46" t="str">
        <f t="shared" si="21"/>
        <v>n/a</v>
      </c>
      <c r="AJ460" s="46" t="s">
        <v>176</v>
      </c>
      <c r="AK460">
        <f>Migrationsartikel!S458</f>
        <v>0</v>
      </c>
      <c r="AL460">
        <f>Migrationsartikel!S458</f>
        <v>0</v>
      </c>
      <c r="AM460">
        <f>Migrationsartikel!S458</f>
        <v>0</v>
      </c>
      <c r="AN460">
        <f>Migrationsartikel!U458</f>
        <v>0</v>
      </c>
      <c r="AO460" t="str">
        <f t="shared" si="22"/>
        <v>n/a</v>
      </c>
      <c r="AP460" t="str">
        <f t="shared" si="23"/>
        <v>n/a</v>
      </c>
      <c r="AQ460" s="31" t="s">
        <v>195</v>
      </c>
      <c r="AR460" s="47"/>
      <c r="AS460" s="47"/>
      <c r="AT460" s="31" t="s">
        <v>208</v>
      </c>
      <c r="AU460" s="47"/>
      <c r="AV460" s="47"/>
      <c r="AW460" t="b">
        <f>IF(Migrationsartikel!AB458="ja","true",FALSE)</f>
        <v>0</v>
      </c>
      <c r="AX460" t="b">
        <f>IF(Migrationsartikel!AC458="ja","true",FALSE)</f>
        <v>0</v>
      </c>
      <c r="AY460" t="b">
        <f>IF(Migrationsartikel!AD458="ja","true",FALSE)</f>
        <v>0</v>
      </c>
      <c r="AZ460" t="b">
        <f>IF(Migrationsartikel!AE458="ja","true",FALSE)</f>
        <v>0</v>
      </c>
      <c r="BA460" t="str">
        <f>IF(Migrationsartikel!AF458="ja","Denner Partner","")</f>
        <v/>
      </c>
      <c r="BB460" t="str">
        <f>IF(Migrationsartikel!AG458="ja","true","false")</f>
        <v>false</v>
      </c>
      <c r="BC460" t="s">
        <v>1923</v>
      </c>
      <c r="BD460" s="31" t="s">
        <v>235</v>
      </c>
      <c r="BE460" s="31" t="s">
        <v>233</v>
      </c>
    </row>
    <row r="461" spans="2:57" ht="21.75" customHeight="1" x14ac:dyDescent="0.45">
      <c r="B461" t="s">
        <v>115</v>
      </c>
      <c r="E461" s="31" t="s">
        <v>1887</v>
      </c>
      <c r="F461" t="str">
        <f>"Warengruppe&gt;&gt;"&amp;Migrationsartikel!V459&amp;"&gt;&gt;"&amp;Migrationsartikel!W459&amp;"&gt;&gt;"&amp;Migrationsartikel!X459</f>
        <v>Warengruppe&gt;&gt;&gt;&gt;&gt;&gt;</v>
      </c>
      <c r="J461" s="31" t="s">
        <v>125</v>
      </c>
      <c r="M461" s="31" t="s">
        <v>137</v>
      </c>
      <c r="P461" s="31">
        <f>Migrationsartikel!B459</f>
        <v>0</v>
      </c>
      <c r="U461">
        <f>Migrationsartikel!F459</f>
        <v>0</v>
      </c>
      <c r="V461">
        <f>Migrationsartikel!J459</f>
        <v>0</v>
      </c>
      <c r="W461">
        <f>Migrationsartikel!N459</f>
        <v>0</v>
      </c>
      <c r="X461">
        <f>Migrationsartikel!G459</f>
        <v>0</v>
      </c>
      <c r="Y461">
        <f>Migrationsartikel!K459</f>
        <v>0</v>
      </c>
      <c r="Z461">
        <f>Migrationsartikel!O459</f>
        <v>0</v>
      </c>
      <c r="AA461" s="31">
        <f>Migrationsartikel!H459</f>
        <v>0</v>
      </c>
      <c r="AB461" s="31">
        <f>Migrationsartikel!L459</f>
        <v>0</v>
      </c>
      <c r="AC461" s="31">
        <f>Migrationsartikel!P459</f>
        <v>0</v>
      </c>
      <c r="AD461">
        <f>Migrationsartikel!I459</f>
        <v>0</v>
      </c>
      <c r="AE461">
        <f>Migrationsartikel!M459</f>
        <v>0</v>
      </c>
      <c r="AF461">
        <f>Migrationsartikel!Q459</f>
        <v>0</v>
      </c>
      <c r="AG461" s="45">
        <f>Migrationsartikel!R459</f>
        <v>0</v>
      </c>
      <c r="AH461" s="46">
        <f>Migrationsartikel!T459</f>
        <v>0</v>
      </c>
      <c r="AI461" s="46" t="str">
        <f t="shared" si="21"/>
        <v>n/a</v>
      </c>
      <c r="AJ461" s="46" t="s">
        <v>176</v>
      </c>
      <c r="AK461">
        <f>Migrationsartikel!S459</f>
        <v>0</v>
      </c>
      <c r="AL461">
        <f>Migrationsartikel!S459</f>
        <v>0</v>
      </c>
      <c r="AM461">
        <f>Migrationsartikel!S459</f>
        <v>0</v>
      </c>
      <c r="AN461">
        <f>Migrationsartikel!U459</f>
        <v>0</v>
      </c>
      <c r="AO461" t="str">
        <f t="shared" si="22"/>
        <v>n/a</v>
      </c>
      <c r="AP461" t="str">
        <f t="shared" si="23"/>
        <v>n/a</v>
      </c>
      <c r="AQ461" s="31" t="s">
        <v>195</v>
      </c>
      <c r="AR461" s="47"/>
      <c r="AS461" s="47"/>
      <c r="AT461" s="31" t="s">
        <v>208</v>
      </c>
      <c r="AU461" s="47"/>
      <c r="AV461" s="47"/>
      <c r="AW461" t="b">
        <f>IF(Migrationsartikel!AB459="ja","true",FALSE)</f>
        <v>0</v>
      </c>
      <c r="AX461" t="b">
        <f>IF(Migrationsartikel!AC459="ja","true",FALSE)</f>
        <v>0</v>
      </c>
      <c r="AY461" t="b">
        <f>IF(Migrationsartikel!AD459="ja","true",FALSE)</f>
        <v>0</v>
      </c>
      <c r="AZ461" t="b">
        <f>IF(Migrationsartikel!AE459="ja","true",FALSE)</f>
        <v>0</v>
      </c>
      <c r="BA461" t="str">
        <f>IF(Migrationsartikel!AF459="ja","Denner Partner","")</f>
        <v/>
      </c>
      <c r="BB461" t="str">
        <f>IF(Migrationsartikel!AG459="ja","true","false")</f>
        <v>false</v>
      </c>
      <c r="BC461" t="s">
        <v>1923</v>
      </c>
      <c r="BD461" s="31" t="s">
        <v>235</v>
      </c>
      <c r="BE461" s="31" t="s">
        <v>233</v>
      </c>
    </row>
    <row r="462" spans="2:57" ht="21.75" customHeight="1" x14ac:dyDescent="0.45">
      <c r="B462" t="s">
        <v>115</v>
      </c>
      <c r="E462" s="31" t="s">
        <v>1888</v>
      </c>
      <c r="F462" t="str">
        <f>"Warengruppe&gt;&gt;"&amp;Migrationsartikel!V460&amp;"&gt;&gt;"&amp;Migrationsartikel!W460&amp;"&gt;&gt;"&amp;Migrationsartikel!X460</f>
        <v>Warengruppe&gt;&gt;&gt;&gt;&gt;&gt;</v>
      </c>
      <c r="J462" s="31" t="s">
        <v>125</v>
      </c>
      <c r="M462" s="31" t="s">
        <v>137</v>
      </c>
      <c r="P462" s="31">
        <f>Migrationsartikel!B460</f>
        <v>0</v>
      </c>
      <c r="U462">
        <f>Migrationsartikel!F460</f>
        <v>0</v>
      </c>
      <c r="V462">
        <f>Migrationsartikel!J460</f>
        <v>0</v>
      </c>
      <c r="W462">
        <f>Migrationsartikel!N460</f>
        <v>0</v>
      </c>
      <c r="X462">
        <f>Migrationsartikel!G460</f>
        <v>0</v>
      </c>
      <c r="Y462">
        <f>Migrationsartikel!K460</f>
        <v>0</v>
      </c>
      <c r="Z462">
        <f>Migrationsartikel!O460</f>
        <v>0</v>
      </c>
      <c r="AA462" s="31">
        <f>Migrationsartikel!H460</f>
        <v>0</v>
      </c>
      <c r="AB462" s="31">
        <f>Migrationsartikel!L460</f>
        <v>0</v>
      </c>
      <c r="AC462" s="31">
        <f>Migrationsartikel!P460</f>
        <v>0</v>
      </c>
      <c r="AD462">
        <f>Migrationsartikel!I460</f>
        <v>0</v>
      </c>
      <c r="AE462">
        <f>Migrationsartikel!M460</f>
        <v>0</v>
      </c>
      <c r="AF462">
        <f>Migrationsartikel!Q460</f>
        <v>0</v>
      </c>
      <c r="AG462" s="45">
        <f>Migrationsartikel!R460</f>
        <v>0</v>
      </c>
      <c r="AH462" s="46">
        <f>Migrationsartikel!T460</f>
        <v>0</v>
      </c>
      <c r="AI462" s="46" t="str">
        <f t="shared" si="21"/>
        <v>n/a</v>
      </c>
      <c r="AJ462" s="46" t="s">
        <v>176</v>
      </c>
      <c r="AK462">
        <f>Migrationsartikel!S460</f>
        <v>0</v>
      </c>
      <c r="AL462">
        <f>Migrationsartikel!S460</f>
        <v>0</v>
      </c>
      <c r="AM462">
        <f>Migrationsartikel!S460</f>
        <v>0</v>
      </c>
      <c r="AN462">
        <f>Migrationsartikel!U460</f>
        <v>0</v>
      </c>
      <c r="AO462" t="str">
        <f t="shared" si="22"/>
        <v>n/a</v>
      </c>
      <c r="AP462" t="str">
        <f t="shared" si="23"/>
        <v>n/a</v>
      </c>
      <c r="AQ462" s="31" t="s">
        <v>195</v>
      </c>
      <c r="AR462" s="47"/>
      <c r="AS462" s="47"/>
      <c r="AT462" s="31" t="s">
        <v>208</v>
      </c>
      <c r="AU462" s="47"/>
      <c r="AV462" s="47"/>
      <c r="AW462" t="b">
        <f>IF(Migrationsartikel!AB460="ja","true",FALSE)</f>
        <v>0</v>
      </c>
      <c r="AX462" t="b">
        <f>IF(Migrationsartikel!AC460="ja","true",FALSE)</f>
        <v>0</v>
      </c>
      <c r="AY462" t="b">
        <f>IF(Migrationsartikel!AD460="ja","true",FALSE)</f>
        <v>0</v>
      </c>
      <c r="AZ462" t="b">
        <f>IF(Migrationsartikel!AE460="ja","true",FALSE)</f>
        <v>0</v>
      </c>
      <c r="BA462" t="str">
        <f>IF(Migrationsartikel!AF460="ja","Denner Partner","")</f>
        <v/>
      </c>
      <c r="BB462" t="str">
        <f>IF(Migrationsartikel!AG460="ja","true","false")</f>
        <v>false</v>
      </c>
      <c r="BC462" t="s">
        <v>1923</v>
      </c>
      <c r="BD462" s="31" t="s">
        <v>235</v>
      </c>
      <c r="BE462" s="31" t="s">
        <v>233</v>
      </c>
    </row>
    <row r="463" spans="2:57" ht="21.75" customHeight="1" x14ac:dyDescent="0.45">
      <c r="B463" t="s">
        <v>115</v>
      </c>
      <c r="E463" s="31" t="s">
        <v>1889</v>
      </c>
      <c r="F463" t="str">
        <f>"Warengruppe&gt;&gt;"&amp;Migrationsartikel!V461&amp;"&gt;&gt;"&amp;Migrationsartikel!W461&amp;"&gt;&gt;"&amp;Migrationsartikel!X461</f>
        <v>Warengruppe&gt;&gt;&gt;&gt;&gt;&gt;</v>
      </c>
      <c r="J463" s="31" t="s">
        <v>125</v>
      </c>
      <c r="M463" s="31" t="s">
        <v>137</v>
      </c>
      <c r="P463" s="31">
        <f>Migrationsartikel!B461</f>
        <v>0</v>
      </c>
      <c r="U463">
        <f>Migrationsartikel!F461</f>
        <v>0</v>
      </c>
      <c r="V463">
        <f>Migrationsartikel!J461</f>
        <v>0</v>
      </c>
      <c r="W463">
        <f>Migrationsartikel!N461</f>
        <v>0</v>
      </c>
      <c r="X463">
        <f>Migrationsartikel!G461</f>
        <v>0</v>
      </c>
      <c r="Y463">
        <f>Migrationsartikel!K461</f>
        <v>0</v>
      </c>
      <c r="Z463">
        <f>Migrationsartikel!O461</f>
        <v>0</v>
      </c>
      <c r="AA463" s="31">
        <f>Migrationsartikel!H461</f>
        <v>0</v>
      </c>
      <c r="AB463" s="31">
        <f>Migrationsartikel!L461</f>
        <v>0</v>
      </c>
      <c r="AC463" s="31">
        <f>Migrationsartikel!P461</f>
        <v>0</v>
      </c>
      <c r="AD463">
        <f>Migrationsartikel!I461</f>
        <v>0</v>
      </c>
      <c r="AE463">
        <f>Migrationsartikel!M461</f>
        <v>0</v>
      </c>
      <c r="AF463">
        <f>Migrationsartikel!Q461</f>
        <v>0</v>
      </c>
      <c r="AG463" s="45">
        <f>Migrationsartikel!R461</f>
        <v>0</v>
      </c>
      <c r="AH463" s="46">
        <f>Migrationsartikel!T461</f>
        <v>0</v>
      </c>
      <c r="AI463" s="46" t="str">
        <f t="shared" si="21"/>
        <v>n/a</v>
      </c>
      <c r="AJ463" s="46" t="s">
        <v>176</v>
      </c>
      <c r="AK463">
        <f>Migrationsartikel!S461</f>
        <v>0</v>
      </c>
      <c r="AL463">
        <f>Migrationsartikel!S461</f>
        <v>0</v>
      </c>
      <c r="AM463">
        <f>Migrationsartikel!S461</f>
        <v>0</v>
      </c>
      <c r="AN463">
        <f>Migrationsartikel!U461</f>
        <v>0</v>
      </c>
      <c r="AO463" t="str">
        <f t="shared" si="22"/>
        <v>n/a</v>
      </c>
      <c r="AP463" t="str">
        <f t="shared" si="23"/>
        <v>n/a</v>
      </c>
      <c r="AQ463" s="31" t="s">
        <v>195</v>
      </c>
      <c r="AR463" s="47"/>
      <c r="AS463" s="47"/>
      <c r="AT463" s="31" t="s">
        <v>208</v>
      </c>
      <c r="AU463" s="47"/>
      <c r="AV463" s="47"/>
      <c r="AW463" t="b">
        <f>IF(Migrationsartikel!AB461="ja","true",FALSE)</f>
        <v>0</v>
      </c>
      <c r="AX463" t="b">
        <f>IF(Migrationsartikel!AC461="ja","true",FALSE)</f>
        <v>0</v>
      </c>
      <c r="AY463" t="b">
        <f>IF(Migrationsartikel!AD461="ja","true",FALSE)</f>
        <v>0</v>
      </c>
      <c r="AZ463" t="b">
        <f>IF(Migrationsartikel!AE461="ja","true",FALSE)</f>
        <v>0</v>
      </c>
      <c r="BA463" t="str">
        <f>IF(Migrationsartikel!AF461="ja","Denner Partner","")</f>
        <v/>
      </c>
      <c r="BB463" t="str">
        <f>IF(Migrationsartikel!AG461="ja","true","false")</f>
        <v>false</v>
      </c>
      <c r="BC463" t="s">
        <v>1923</v>
      </c>
      <c r="BD463" s="31" t="s">
        <v>235</v>
      </c>
      <c r="BE463" s="31" t="s">
        <v>233</v>
      </c>
    </row>
    <row r="464" spans="2:57" ht="21.75" customHeight="1" x14ac:dyDescent="0.45">
      <c r="B464" t="s">
        <v>115</v>
      </c>
      <c r="E464" s="31" t="s">
        <v>1890</v>
      </c>
      <c r="F464" t="str">
        <f>"Warengruppe&gt;&gt;"&amp;Migrationsartikel!V462&amp;"&gt;&gt;"&amp;Migrationsartikel!W462&amp;"&gt;&gt;"&amp;Migrationsartikel!X462</f>
        <v>Warengruppe&gt;&gt;&gt;&gt;&gt;&gt;</v>
      </c>
      <c r="J464" s="31" t="s">
        <v>125</v>
      </c>
      <c r="M464" s="31" t="s">
        <v>137</v>
      </c>
      <c r="P464" s="31">
        <f>Migrationsartikel!B462</f>
        <v>0</v>
      </c>
      <c r="U464">
        <f>Migrationsartikel!F462</f>
        <v>0</v>
      </c>
      <c r="V464">
        <f>Migrationsartikel!J462</f>
        <v>0</v>
      </c>
      <c r="W464">
        <f>Migrationsartikel!N462</f>
        <v>0</v>
      </c>
      <c r="X464">
        <f>Migrationsartikel!G462</f>
        <v>0</v>
      </c>
      <c r="Y464">
        <f>Migrationsartikel!K462</f>
        <v>0</v>
      </c>
      <c r="Z464">
        <f>Migrationsartikel!O462</f>
        <v>0</v>
      </c>
      <c r="AA464" s="31">
        <f>Migrationsartikel!H462</f>
        <v>0</v>
      </c>
      <c r="AB464" s="31">
        <f>Migrationsartikel!L462</f>
        <v>0</v>
      </c>
      <c r="AC464" s="31">
        <f>Migrationsartikel!P462</f>
        <v>0</v>
      </c>
      <c r="AD464">
        <f>Migrationsartikel!I462</f>
        <v>0</v>
      </c>
      <c r="AE464">
        <f>Migrationsartikel!M462</f>
        <v>0</v>
      </c>
      <c r="AF464">
        <f>Migrationsartikel!Q462</f>
        <v>0</v>
      </c>
      <c r="AG464" s="45">
        <f>Migrationsartikel!R462</f>
        <v>0</v>
      </c>
      <c r="AH464" s="46">
        <f>Migrationsartikel!T462</f>
        <v>0</v>
      </c>
      <c r="AI464" s="46" t="str">
        <f t="shared" si="21"/>
        <v>n/a</v>
      </c>
      <c r="AJ464" s="46" t="s">
        <v>176</v>
      </c>
      <c r="AK464">
        <f>Migrationsartikel!S462</f>
        <v>0</v>
      </c>
      <c r="AL464">
        <f>Migrationsartikel!S462</f>
        <v>0</v>
      </c>
      <c r="AM464">
        <f>Migrationsartikel!S462</f>
        <v>0</v>
      </c>
      <c r="AN464">
        <f>Migrationsartikel!U462</f>
        <v>0</v>
      </c>
      <c r="AO464" t="str">
        <f t="shared" si="22"/>
        <v>n/a</v>
      </c>
      <c r="AP464" t="str">
        <f t="shared" si="23"/>
        <v>n/a</v>
      </c>
      <c r="AQ464" s="31" t="s">
        <v>195</v>
      </c>
      <c r="AR464" s="47"/>
      <c r="AS464" s="47"/>
      <c r="AT464" s="31" t="s">
        <v>208</v>
      </c>
      <c r="AU464" s="47"/>
      <c r="AV464" s="47"/>
      <c r="AW464" t="b">
        <f>IF(Migrationsartikel!AB462="ja","true",FALSE)</f>
        <v>0</v>
      </c>
      <c r="AX464" t="b">
        <f>IF(Migrationsartikel!AC462="ja","true",FALSE)</f>
        <v>0</v>
      </c>
      <c r="AY464" t="b">
        <f>IF(Migrationsartikel!AD462="ja","true",FALSE)</f>
        <v>0</v>
      </c>
      <c r="AZ464" t="b">
        <f>IF(Migrationsartikel!AE462="ja","true",FALSE)</f>
        <v>0</v>
      </c>
      <c r="BA464" t="str">
        <f>IF(Migrationsartikel!AF462="ja","Denner Partner","")</f>
        <v/>
      </c>
      <c r="BB464" t="str">
        <f>IF(Migrationsartikel!AG462="ja","true","false")</f>
        <v>false</v>
      </c>
      <c r="BC464" t="s">
        <v>1923</v>
      </c>
      <c r="BD464" s="31" t="s">
        <v>235</v>
      </c>
      <c r="BE464" s="31" t="s">
        <v>233</v>
      </c>
    </row>
    <row r="465" spans="2:57" ht="21.75" customHeight="1" x14ac:dyDescent="0.45">
      <c r="B465" t="s">
        <v>115</v>
      </c>
      <c r="E465" s="31" t="s">
        <v>1891</v>
      </c>
      <c r="F465" t="str">
        <f>"Warengruppe&gt;&gt;"&amp;Migrationsartikel!V463&amp;"&gt;&gt;"&amp;Migrationsartikel!W463&amp;"&gt;&gt;"&amp;Migrationsartikel!X463</f>
        <v>Warengruppe&gt;&gt;&gt;&gt;&gt;&gt;</v>
      </c>
      <c r="J465" s="31" t="s">
        <v>125</v>
      </c>
      <c r="M465" s="31" t="s">
        <v>137</v>
      </c>
      <c r="P465" s="31">
        <f>Migrationsartikel!B463</f>
        <v>0</v>
      </c>
      <c r="U465">
        <f>Migrationsartikel!F463</f>
        <v>0</v>
      </c>
      <c r="V465">
        <f>Migrationsartikel!J463</f>
        <v>0</v>
      </c>
      <c r="W465">
        <f>Migrationsartikel!N463</f>
        <v>0</v>
      </c>
      <c r="X465">
        <f>Migrationsartikel!G463</f>
        <v>0</v>
      </c>
      <c r="Y465">
        <f>Migrationsartikel!K463</f>
        <v>0</v>
      </c>
      <c r="Z465">
        <f>Migrationsartikel!O463</f>
        <v>0</v>
      </c>
      <c r="AA465" s="31">
        <f>Migrationsartikel!H463</f>
        <v>0</v>
      </c>
      <c r="AB465" s="31">
        <f>Migrationsartikel!L463</f>
        <v>0</v>
      </c>
      <c r="AC465" s="31">
        <f>Migrationsartikel!P463</f>
        <v>0</v>
      </c>
      <c r="AD465">
        <f>Migrationsartikel!I463</f>
        <v>0</v>
      </c>
      <c r="AE465">
        <f>Migrationsartikel!M463</f>
        <v>0</v>
      </c>
      <c r="AF465">
        <f>Migrationsartikel!Q463</f>
        <v>0</v>
      </c>
      <c r="AG465" s="45">
        <f>Migrationsartikel!R463</f>
        <v>0</v>
      </c>
      <c r="AH465" s="46">
        <f>Migrationsartikel!T463</f>
        <v>0</v>
      </c>
      <c r="AI465" s="46" t="str">
        <f t="shared" si="21"/>
        <v>n/a</v>
      </c>
      <c r="AJ465" s="46" t="s">
        <v>176</v>
      </c>
      <c r="AK465">
        <f>Migrationsartikel!S463</f>
        <v>0</v>
      </c>
      <c r="AL465">
        <f>Migrationsartikel!S463</f>
        <v>0</v>
      </c>
      <c r="AM465">
        <f>Migrationsartikel!S463</f>
        <v>0</v>
      </c>
      <c r="AN465">
        <f>Migrationsartikel!U463</f>
        <v>0</v>
      </c>
      <c r="AO465" t="str">
        <f t="shared" si="22"/>
        <v>n/a</v>
      </c>
      <c r="AP465" t="str">
        <f t="shared" si="23"/>
        <v>n/a</v>
      </c>
      <c r="AQ465" s="31" t="s">
        <v>195</v>
      </c>
      <c r="AR465" s="47"/>
      <c r="AS465" s="47"/>
      <c r="AT465" s="31" t="s">
        <v>208</v>
      </c>
      <c r="AU465" s="47"/>
      <c r="AV465" s="47"/>
      <c r="AW465" t="b">
        <f>IF(Migrationsartikel!AB463="ja","true",FALSE)</f>
        <v>0</v>
      </c>
      <c r="AX465" t="b">
        <f>IF(Migrationsartikel!AC463="ja","true",FALSE)</f>
        <v>0</v>
      </c>
      <c r="AY465" t="b">
        <f>IF(Migrationsartikel!AD463="ja","true",FALSE)</f>
        <v>0</v>
      </c>
      <c r="AZ465" t="b">
        <f>IF(Migrationsartikel!AE463="ja","true",FALSE)</f>
        <v>0</v>
      </c>
      <c r="BA465" t="str">
        <f>IF(Migrationsartikel!AF463="ja","Denner Partner","")</f>
        <v/>
      </c>
      <c r="BB465" t="str">
        <f>IF(Migrationsartikel!AG463="ja","true","false")</f>
        <v>false</v>
      </c>
      <c r="BC465" t="s">
        <v>1923</v>
      </c>
      <c r="BD465" s="31" t="s">
        <v>235</v>
      </c>
      <c r="BE465" s="31" t="s">
        <v>233</v>
      </c>
    </row>
    <row r="466" spans="2:57" ht="21.75" customHeight="1" x14ac:dyDescent="0.45">
      <c r="B466" t="s">
        <v>115</v>
      </c>
      <c r="E466" s="31" t="s">
        <v>1892</v>
      </c>
      <c r="F466" t="str">
        <f>"Warengruppe&gt;&gt;"&amp;Migrationsartikel!V464&amp;"&gt;&gt;"&amp;Migrationsartikel!W464&amp;"&gt;&gt;"&amp;Migrationsartikel!X464</f>
        <v>Warengruppe&gt;&gt;&gt;&gt;&gt;&gt;</v>
      </c>
      <c r="J466" s="31" t="s">
        <v>125</v>
      </c>
      <c r="M466" s="31" t="s">
        <v>137</v>
      </c>
      <c r="P466" s="31">
        <f>Migrationsartikel!B464</f>
        <v>0</v>
      </c>
      <c r="U466">
        <f>Migrationsartikel!F464</f>
        <v>0</v>
      </c>
      <c r="V466">
        <f>Migrationsartikel!J464</f>
        <v>0</v>
      </c>
      <c r="W466">
        <f>Migrationsartikel!N464</f>
        <v>0</v>
      </c>
      <c r="X466">
        <f>Migrationsartikel!G464</f>
        <v>0</v>
      </c>
      <c r="Y466">
        <f>Migrationsartikel!K464</f>
        <v>0</v>
      </c>
      <c r="Z466">
        <f>Migrationsartikel!O464</f>
        <v>0</v>
      </c>
      <c r="AA466" s="31">
        <f>Migrationsartikel!H464</f>
        <v>0</v>
      </c>
      <c r="AB466" s="31">
        <f>Migrationsartikel!L464</f>
        <v>0</v>
      </c>
      <c r="AC466" s="31">
        <f>Migrationsartikel!P464</f>
        <v>0</v>
      </c>
      <c r="AD466">
        <f>Migrationsartikel!I464</f>
        <v>0</v>
      </c>
      <c r="AE466">
        <f>Migrationsartikel!M464</f>
        <v>0</v>
      </c>
      <c r="AF466">
        <f>Migrationsartikel!Q464</f>
        <v>0</v>
      </c>
      <c r="AG466" s="45">
        <f>Migrationsartikel!R464</f>
        <v>0</v>
      </c>
      <c r="AH466" s="46">
        <f>Migrationsartikel!T464</f>
        <v>0</v>
      </c>
      <c r="AI466" s="46" t="str">
        <f t="shared" si="21"/>
        <v>n/a</v>
      </c>
      <c r="AJ466" s="46" t="s">
        <v>176</v>
      </c>
      <c r="AK466">
        <f>Migrationsartikel!S464</f>
        <v>0</v>
      </c>
      <c r="AL466">
        <f>Migrationsartikel!S464</f>
        <v>0</v>
      </c>
      <c r="AM466">
        <f>Migrationsartikel!S464</f>
        <v>0</v>
      </c>
      <c r="AN466">
        <f>Migrationsartikel!U464</f>
        <v>0</v>
      </c>
      <c r="AO466" t="str">
        <f t="shared" si="22"/>
        <v>n/a</v>
      </c>
      <c r="AP466" t="str">
        <f t="shared" si="23"/>
        <v>n/a</v>
      </c>
      <c r="AQ466" s="31" t="s">
        <v>195</v>
      </c>
      <c r="AR466" s="47"/>
      <c r="AS466" s="47"/>
      <c r="AT466" s="31" t="s">
        <v>208</v>
      </c>
      <c r="AU466" s="47"/>
      <c r="AV466" s="47"/>
      <c r="AW466" t="b">
        <f>IF(Migrationsartikel!AB464="ja","true",FALSE)</f>
        <v>0</v>
      </c>
      <c r="AX466" t="b">
        <f>IF(Migrationsartikel!AC464="ja","true",FALSE)</f>
        <v>0</v>
      </c>
      <c r="AY466" t="b">
        <f>IF(Migrationsartikel!AD464="ja","true",FALSE)</f>
        <v>0</v>
      </c>
      <c r="AZ466" t="b">
        <f>IF(Migrationsartikel!AE464="ja","true",FALSE)</f>
        <v>0</v>
      </c>
      <c r="BA466" t="str">
        <f>IF(Migrationsartikel!AF464="ja","Denner Partner","")</f>
        <v/>
      </c>
      <c r="BB466" t="str">
        <f>IF(Migrationsartikel!AG464="ja","true","false")</f>
        <v>false</v>
      </c>
      <c r="BC466" t="s">
        <v>1923</v>
      </c>
      <c r="BD466" s="31" t="s">
        <v>235</v>
      </c>
      <c r="BE466" s="31" t="s">
        <v>233</v>
      </c>
    </row>
    <row r="467" spans="2:57" ht="21.75" customHeight="1" x14ac:dyDescent="0.45">
      <c r="B467" t="s">
        <v>115</v>
      </c>
      <c r="E467" s="31" t="s">
        <v>1893</v>
      </c>
      <c r="F467" t="str">
        <f>"Warengruppe&gt;&gt;"&amp;Migrationsartikel!V465&amp;"&gt;&gt;"&amp;Migrationsartikel!W465&amp;"&gt;&gt;"&amp;Migrationsartikel!X465</f>
        <v>Warengruppe&gt;&gt;&gt;&gt;&gt;&gt;</v>
      </c>
      <c r="J467" s="31" t="s">
        <v>125</v>
      </c>
      <c r="M467" s="31" t="s">
        <v>137</v>
      </c>
      <c r="P467" s="31">
        <f>Migrationsartikel!B465</f>
        <v>0</v>
      </c>
      <c r="U467">
        <f>Migrationsartikel!F465</f>
        <v>0</v>
      </c>
      <c r="V467">
        <f>Migrationsartikel!J465</f>
        <v>0</v>
      </c>
      <c r="W467">
        <f>Migrationsartikel!N465</f>
        <v>0</v>
      </c>
      <c r="X467">
        <f>Migrationsartikel!G465</f>
        <v>0</v>
      </c>
      <c r="Y467">
        <f>Migrationsartikel!K465</f>
        <v>0</v>
      </c>
      <c r="Z467">
        <f>Migrationsartikel!O465</f>
        <v>0</v>
      </c>
      <c r="AA467" s="31">
        <f>Migrationsartikel!H465</f>
        <v>0</v>
      </c>
      <c r="AB467" s="31">
        <f>Migrationsartikel!L465</f>
        <v>0</v>
      </c>
      <c r="AC467" s="31">
        <f>Migrationsartikel!P465</f>
        <v>0</v>
      </c>
      <c r="AD467">
        <f>Migrationsartikel!I465</f>
        <v>0</v>
      </c>
      <c r="AE467">
        <f>Migrationsartikel!M465</f>
        <v>0</v>
      </c>
      <c r="AF467">
        <f>Migrationsartikel!Q465</f>
        <v>0</v>
      </c>
      <c r="AG467" s="45">
        <f>Migrationsartikel!R465</f>
        <v>0</v>
      </c>
      <c r="AH467" s="46">
        <f>Migrationsartikel!T465</f>
        <v>0</v>
      </c>
      <c r="AI467" s="46" t="str">
        <f t="shared" si="21"/>
        <v>n/a</v>
      </c>
      <c r="AJ467" s="46" t="s">
        <v>176</v>
      </c>
      <c r="AK467">
        <f>Migrationsartikel!S465</f>
        <v>0</v>
      </c>
      <c r="AL467">
        <f>Migrationsartikel!S465</f>
        <v>0</v>
      </c>
      <c r="AM467">
        <f>Migrationsartikel!S465</f>
        <v>0</v>
      </c>
      <c r="AN467">
        <f>Migrationsartikel!U465</f>
        <v>0</v>
      </c>
      <c r="AO467" t="str">
        <f t="shared" si="22"/>
        <v>n/a</v>
      </c>
      <c r="AP467" t="str">
        <f t="shared" si="23"/>
        <v>n/a</v>
      </c>
      <c r="AQ467" s="31" t="s">
        <v>195</v>
      </c>
      <c r="AR467" s="47"/>
      <c r="AS467" s="47"/>
      <c r="AT467" s="31" t="s">
        <v>208</v>
      </c>
      <c r="AU467" s="47"/>
      <c r="AV467" s="47"/>
      <c r="AW467" t="b">
        <f>IF(Migrationsartikel!AB465="ja","true",FALSE)</f>
        <v>0</v>
      </c>
      <c r="AX467" t="b">
        <f>IF(Migrationsartikel!AC465="ja","true",FALSE)</f>
        <v>0</v>
      </c>
      <c r="AY467" t="b">
        <f>IF(Migrationsartikel!AD465="ja","true",FALSE)</f>
        <v>0</v>
      </c>
      <c r="AZ467" t="b">
        <f>IF(Migrationsartikel!AE465="ja","true",FALSE)</f>
        <v>0</v>
      </c>
      <c r="BA467" t="str">
        <f>IF(Migrationsartikel!AF465="ja","Denner Partner","")</f>
        <v/>
      </c>
      <c r="BB467" t="str">
        <f>IF(Migrationsartikel!AG465="ja","true","false")</f>
        <v>false</v>
      </c>
      <c r="BC467" t="s">
        <v>1923</v>
      </c>
      <c r="BD467" s="31" t="s">
        <v>235</v>
      </c>
      <c r="BE467" s="31" t="s">
        <v>233</v>
      </c>
    </row>
    <row r="468" spans="2:57" ht="21.75" customHeight="1" x14ac:dyDescent="0.45">
      <c r="B468" t="s">
        <v>115</v>
      </c>
      <c r="E468" s="31" t="s">
        <v>1894</v>
      </c>
      <c r="F468" t="str">
        <f>"Warengruppe&gt;&gt;"&amp;Migrationsartikel!V466&amp;"&gt;&gt;"&amp;Migrationsartikel!W466&amp;"&gt;&gt;"&amp;Migrationsartikel!X466</f>
        <v>Warengruppe&gt;&gt;&gt;&gt;&gt;&gt;</v>
      </c>
      <c r="J468" s="31" t="s">
        <v>125</v>
      </c>
      <c r="M468" s="31" t="s">
        <v>137</v>
      </c>
      <c r="P468" s="31">
        <f>Migrationsartikel!B466</f>
        <v>0</v>
      </c>
      <c r="U468">
        <f>Migrationsartikel!F466</f>
        <v>0</v>
      </c>
      <c r="V468">
        <f>Migrationsartikel!J466</f>
        <v>0</v>
      </c>
      <c r="W468">
        <f>Migrationsartikel!N466</f>
        <v>0</v>
      </c>
      <c r="X468">
        <f>Migrationsartikel!G466</f>
        <v>0</v>
      </c>
      <c r="Y468">
        <f>Migrationsartikel!K466</f>
        <v>0</v>
      </c>
      <c r="Z468">
        <f>Migrationsartikel!O466</f>
        <v>0</v>
      </c>
      <c r="AA468" s="31">
        <f>Migrationsartikel!H466</f>
        <v>0</v>
      </c>
      <c r="AB468" s="31">
        <f>Migrationsartikel!L466</f>
        <v>0</v>
      </c>
      <c r="AC468" s="31">
        <f>Migrationsartikel!P466</f>
        <v>0</v>
      </c>
      <c r="AD468">
        <f>Migrationsartikel!I466</f>
        <v>0</v>
      </c>
      <c r="AE468">
        <f>Migrationsartikel!M466</f>
        <v>0</v>
      </c>
      <c r="AF468">
        <f>Migrationsartikel!Q466</f>
        <v>0</v>
      </c>
      <c r="AG468" s="45">
        <f>Migrationsartikel!R466</f>
        <v>0</v>
      </c>
      <c r="AH468" s="46">
        <f>Migrationsartikel!T466</f>
        <v>0</v>
      </c>
      <c r="AI468" s="46" t="str">
        <f t="shared" si="21"/>
        <v>n/a</v>
      </c>
      <c r="AJ468" s="46" t="s">
        <v>176</v>
      </c>
      <c r="AK468">
        <f>Migrationsartikel!S466</f>
        <v>0</v>
      </c>
      <c r="AL468">
        <f>Migrationsartikel!S466</f>
        <v>0</v>
      </c>
      <c r="AM468">
        <f>Migrationsartikel!S466</f>
        <v>0</v>
      </c>
      <c r="AN468">
        <f>Migrationsartikel!U466</f>
        <v>0</v>
      </c>
      <c r="AO468" t="str">
        <f t="shared" si="22"/>
        <v>n/a</v>
      </c>
      <c r="AP468" t="str">
        <f t="shared" si="23"/>
        <v>n/a</v>
      </c>
      <c r="AQ468" s="31" t="s">
        <v>195</v>
      </c>
      <c r="AR468" s="47"/>
      <c r="AS468" s="47"/>
      <c r="AT468" s="31" t="s">
        <v>208</v>
      </c>
      <c r="AU468" s="47"/>
      <c r="AV468" s="47"/>
      <c r="AW468" t="b">
        <f>IF(Migrationsartikel!AB466="ja","true",FALSE)</f>
        <v>0</v>
      </c>
      <c r="AX468" t="b">
        <f>IF(Migrationsartikel!AC466="ja","true",FALSE)</f>
        <v>0</v>
      </c>
      <c r="AY468" t="b">
        <f>IF(Migrationsartikel!AD466="ja","true",FALSE)</f>
        <v>0</v>
      </c>
      <c r="AZ468" t="b">
        <f>IF(Migrationsartikel!AE466="ja","true",FALSE)</f>
        <v>0</v>
      </c>
      <c r="BA468" t="str">
        <f>IF(Migrationsartikel!AF466="ja","Denner Partner","")</f>
        <v/>
      </c>
      <c r="BB468" t="str">
        <f>IF(Migrationsartikel!AG466="ja","true","false")</f>
        <v>false</v>
      </c>
      <c r="BC468" t="s">
        <v>1923</v>
      </c>
      <c r="BD468" s="31" t="s">
        <v>235</v>
      </c>
      <c r="BE468" s="31" t="s">
        <v>233</v>
      </c>
    </row>
    <row r="469" spans="2:57" ht="21.75" customHeight="1" x14ac:dyDescent="0.45">
      <c r="B469" t="s">
        <v>115</v>
      </c>
      <c r="E469" s="31" t="s">
        <v>1895</v>
      </c>
      <c r="F469" t="str">
        <f>"Warengruppe&gt;&gt;"&amp;Migrationsartikel!V467&amp;"&gt;&gt;"&amp;Migrationsartikel!W467&amp;"&gt;&gt;"&amp;Migrationsartikel!X467</f>
        <v>Warengruppe&gt;&gt;&gt;&gt;&gt;&gt;</v>
      </c>
      <c r="J469" s="31" t="s">
        <v>125</v>
      </c>
      <c r="M469" s="31" t="s">
        <v>137</v>
      </c>
      <c r="P469" s="31">
        <f>Migrationsartikel!B467</f>
        <v>0</v>
      </c>
      <c r="U469">
        <f>Migrationsartikel!F467</f>
        <v>0</v>
      </c>
      <c r="V469">
        <f>Migrationsartikel!J467</f>
        <v>0</v>
      </c>
      <c r="W469">
        <f>Migrationsartikel!N467</f>
        <v>0</v>
      </c>
      <c r="X469">
        <f>Migrationsartikel!G467</f>
        <v>0</v>
      </c>
      <c r="Y469">
        <f>Migrationsartikel!K467</f>
        <v>0</v>
      </c>
      <c r="Z469">
        <f>Migrationsartikel!O467</f>
        <v>0</v>
      </c>
      <c r="AA469" s="31">
        <f>Migrationsartikel!H467</f>
        <v>0</v>
      </c>
      <c r="AB469" s="31">
        <f>Migrationsartikel!L467</f>
        <v>0</v>
      </c>
      <c r="AC469" s="31">
        <f>Migrationsartikel!P467</f>
        <v>0</v>
      </c>
      <c r="AD469">
        <f>Migrationsartikel!I467</f>
        <v>0</v>
      </c>
      <c r="AE469">
        <f>Migrationsartikel!M467</f>
        <v>0</v>
      </c>
      <c r="AF469">
        <f>Migrationsartikel!Q467</f>
        <v>0</v>
      </c>
      <c r="AG469" s="45">
        <f>Migrationsartikel!R467</f>
        <v>0</v>
      </c>
      <c r="AH469" s="46">
        <f>Migrationsartikel!T467</f>
        <v>0</v>
      </c>
      <c r="AI469" s="46" t="str">
        <f t="shared" si="21"/>
        <v>n/a</v>
      </c>
      <c r="AJ469" s="46" t="s">
        <v>176</v>
      </c>
      <c r="AK469">
        <f>Migrationsartikel!S467</f>
        <v>0</v>
      </c>
      <c r="AL469">
        <f>Migrationsartikel!S467</f>
        <v>0</v>
      </c>
      <c r="AM469">
        <f>Migrationsartikel!S467</f>
        <v>0</v>
      </c>
      <c r="AN469">
        <f>Migrationsartikel!U467</f>
        <v>0</v>
      </c>
      <c r="AO469" t="str">
        <f t="shared" si="22"/>
        <v>n/a</v>
      </c>
      <c r="AP469" t="str">
        <f t="shared" si="23"/>
        <v>n/a</v>
      </c>
      <c r="AQ469" s="31" t="s">
        <v>195</v>
      </c>
      <c r="AR469" s="47"/>
      <c r="AS469" s="47"/>
      <c r="AT469" s="31" t="s">
        <v>208</v>
      </c>
      <c r="AU469" s="47"/>
      <c r="AV469" s="47"/>
      <c r="AW469" t="b">
        <f>IF(Migrationsartikel!AB467="ja","true",FALSE)</f>
        <v>0</v>
      </c>
      <c r="AX469" t="b">
        <f>IF(Migrationsartikel!AC467="ja","true",FALSE)</f>
        <v>0</v>
      </c>
      <c r="AY469" t="b">
        <f>IF(Migrationsartikel!AD467="ja","true",FALSE)</f>
        <v>0</v>
      </c>
      <c r="AZ469" t="b">
        <f>IF(Migrationsartikel!AE467="ja","true",FALSE)</f>
        <v>0</v>
      </c>
      <c r="BA469" t="str">
        <f>IF(Migrationsartikel!AF467="ja","Denner Partner","")</f>
        <v/>
      </c>
      <c r="BB469" t="str">
        <f>IF(Migrationsartikel!AG467="ja","true","false")</f>
        <v>false</v>
      </c>
      <c r="BC469" t="s">
        <v>1923</v>
      </c>
      <c r="BD469" s="31" t="s">
        <v>235</v>
      </c>
      <c r="BE469" s="31" t="s">
        <v>233</v>
      </c>
    </row>
    <row r="470" spans="2:57" ht="21.75" customHeight="1" x14ac:dyDescent="0.45">
      <c r="B470" t="s">
        <v>115</v>
      </c>
      <c r="E470" s="31" t="s">
        <v>1896</v>
      </c>
      <c r="F470" t="str">
        <f>"Warengruppe&gt;&gt;"&amp;Migrationsartikel!V468&amp;"&gt;&gt;"&amp;Migrationsartikel!W468&amp;"&gt;&gt;"&amp;Migrationsartikel!X468</f>
        <v>Warengruppe&gt;&gt;&gt;&gt;&gt;&gt;</v>
      </c>
      <c r="J470" s="31" t="s">
        <v>125</v>
      </c>
      <c r="M470" s="31" t="s">
        <v>137</v>
      </c>
      <c r="P470" s="31">
        <f>Migrationsartikel!B468</f>
        <v>0</v>
      </c>
      <c r="U470">
        <f>Migrationsartikel!F468</f>
        <v>0</v>
      </c>
      <c r="V470">
        <f>Migrationsartikel!J468</f>
        <v>0</v>
      </c>
      <c r="W470">
        <f>Migrationsartikel!N468</f>
        <v>0</v>
      </c>
      <c r="X470">
        <f>Migrationsartikel!G468</f>
        <v>0</v>
      </c>
      <c r="Y470">
        <f>Migrationsartikel!K468</f>
        <v>0</v>
      </c>
      <c r="Z470">
        <f>Migrationsartikel!O468</f>
        <v>0</v>
      </c>
      <c r="AA470" s="31">
        <f>Migrationsartikel!H468</f>
        <v>0</v>
      </c>
      <c r="AB470" s="31">
        <f>Migrationsartikel!L468</f>
        <v>0</v>
      </c>
      <c r="AC470" s="31">
        <f>Migrationsartikel!P468</f>
        <v>0</v>
      </c>
      <c r="AD470">
        <f>Migrationsartikel!I468</f>
        <v>0</v>
      </c>
      <c r="AE470">
        <f>Migrationsartikel!M468</f>
        <v>0</v>
      </c>
      <c r="AF470">
        <f>Migrationsartikel!Q468</f>
        <v>0</v>
      </c>
      <c r="AG470" s="45">
        <f>Migrationsartikel!R468</f>
        <v>0</v>
      </c>
      <c r="AH470" s="46">
        <f>Migrationsartikel!T468</f>
        <v>0</v>
      </c>
      <c r="AI470" s="46" t="str">
        <f t="shared" si="21"/>
        <v>n/a</v>
      </c>
      <c r="AJ470" s="46" t="s">
        <v>176</v>
      </c>
      <c r="AK470">
        <f>Migrationsartikel!S468</f>
        <v>0</v>
      </c>
      <c r="AL470">
        <f>Migrationsartikel!S468</f>
        <v>0</v>
      </c>
      <c r="AM470">
        <f>Migrationsartikel!S468</f>
        <v>0</v>
      </c>
      <c r="AN470">
        <f>Migrationsartikel!U468</f>
        <v>0</v>
      </c>
      <c r="AO470" t="str">
        <f t="shared" si="22"/>
        <v>n/a</v>
      </c>
      <c r="AP470" t="str">
        <f t="shared" si="23"/>
        <v>n/a</v>
      </c>
      <c r="AQ470" s="31" t="s">
        <v>195</v>
      </c>
      <c r="AR470" s="47"/>
      <c r="AS470" s="47"/>
      <c r="AT470" s="31" t="s">
        <v>208</v>
      </c>
      <c r="AU470" s="47"/>
      <c r="AV470" s="47"/>
      <c r="AW470" t="b">
        <f>IF(Migrationsartikel!AB468="ja","true",FALSE)</f>
        <v>0</v>
      </c>
      <c r="AX470" t="b">
        <f>IF(Migrationsartikel!AC468="ja","true",FALSE)</f>
        <v>0</v>
      </c>
      <c r="AY470" t="b">
        <f>IF(Migrationsartikel!AD468="ja","true",FALSE)</f>
        <v>0</v>
      </c>
      <c r="AZ470" t="b">
        <f>IF(Migrationsartikel!AE468="ja","true",FALSE)</f>
        <v>0</v>
      </c>
      <c r="BA470" t="str">
        <f>IF(Migrationsartikel!AF468="ja","Denner Partner","")</f>
        <v/>
      </c>
      <c r="BB470" t="str">
        <f>IF(Migrationsartikel!AG468="ja","true","false")</f>
        <v>false</v>
      </c>
      <c r="BC470" t="s">
        <v>1923</v>
      </c>
      <c r="BD470" s="31" t="s">
        <v>235</v>
      </c>
      <c r="BE470" s="31" t="s">
        <v>233</v>
      </c>
    </row>
    <row r="471" spans="2:57" ht="21.75" customHeight="1" x14ac:dyDescent="0.45">
      <c r="B471" t="s">
        <v>115</v>
      </c>
      <c r="E471" s="31" t="s">
        <v>1897</v>
      </c>
      <c r="F471" t="str">
        <f>"Warengruppe&gt;&gt;"&amp;Migrationsartikel!V469&amp;"&gt;&gt;"&amp;Migrationsartikel!W469&amp;"&gt;&gt;"&amp;Migrationsartikel!X469</f>
        <v>Warengruppe&gt;&gt;&gt;&gt;&gt;&gt;</v>
      </c>
      <c r="J471" s="31" t="s">
        <v>125</v>
      </c>
      <c r="M471" s="31" t="s">
        <v>137</v>
      </c>
      <c r="P471" s="31">
        <f>Migrationsartikel!B469</f>
        <v>0</v>
      </c>
      <c r="U471">
        <f>Migrationsartikel!F469</f>
        <v>0</v>
      </c>
      <c r="V471">
        <f>Migrationsartikel!J469</f>
        <v>0</v>
      </c>
      <c r="W471">
        <f>Migrationsartikel!N469</f>
        <v>0</v>
      </c>
      <c r="X471">
        <f>Migrationsartikel!G469</f>
        <v>0</v>
      </c>
      <c r="Y471">
        <f>Migrationsartikel!K469</f>
        <v>0</v>
      </c>
      <c r="Z471">
        <f>Migrationsartikel!O469</f>
        <v>0</v>
      </c>
      <c r="AA471" s="31">
        <f>Migrationsartikel!H469</f>
        <v>0</v>
      </c>
      <c r="AB471" s="31">
        <f>Migrationsartikel!L469</f>
        <v>0</v>
      </c>
      <c r="AC471" s="31">
        <f>Migrationsartikel!P469</f>
        <v>0</v>
      </c>
      <c r="AD471">
        <f>Migrationsartikel!I469</f>
        <v>0</v>
      </c>
      <c r="AE471">
        <f>Migrationsartikel!M469</f>
        <v>0</v>
      </c>
      <c r="AF471">
        <f>Migrationsartikel!Q469</f>
        <v>0</v>
      </c>
      <c r="AG471" s="45">
        <f>Migrationsartikel!R469</f>
        <v>0</v>
      </c>
      <c r="AH471" s="46">
        <f>Migrationsartikel!T469</f>
        <v>0</v>
      </c>
      <c r="AI471" s="46" t="str">
        <f t="shared" si="21"/>
        <v>n/a</v>
      </c>
      <c r="AJ471" s="46" t="s">
        <v>176</v>
      </c>
      <c r="AK471">
        <f>Migrationsartikel!S469</f>
        <v>0</v>
      </c>
      <c r="AL471">
        <f>Migrationsartikel!S469</f>
        <v>0</v>
      </c>
      <c r="AM471">
        <f>Migrationsartikel!S469</f>
        <v>0</v>
      </c>
      <c r="AN471">
        <f>Migrationsartikel!U469</f>
        <v>0</v>
      </c>
      <c r="AO471" t="str">
        <f t="shared" si="22"/>
        <v>n/a</v>
      </c>
      <c r="AP471" t="str">
        <f t="shared" si="23"/>
        <v>n/a</v>
      </c>
      <c r="AQ471" s="31" t="s">
        <v>195</v>
      </c>
      <c r="AR471" s="47"/>
      <c r="AS471" s="47"/>
      <c r="AT471" s="31" t="s">
        <v>208</v>
      </c>
      <c r="AU471" s="47"/>
      <c r="AV471" s="47"/>
      <c r="AW471" t="b">
        <f>IF(Migrationsartikel!AB469="ja","true",FALSE)</f>
        <v>0</v>
      </c>
      <c r="AX471" t="b">
        <f>IF(Migrationsartikel!AC469="ja","true",FALSE)</f>
        <v>0</v>
      </c>
      <c r="AY471" t="b">
        <f>IF(Migrationsartikel!AD469="ja","true",FALSE)</f>
        <v>0</v>
      </c>
      <c r="AZ471" t="b">
        <f>IF(Migrationsartikel!AE469="ja","true",FALSE)</f>
        <v>0</v>
      </c>
      <c r="BA471" t="str">
        <f>IF(Migrationsartikel!AF469="ja","Denner Partner","")</f>
        <v/>
      </c>
      <c r="BB471" t="str">
        <f>IF(Migrationsartikel!AG469="ja","true","false")</f>
        <v>false</v>
      </c>
      <c r="BC471" t="s">
        <v>1923</v>
      </c>
      <c r="BD471" s="31" t="s">
        <v>235</v>
      </c>
      <c r="BE471" s="31" t="s">
        <v>233</v>
      </c>
    </row>
    <row r="472" spans="2:57" ht="21.75" customHeight="1" x14ac:dyDescent="0.45">
      <c r="B472" t="s">
        <v>115</v>
      </c>
      <c r="E472" s="31" t="s">
        <v>1898</v>
      </c>
      <c r="F472" t="str">
        <f>"Warengruppe&gt;&gt;"&amp;Migrationsartikel!V470&amp;"&gt;&gt;"&amp;Migrationsartikel!W470&amp;"&gt;&gt;"&amp;Migrationsartikel!X470</f>
        <v>Warengruppe&gt;&gt;&gt;&gt;&gt;&gt;</v>
      </c>
      <c r="J472" s="31" t="s">
        <v>125</v>
      </c>
      <c r="M472" s="31" t="s">
        <v>137</v>
      </c>
      <c r="P472" s="31">
        <f>Migrationsartikel!B470</f>
        <v>0</v>
      </c>
      <c r="U472">
        <f>Migrationsartikel!F470</f>
        <v>0</v>
      </c>
      <c r="V472">
        <f>Migrationsartikel!J470</f>
        <v>0</v>
      </c>
      <c r="W472">
        <f>Migrationsartikel!N470</f>
        <v>0</v>
      </c>
      <c r="X472">
        <f>Migrationsartikel!G470</f>
        <v>0</v>
      </c>
      <c r="Y472">
        <f>Migrationsartikel!K470</f>
        <v>0</v>
      </c>
      <c r="Z472">
        <f>Migrationsartikel!O470</f>
        <v>0</v>
      </c>
      <c r="AA472" s="31">
        <f>Migrationsartikel!H470</f>
        <v>0</v>
      </c>
      <c r="AB472" s="31">
        <f>Migrationsartikel!L470</f>
        <v>0</v>
      </c>
      <c r="AC472" s="31">
        <f>Migrationsartikel!P470</f>
        <v>0</v>
      </c>
      <c r="AD472">
        <f>Migrationsartikel!I470</f>
        <v>0</v>
      </c>
      <c r="AE472">
        <f>Migrationsartikel!M470</f>
        <v>0</v>
      </c>
      <c r="AF472">
        <f>Migrationsartikel!Q470</f>
        <v>0</v>
      </c>
      <c r="AG472" s="45">
        <f>Migrationsartikel!R470</f>
        <v>0</v>
      </c>
      <c r="AH472" s="46">
        <f>Migrationsartikel!T470</f>
        <v>0</v>
      </c>
      <c r="AI472" s="46" t="str">
        <f t="shared" si="21"/>
        <v>n/a</v>
      </c>
      <c r="AJ472" s="46" t="s">
        <v>176</v>
      </c>
      <c r="AK472">
        <f>Migrationsartikel!S470</f>
        <v>0</v>
      </c>
      <c r="AL472">
        <f>Migrationsartikel!S470</f>
        <v>0</v>
      </c>
      <c r="AM472">
        <f>Migrationsartikel!S470</f>
        <v>0</v>
      </c>
      <c r="AN472">
        <f>Migrationsartikel!U470</f>
        <v>0</v>
      </c>
      <c r="AO472" t="str">
        <f t="shared" si="22"/>
        <v>n/a</v>
      </c>
      <c r="AP472" t="str">
        <f t="shared" si="23"/>
        <v>n/a</v>
      </c>
      <c r="AQ472" s="31" t="s">
        <v>195</v>
      </c>
      <c r="AR472" s="47"/>
      <c r="AS472" s="47"/>
      <c r="AT472" s="31" t="s">
        <v>208</v>
      </c>
      <c r="AU472" s="47"/>
      <c r="AV472" s="47"/>
      <c r="AW472" t="b">
        <f>IF(Migrationsartikel!AB470="ja","true",FALSE)</f>
        <v>0</v>
      </c>
      <c r="AX472" t="b">
        <f>IF(Migrationsartikel!AC470="ja","true",FALSE)</f>
        <v>0</v>
      </c>
      <c r="AY472" t="b">
        <f>IF(Migrationsartikel!AD470="ja","true",FALSE)</f>
        <v>0</v>
      </c>
      <c r="AZ472" t="b">
        <f>IF(Migrationsartikel!AE470="ja","true",FALSE)</f>
        <v>0</v>
      </c>
      <c r="BA472" t="str">
        <f>IF(Migrationsartikel!AF470="ja","Denner Partner","")</f>
        <v/>
      </c>
      <c r="BB472" t="str">
        <f>IF(Migrationsartikel!AG470="ja","true","false")</f>
        <v>false</v>
      </c>
      <c r="BC472" t="s">
        <v>1923</v>
      </c>
      <c r="BD472" s="31" t="s">
        <v>235</v>
      </c>
      <c r="BE472" s="31" t="s">
        <v>233</v>
      </c>
    </row>
    <row r="473" spans="2:57" ht="21.75" customHeight="1" x14ac:dyDescent="0.45">
      <c r="B473" t="s">
        <v>115</v>
      </c>
      <c r="E473" s="31" t="s">
        <v>1899</v>
      </c>
      <c r="F473" t="str">
        <f>"Warengruppe&gt;&gt;"&amp;Migrationsartikel!V471&amp;"&gt;&gt;"&amp;Migrationsartikel!W471&amp;"&gt;&gt;"&amp;Migrationsartikel!X471</f>
        <v>Warengruppe&gt;&gt;&gt;&gt;&gt;&gt;</v>
      </c>
      <c r="J473" s="31" t="s">
        <v>125</v>
      </c>
      <c r="M473" s="31" t="s">
        <v>137</v>
      </c>
      <c r="P473" s="31">
        <f>Migrationsartikel!B471</f>
        <v>0</v>
      </c>
      <c r="U473">
        <f>Migrationsartikel!F471</f>
        <v>0</v>
      </c>
      <c r="V473">
        <f>Migrationsartikel!J471</f>
        <v>0</v>
      </c>
      <c r="W473">
        <f>Migrationsartikel!N471</f>
        <v>0</v>
      </c>
      <c r="X473">
        <f>Migrationsartikel!G471</f>
        <v>0</v>
      </c>
      <c r="Y473">
        <f>Migrationsartikel!K471</f>
        <v>0</v>
      </c>
      <c r="Z473">
        <f>Migrationsartikel!O471</f>
        <v>0</v>
      </c>
      <c r="AA473" s="31">
        <f>Migrationsartikel!H471</f>
        <v>0</v>
      </c>
      <c r="AB473" s="31">
        <f>Migrationsartikel!L471</f>
        <v>0</v>
      </c>
      <c r="AC473" s="31">
        <f>Migrationsartikel!P471</f>
        <v>0</v>
      </c>
      <c r="AD473">
        <f>Migrationsartikel!I471</f>
        <v>0</v>
      </c>
      <c r="AE473">
        <f>Migrationsartikel!M471</f>
        <v>0</v>
      </c>
      <c r="AF473">
        <f>Migrationsartikel!Q471</f>
        <v>0</v>
      </c>
      <c r="AG473" s="45">
        <f>Migrationsartikel!R471</f>
        <v>0</v>
      </c>
      <c r="AH473" s="46">
        <f>Migrationsartikel!T471</f>
        <v>0</v>
      </c>
      <c r="AI473" s="46" t="str">
        <f t="shared" si="21"/>
        <v>n/a</v>
      </c>
      <c r="AJ473" s="46" t="s">
        <v>176</v>
      </c>
      <c r="AK473">
        <f>Migrationsartikel!S471</f>
        <v>0</v>
      </c>
      <c r="AL473">
        <f>Migrationsartikel!S471</f>
        <v>0</v>
      </c>
      <c r="AM473">
        <f>Migrationsartikel!S471</f>
        <v>0</v>
      </c>
      <c r="AN473">
        <f>Migrationsartikel!U471</f>
        <v>0</v>
      </c>
      <c r="AO473" t="str">
        <f t="shared" si="22"/>
        <v>n/a</v>
      </c>
      <c r="AP473" t="str">
        <f t="shared" si="23"/>
        <v>n/a</v>
      </c>
      <c r="AQ473" s="31" t="s">
        <v>195</v>
      </c>
      <c r="AR473" s="47"/>
      <c r="AS473" s="47"/>
      <c r="AT473" s="31" t="s">
        <v>208</v>
      </c>
      <c r="AU473" s="47"/>
      <c r="AV473" s="47"/>
      <c r="AW473" t="b">
        <f>IF(Migrationsartikel!AB471="ja","true",FALSE)</f>
        <v>0</v>
      </c>
      <c r="AX473" t="b">
        <f>IF(Migrationsartikel!AC471="ja","true",FALSE)</f>
        <v>0</v>
      </c>
      <c r="AY473" t="b">
        <f>IF(Migrationsartikel!AD471="ja","true",FALSE)</f>
        <v>0</v>
      </c>
      <c r="AZ473" t="b">
        <f>IF(Migrationsartikel!AE471="ja","true",FALSE)</f>
        <v>0</v>
      </c>
      <c r="BA473" t="str">
        <f>IF(Migrationsartikel!AF471="ja","Denner Partner","")</f>
        <v/>
      </c>
      <c r="BB473" t="str">
        <f>IF(Migrationsartikel!AG471="ja","true","false")</f>
        <v>false</v>
      </c>
      <c r="BC473" t="s">
        <v>1923</v>
      </c>
      <c r="BD473" s="31" t="s">
        <v>235</v>
      </c>
      <c r="BE473" s="31" t="s">
        <v>233</v>
      </c>
    </row>
    <row r="474" spans="2:57" ht="21.75" customHeight="1" x14ac:dyDescent="0.45">
      <c r="B474" t="s">
        <v>115</v>
      </c>
      <c r="E474" s="31" t="s">
        <v>1900</v>
      </c>
      <c r="F474" t="str">
        <f>"Warengruppe&gt;&gt;"&amp;Migrationsartikel!V472&amp;"&gt;&gt;"&amp;Migrationsartikel!W472&amp;"&gt;&gt;"&amp;Migrationsartikel!X472</f>
        <v>Warengruppe&gt;&gt;&gt;&gt;&gt;&gt;</v>
      </c>
      <c r="J474" s="31" t="s">
        <v>125</v>
      </c>
      <c r="M474" s="31" t="s">
        <v>137</v>
      </c>
      <c r="P474" s="31">
        <f>Migrationsartikel!B472</f>
        <v>0</v>
      </c>
      <c r="U474">
        <f>Migrationsartikel!F472</f>
        <v>0</v>
      </c>
      <c r="V474">
        <f>Migrationsartikel!J472</f>
        <v>0</v>
      </c>
      <c r="W474">
        <f>Migrationsartikel!N472</f>
        <v>0</v>
      </c>
      <c r="X474">
        <f>Migrationsartikel!G472</f>
        <v>0</v>
      </c>
      <c r="Y474">
        <f>Migrationsartikel!K472</f>
        <v>0</v>
      </c>
      <c r="Z474">
        <f>Migrationsartikel!O472</f>
        <v>0</v>
      </c>
      <c r="AA474" s="31">
        <f>Migrationsartikel!H472</f>
        <v>0</v>
      </c>
      <c r="AB474" s="31">
        <f>Migrationsartikel!L472</f>
        <v>0</v>
      </c>
      <c r="AC474" s="31">
        <f>Migrationsartikel!P472</f>
        <v>0</v>
      </c>
      <c r="AD474">
        <f>Migrationsartikel!I472</f>
        <v>0</v>
      </c>
      <c r="AE474">
        <f>Migrationsartikel!M472</f>
        <v>0</v>
      </c>
      <c r="AF474">
        <f>Migrationsartikel!Q472</f>
        <v>0</v>
      </c>
      <c r="AG474" s="45">
        <f>Migrationsartikel!R472</f>
        <v>0</v>
      </c>
      <c r="AH474" s="46">
        <f>Migrationsartikel!T472</f>
        <v>0</v>
      </c>
      <c r="AI474" s="46" t="str">
        <f t="shared" si="21"/>
        <v>n/a</v>
      </c>
      <c r="AJ474" s="46" t="s">
        <v>176</v>
      </c>
      <c r="AK474">
        <f>Migrationsartikel!S472</f>
        <v>0</v>
      </c>
      <c r="AL474">
        <f>Migrationsartikel!S472</f>
        <v>0</v>
      </c>
      <c r="AM474">
        <f>Migrationsartikel!S472</f>
        <v>0</v>
      </c>
      <c r="AN474">
        <f>Migrationsartikel!U472</f>
        <v>0</v>
      </c>
      <c r="AO474" t="str">
        <f t="shared" si="22"/>
        <v>n/a</v>
      </c>
      <c r="AP474" t="str">
        <f t="shared" si="23"/>
        <v>n/a</v>
      </c>
      <c r="AQ474" s="31" t="s">
        <v>195</v>
      </c>
      <c r="AR474" s="47"/>
      <c r="AS474" s="47"/>
      <c r="AT474" s="31" t="s">
        <v>208</v>
      </c>
      <c r="AU474" s="47"/>
      <c r="AV474" s="47"/>
      <c r="AW474" t="b">
        <f>IF(Migrationsartikel!AB472="ja","true",FALSE)</f>
        <v>0</v>
      </c>
      <c r="AX474" t="b">
        <f>IF(Migrationsartikel!AC472="ja","true",FALSE)</f>
        <v>0</v>
      </c>
      <c r="AY474" t="b">
        <f>IF(Migrationsartikel!AD472="ja","true",FALSE)</f>
        <v>0</v>
      </c>
      <c r="AZ474" t="b">
        <f>IF(Migrationsartikel!AE472="ja","true",FALSE)</f>
        <v>0</v>
      </c>
      <c r="BA474" t="str">
        <f>IF(Migrationsartikel!AF472="ja","Denner Partner","")</f>
        <v/>
      </c>
      <c r="BB474" t="str">
        <f>IF(Migrationsartikel!AG472="ja","true","false")</f>
        <v>false</v>
      </c>
      <c r="BC474" t="s">
        <v>1923</v>
      </c>
      <c r="BD474" s="31" t="s">
        <v>235</v>
      </c>
      <c r="BE474" s="31" t="s">
        <v>233</v>
      </c>
    </row>
    <row r="475" spans="2:57" ht="21.75" customHeight="1" x14ac:dyDescent="0.45">
      <c r="B475" t="s">
        <v>115</v>
      </c>
      <c r="E475" s="31" t="s">
        <v>1901</v>
      </c>
      <c r="F475" t="str">
        <f>"Warengruppe&gt;&gt;"&amp;Migrationsartikel!V473&amp;"&gt;&gt;"&amp;Migrationsartikel!W473&amp;"&gt;&gt;"&amp;Migrationsartikel!X473</f>
        <v>Warengruppe&gt;&gt;&gt;&gt;&gt;&gt;</v>
      </c>
      <c r="J475" s="31" t="s">
        <v>125</v>
      </c>
      <c r="M475" s="31" t="s">
        <v>137</v>
      </c>
      <c r="P475" s="31">
        <f>Migrationsartikel!B473</f>
        <v>0</v>
      </c>
      <c r="U475">
        <f>Migrationsartikel!F473</f>
        <v>0</v>
      </c>
      <c r="V475">
        <f>Migrationsartikel!J473</f>
        <v>0</v>
      </c>
      <c r="W475">
        <f>Migrationsartikel!N473</f>
        <v>0</v>
      </c>
      <c r="X475">
        <f>Migrationsartikel!G473</f>
        <v>0</v>
      </c>
      <c r="Y475">
        <f>Migrationsartikel!K473</f>
        <v>0</v>
      </c>
      <c r="Z475">
        <f>Migrationsartikel!O473</f>
        <v>0</v>
      </c>
      <c r="AA475" s="31">
        <f>Migrationsartikel!H473</f>
        <v>0</v>
      </c>
      <c r="AB475" s="31">
        <f>Migrationsartikel!L473</f>
        <v>0</v>
      </c>
      <c r="AC475" s="31">
        <f>Migrationsartikel!P473</f>
        <v>0</v>
      </c>
      <c r="AD475">
        <f>Migrationsartikel!I473</f>
        <v>0</v>
      </c>
      <c r="AE475">
        <f>Migrationsartikel!M473</f>
        <v>0</v>
      </c>
      <c r="AF475">
        <f>Migrationsartikel!Q473</f>
        <v>0</v>
      </c>
      <c r="AG475" s="45">
        <f>Migrationsartikel!R473</f>
        <v>0</v>
      </c>
      <c r="AH475" s="46">
        <f>Migrationsartikel!T473</f>
        <v>0</v>
      </c>
      <c r="AI475" s="46" t="str">
        <f t="shared" si="21"/>
        <v>n/a</v>
      </c>
      <c r="AJ475" s="46" t="s">
        <v>176</v>
      </c>
      <c r="AK475">
        <f>Migrationsartikel!S473</f>
        <v>0</v>
      </c>
      <c r="AL475">
        <f>Migrationsartikel!S473</f>
        <v>0</v>
      </c>
      <c r="AM475">
        <f>Migrationsartikel!S473</f>
        <v>0</v>
      </c>
      <c r="AN475">
        <f>Migrationsartikel!U473</f>
        <v>0</v>
      </c>
      <c r="AO475" t="str">
        <f t="shared" si="22"/>
        <v>n/a</v>
      </c>
      <c r="AP475" t="str">
        <f t="shared" si="23"/>
        <v>n/a</v>
      </c>
      <c r="AQ475" s="31" t="s">
        <v>195</v>
      </c>
      <c r="AR475" s="47"/>
      <c r="AS475" s="47"/>
      <c r="AT475" s="31" t="s">
        <v>208</v>
      </c>
      <c r="AU475" s="47"/>
      <c r="AV475" s="47"/>
      <c r="AW475" t="b">
        <f>IF(Migrationsartikel!AB473="ja","true",FALSE)</f>
        <v>0</v>
      </c>
      <c r="AX475" t="b">
        <f>IF(Migrationsartikel!AC473="ja","true",FALSE)</f>
        <v>0</v>
      </c>
      <c r="AY475" t="b">
        <f>IF(Migrationsartikel!AD473="ja","true",FALSE)</f>
        <v>0</v>
      </c>
      <c r="AZ475" t="b">
        <f>IF(Migrationsartikel!AE473="ja","true",FALSE)</f>
        <v>0</v>
      </c>
      <c r="BA475" t="str">
        <f>IF(Migrationsartikel!AF473="ja","Denner Partner","")</f>
        <v/>
      </c>
      <c r="BB475" t="str">
        <f>IF(Migrationsartikel!AG473="ja","true","false")</f>
        <v>false</v>
      </c>
      <c r="BC475" t="s">
        <v>1923</v>
      </c>
      <c r="BD475" s="31" t="s">
        <v>235</v>
      </c>
      <c r="BE475" s="31" t="s">
        <v>233</v>
      </c>
    </row>
    <row r="476" spans="2:57" ht="21.75" customHeight="1" x14ac:dyDescent="0.45">
      <c r="B476" t="s">
        <v>115</v>
      </c>
      <c r="E476" s="31" t="s">
        <v>1902</v>
      </c>
      <c r="F476" t="str">
        <f>"Warengruppe&gt;&gt;"&amp;Migrationsartikel!V474&amp;"&gt;&gt;"&amp;Migrationsartikel!W474&amp;"&gt;&gt;"&amp;Migrationsartikel!X474</f>
        <v>Warengruppe&gt;&gt;&gt;&gt;&gt;&gt;</v>
      </c>
      <c r="J476" s="31" t="s">
        <v>125</v>
      </c>
      <c r="M476" s="31" t="s">
        <v>137</v>
      </c>
      <c r="P476" s="31">
        <f>Migrationsartikel!B474</f>
        <v>0</v>
      </c>
      <c r="U476">
        <f>Migrationsartikel!F474</f>
        <v>0</v>
      </c>
      <c r="V476">
        <f>Migrationsartikel!J474</f>
        <v>0</v>
      </c>
      <c r="W476">
        <f>Migrationsartikel!N474</f>
        <v>0</v>
      </c>
      <c r="X476">
        <f>Migrationsartikel!G474</f>
        <v>0</v>
      </c>
      <c r="Y476">
        <f>Migrationsartikel!K474</f>
        <v>0</v>
      </c>
      <c r="Z476">
        <f>Migrationsartikel!O474</f>
        <v>0</v>
      </c>
      <c r="AA476" s="31">
        <f>Migrationsartikel!H474</f>
        <v>0</v>
      </c>
      <c r="AB476" s="31">
        <f>Migrationsartikel!L474</f>
        <v>0</v>
      </c>
      <c r="AC476" s="31">
        <f>Migrationsartikel!P474</f>
        <v>0</v>
      </c>
      <c r="AD476">
        <f>Migrationsartikel!I474</f>
        <v>0</v>
      </c>
      <c r="AE476">
        <f>Migrationsartikel!M474</f>
        <v>0</v>
      </c>
      <c r="AF476">
        <f>Migrationsartikel!Q474</f>
        <v>0</v>
      </c>
      <c r="AG476" s="45">
        <f>Migrationsartikel!R474</f>
        <v>0</v>
      </c>
      <c r="AH476" s="46">
        <f>Migrationsartikel!T474</f>
        <v>0</v>
      </c>
      <c r="AI476" s="46" t="str">
        <f t="shared" si="21"/>
        <v>n/a</v>
      </c>
      <c r="AJ476" s="46" t="s">
        <v>176</v>
      </c>
      <c r="AK476">
        <f>Migrationsartikel!S474</f>
        <v>0</v>
      </c>
      <c r="AL476">
        <f>Migrationsartikel!S474</f>
        <v>0</v>
      </c>
      <c r="AM476">
        <f>Migrationsartikel!S474</f>
        <v>0</v>
      </c>
      <c r="AN476">
        <f>Migrationsartikel!U474</f>
        <v>0</v>
      </c>
      <c r="AO476" t="str">
        <f t="shared" si="22"/>
        <v>n/a</v>
      </c>
      <c r="AP476" t="str">
        <f t="shared" si="23"/>
        <v>n/a</v>
      </c>
      <c r="AQ476" s="31" t="s">
        <v>195</v>
      </c>
      <c r="AR476" s="47"/>
      <c r="AS476" s="47"/>
      <c r="AT476" s="31" t="s">
        <v>208</v>
      </c>
      <c r="AU476" s="47"/>
      <c r="AV476" s="47"/>
      <c r="AW476" t="b">
        <f>IF(Migrationsartikel!AB474="ja","true",FALSE)</f>
        <v>0</v>
      </c>
      <c r="AX476" t="b">
        <f>IF(Migrationsartikel!AC474="ja","true",FALSE)</f>
        <v>0</v>
      </c>
      <c r="AY476" t="b">
        <f>IF(Migrationsartikel!AD474="ja","true",FALSE)</f>
        <v>0</v>
      </c>
      <c r="AZ476" t="b">
        <f>IF(Migrationsartikel!AE474="ja","true",FALSE)</f>
        <v>0</v>
      </c>
      <c r="BA476" t="str">
        <f>IF(Migrationsartikel!AF474="ja","Denner Partner","")</f>
        <v/>
      </c>
      <c r="BB476" t="str">
        <f>IF(Migrationsartikel!AG474="ja","true","false")</f>
        <v>false</v>
      </c>
      <c r="BC476" t="s">
        <v>1923</v>
      </c>
      <c r="BD476" s="31" t="s">
        <v>235</v>
      </c>
      <c r="BE476" s="31" t="s">
        <v>233</v>
      </c>
    </row>
    <row r="477" spans="2:57" ht="21.75" customHeight="1" x14ac:dyDescent="0.45">
      <c r="B477" t="s">
        <v>115</v>
      </c>
      <c r="E477" s="31" t="s">
        <v>1903</v>
      </c>
      <c r="F477" t="str">
        <f>"Warengruppe&gt;&gt;"&amp;Migrationsartikel!V475&amp;"&gt;&gt;"&amp;Migrationsartikel!W475&amp;"&gt;&gt;"&amp;Migrationsartikel!X475</f>
        <v>Warengruppe&gt;&gt;&gt;&gt;&gt;&gt;</v>
      </c>
      <c r="J477" s="31" t="s">
        <v>125</v>
      </c>
      <c r="M477" s="31" t="s">
        <v>137</v>
      </c>
      <c r="P477" s="31">
        <f>Migrationsartikel!B475</f>
        <v>0</v>
      </c>
      <c r="U477">
        <f>Migrationsartikel!F475</f>
        <v>0</v>
      </c>
      <c r="V477">
        <f>Migrationsartikel!J475</f>
        <v>0</v>
      </c>
      <c r="W477">
        <f>Migrationsartikel!N475</f>
        <v>0</v>
      </c>
      <c r="X477">
        <f>Migrationsartikel!G475</f>
        <v>0</v>
      </c>
      <c r="Y477">
        <f>Migrationsartikel!K475</f>
        <v>0</v>
      </c>
      <c r="Z477">
        <f>Migrationsartikel!O475</f>
        <v>0</v>
      </c>
      <c r="AA477" s="31">
        <f>Migrationsartikel!H475</f>
        <v>0</v>
      </c>
      <c r="AB477" s="31">
        <f>Migrationsartikel!L475</f>
        <v>0</v>
      </c>
      <c r="AC477" s="31">
        <f>Migrationsartikel!P475</f>
        <v>0</v>
      </c>
      <c r="AD477">
        <f>Migrationsartikel!I475</f>
        <v>0</v>
      </c>
      <c r="AE477">
        <f>Migrationsartikel!M475</f>
        <v>0</v>
      </c>
      <c r="AF477">
        <f>Migrationsartikel!Q475</f>
        <v>0</v>
      </c>
      <c r="AG477" s="45">
        <f>Migrationsartikel!R475</f>
        <v>0</v>
      </c>
      <c r="AH477" s="46">
        <f>Migrationsartikel!T475</f>
        <v>0</v>
      </c>
      <c r="AI477" s="46" t="str">
        <f t="shared" si="21"/>
        <v>n/a</v>
      </c>
      <c r="AJ477" s="46" t="s">
        <v>176</v>
      </c>
      <c r="AK477">
        <f>Migrationsartikel!S475</f>
        <v>0</v>
      </c>
      <c r="AL477">
        <f>Migrationsartikel!S475</f>
        <v>0</v>
      </c>
      <c r="AM477">
        <f>Migrationsartikel!S475</f>
        <v>0</v>
      </c>
      <c r="AN477">
        <f>Migrationsartikel!U475</f>
        <v>0</v>
      </c>
      <c r="AO477" t="str">
        <f t="shared" si="22"/>
        <v>n/a</v>
      </c>
      <c r="AP477" t="str">
        <f t="shared" si="23"/>
        <v>n/a</v>
      </c>
      <c r="AQ477" s="31" t="s">
        <v>195</v>
      </c>
      <c r="AR477" s="47"/>
      <c r="AS477" s="47"/>
      <c r="AT477" s="31" t="s">
        <v>208</v>
      </c>
      <c r="AU477" s="47"/>
      <c r="AV477" s="47"/>
      <c r="AW477" t="b">
        <f>IF(Migrationsartikel!AB475="ja","true",FALSE)</f>
        <v>0</v>
      </c>
      <c r="AX477" t="b">
        <f>IF(Migrationsartikel!AC475="ja","true",FALSE)</f>
        <v>0</v>
      </c>
      <c r="AY477" t="b">
        <f>IF(Migrationsartikel!AD475="ja","true",FALSE)</f>
        <v>0</v>
      </c>
      <c r="AZ477" t="b">
        <f>IF(Migrationsartikel!AE475="ja","true",FALSE)</f>
        <v>0</v>
      </c>
      <c r="BA477" t="str">
        <f>IF(Migrationsartikel!AF475="ja","Denner Partner","")</f>
        <v/>
      </c>
      <c r="BB477" t="str">
        <f>IF(Migrationsartikel!AG475="ja","true","false")</f>
        <v>false</v>
      </c>
      <c r="BC477" t="s">
        <v>1923</v>
      </c>
      <c r="BD477" s="31" t="s">
        <v>235</v>
      </c>
      <c r="BE477" s="31" t="s">
        <v>233</v>
      </c>
    </row>
    <row r="478" spans="2:57" ht="21.75" customHeight="1" x14ac:dyDescent="0.45">
      <c r="B478" t="s">
        <v>115</v>
      </c>
      <c r="E478" s="31" t="s">
        <v>1904</v>
      </c>
      <c r="F478" t="str">
        <f>"Warengruppe&gt;&gt;"&amp;Migrationsartikel!V476&amp;"&gt;&gt;"&amp;Migrationsartikel!W476&amp;"&gt;&gt;"&amp;Migrationsartikel!X476</f>
        <v>Warengruppe&gt;&gt;&gt;&gt;&gt;&gt;</v>
      </c>
      <c r="J478" s="31" t="s">
        <v>125</v>
      </c>
      <c r="M478" s="31" t="s">
        <v>137</v>
      </c>
      <c r="P478" s="31">
        <f>Migrationsartikel!B476</f>
        <v>0</v>
      </c>
      <c r="U478">
        <f>Migrationsartikel!F476</f>
        <v>0</v>
      </c>
      <c r="V478">
        <f>Migrationsartikel!J476</f>
        <v>0</v>
      </c>
      <c r="W478">
        <f>Migrationsartikel!N476</f>
        <v>0</v>
      </c>
      <c r="X478">
        <f>Migrationsartikel!G476</f>
        <v>0</v>
      </c>
      <c r="Y478">
        <f>Migrationsartikel!K476</f>
        <v>0</v>
      </c>
      <c r="Z478">
        <f>Migrationsartikel!O476</f>
        <v>0</v>
      </c>
      <c r="AA478" s="31">
        <f>Migrationsartikel!H476</f>
        <v>0</v>
      </c>
      <c r="AB478" s="31">
        <f>Migrationsartikel!L476</f>
        <v>0</v>
      </c>
      <c r="AC478" s="31">
        <f>Migrationsartikel!P476</f>
        <v>0</v>
      </c>
      <c r="AD478">
        <f>Migrationsartikel!I476</f>
        <v>0</v>
      </c>
      <c r="AE478">
        <f>Migrationsartikel!M476</f>
        <v>0</v>
      </c>
      <c r="AF478">
        <f>Migrationsartikel!Q476</f>
        <v>0</v>
      </c>
      <c r="AG478" s="45">
        <f>Migrationsartikel!R476</f>
        <v>0</v>
      </c>
      <c r="AH478" s="46">
        <f>Migrationsartikel!T476</f>
        <v>0</v>
      </c>
      <c r="AI478" s="46" t="str">
        <f t="shared" si="21"/>
        <v>n/a</v>
      </c>
      <c r="AJ478" s="46" t="s">
        <v>176</v>
      </c>
      <c r="AK478">
        <f>Migrationsartikel!S476</f>
        <v>0</v>
      </c>
      <c r="AL478">
        <f>Migrationsartikel!S476</f>
        <v>0</v>
      </c>
      <c r="AM478">
        <f>Migrationsartikel!S476</f>
        <v>0</v>
      </c>
      <c r="AN478">
        <f>Migrationsartikel!U476</f>
        <v>0</v>
      </c>
      <c r="AO478" t="str">
        <f t="shared" si="22"/>
        <v>n/a</v>
      </c>
      <c r="AP478" t="str">
        <f t="shared" si="23"/>
        <v>n/a</v>
      </c>
      <c r="AQ478" s="31" t="s">
        <v>195</v>
      </c>
      <c r="AR478" s="47"/>
      <c r="AS478" s="47"/>
      <c r="AT478" s="31" t="s">
        <v>208</v>
      </c>
      <c r="AU478" s="47"/>
      <c r="AV478" s="47"/>
      <c r="AW478" t="b">
        <f>IF(Migrationsartikel!AB476="ja","true",FALSE)</f>
        <v>0</v>
      </c>
      <c r="AX478" t="b">
        <f>IF(Migrationsartikel!AC476="ja","true",FALSE)</f>
        <v>0</v>
      </c>
      <c r="AY478" t="b">
        <f>IF(Migrationsartikel!AD476="ja","true",FALSE)</f>
        <v>0</v>
      </c>
      <c r="AZ478" t="b">
        <f>IF(Migrationsartikel!AE476="ja","true",FALSE)</f>
        <v>0</v>
      </c>
      <c r="BA478" t="str">
        <f>IF(Migrationsartikel!AF476="ja","Denner Partner","")</f>
        <v/>
      </c>
      <c r="BB478" t="str">
        <f>IF(Migrationsartikel!AG476="ja","true","false")</f>
        <v>false</v>
      </c>
      <c r="BC478" t="s">
        <v>1923</v>
      </c>
      <c r="BD478" s="31" t="s">
        <v>235</v>
      </c>
      <c r="BE478" s="31" t="s">
        <v>233</v>
      </c>
    </row>
    <row r="479" spans="2:57" ht="21.75" customHeight="1" x14ac:dyDescent="0.45">
      <c r="B479" t="s">
        <v>115</v>
      </c>
      <c r="E479" s="31" t="s">
        <v>1905</v>
      </c>
      <c r="F479" t="str">
        <f>"Warengruppe&gt;&gt;"&amp;Migrationsartikel!V477&amp;"&gt;&gt;"&amp;Migrationsartikel!W477&amp;"&gt;&gt;"&amp;Migrationsartikel!X477</f>
        <v>Warengruppe&gt;&gt;&gt;&gt;&gt;&gt;</v>
      </c>
      <c r="J479" s="31" t="s">
        <v>125</v>
      </c>
      <c r="M479" s="31" t="s">
        <v>137</v>
      </c>
      <c r="P479" s="31">
        <f>Migrationsartikel!B477</f>
        <v>0</v>
      </c>
      <c r="U479">
        <f>Migrationsartikel!F477</f>
        <v>0</v>
      </c>
      <c r="V479">
        <f>Migrationsartikel!J477</f>
        <v>0</v>
      </c>
      <c r="W479">
        <f>Migrationsartikel!N477</f>
        <v>0</v>
      </c>
      <c r="X479">
        <f>Migrationsartikel!G477</f>
        <v>0</v>
      </c>
      <c r="Y479">
        <f>Migrationsartikel!K477</f>
        <v>0</v>
      </c>
      <c r="Z479">
        <f>Migrationsartikel!O477</f>
        <v>0</v>
      </c>
      <c r="AA479" s="31">
        <f>Migrationsartikel!H477</f>
        <v>0</v>
      </c>
      <c r="AB479" s="31">
        <f>Migrationsartikel!L477</f>
        <v>0</v>
      </c>
      <c r="AC479" s="31">
        <f>Migrationsartikel!P477</f>
        <v>0</v>
      </c>
      <c r="AD479">
        <f>Migrationsartikel!I477</f>
        <v>0</v>
      </c>
      <c r="AE479">
        <f>Migrationsartikel!M477</f>
        <v>0</v>
      </c>
      <c r="AF479">
        <f>Migrationsartikel!Q477</f>
        <v>0</v>
      </c>
      <c r="AG479" s="45">
        <f>Migrationsartikel!R477</f>
        <v>0</v>
      </c>
      <c r="AH479" s="46">
        <f>Migrationsartikel!T477</f>
        <v>0</v>
      </c>
      <c r="AI479" s="46" t="str">
        <f t="shared" si="21"/>
        <v>n/a</v>
      </c>
      <c r="AJ479" s="46" t="s">
        <v>176</v>
      </c>
      <c r="AK479">
        <f>Migrationsartikel!S477</f>
        <v>0</v>
      </c>
      <c r="AL479">
        <f>Migrationsartikel!S477</f>
        <v>0</v>
      </c>
      <c r="AM479">
        <f>Migrationsartikel!S477</f>
        <v>0</v>
      </c>
      <c r="AN479">
        <f>Migrationsartikel!U477</f>
        <v>0</v>
      </c>
      <c r="AO479" t="str">
        <f t="shared" si="22"/>
        <v>n/a</v>
      </c>
      <c r="AP479" t="str">
        <f t="shared" si="23"/>
        <v>n/a</v>
      </c>
      <c r="AQ479" s="31" t="s">
        <v>195</v>
      </c>
      <c r="AR479" s="47"/>
      <c r="AS479" s="47"/>
      <c r="AT479" s="31" t="s">
        <v>208</v>
      </c>
      <c r="AU479" s="47"/>
      <c r="AV479" s="47"/>
      <c r="AW479" t="b">
        <f>IF(Migrationsartikel!AB477="ja","true",FALSE)</f>
        <v>0</v>
      </c>
      <c r="AX479" t="b">
        <f>IF(Migrationsartikel!AC477="ja","true",FALSE)</f>
        <v>0</v>
      </c>
      <c r="AY479" t="b">
        <f>IF(Migrationsartikel!AD477="ja","true",FALSE)</f>
        <v>0</v>
      </c>
      <c r="AZ479" t="b">
        <f>IF(Migrationsartikel!AE477="ja","true",FALSE)</f>
        <v>0</v>
      </c>
      <c r="BA479" t="str">
        <f>IF(Migrationsartikel!AF477="ja","Denner Partner","")</f>
        <v/>
      </c>
      <c r="BB479" t="str">
        <f>IF(Migrationsartikel!AG477="ja","true","false")</f>
        <v>false</v>
      </c>
      <c r="BC479" t="s">
        <v>1923</v>
      </c>
      <c r="BD479" s="31" t="s">
        <v>235</v>
      </c>
      <c r="BE479" s="31" t="s">
        <v>233</v>
      </c>
    </row>
    <row r="480" spans="2:57" ht="21.75" customHeight="1" x14ac:dyDescent="0.45">
      <c r="B480" t="s">
        <v>115</v>
      </c>
      <c r="E480" s="31" t="s">
        <v>1906</v>
      </c>
      <c r="F480" t="str">
        <f>"Warengruppe&gt;&gt;"&amp;Migrationsartikel!V478&amp;"&gt;&gt;"&amp;Migrationsartikel!W478&amp;"&gt;&gt;"&amp;Migrationsartikel!X478</f>
        <v>Warengruppe&gt;&gt;&gt;&gt;&gt;&gt;</v>
      </c>
      <c r="J480" s="31" t="s">
        <v>125</v>
      </c>
      <c r="M480" s="31" t="s">
        <v>137</v>
      </c>
      <c r="P480" s="31">
        <f>Migrationsartikel!B478</f>
        <v>0</v>
      </c>
      <c r="U480">
        <f>Migrationsartikel!F478</f>
        <v>0</v>
      </c>
      <c r="V480">
        <f>Migrationsartikel!J478</f>
        <v>0</v>
      </c>
      <c r="W480">
        <f>Migrationsartikel!N478</f>
        <v>0</v>
      </c>
      <c r="X480">
        <f>Migrationsartikel!G478</f>
        <v>0</v>
      </c>
      <c r="Y480">
        <f>Migrationsartikel!K478</f>
        <v>0</v>
      </c>
      <c r="Z480">
        <f>Migrationsartikel!O478</f>
        <v>0</v>
      </c>
      <c r="AA480" s="31">
        <f>Migrationsartikel!H478</f>
        <v>0</v>
      </c>
      <c r="AB480" s="31">
        <f>Migrationsartikel!L478</f>
        <v>0</v>
      </c>
      <c r="AC480" s="31">
        <f>Migrationsartikel!P478</f>
        <v>0</v>
      </c>
      <c r="AD480">
        <f>Migrationsartikel!I478</f>
        <v>0</v>
      </c>
      <c r="AE480">
        <f>Migrationsartikel!M478</f>
        <v>0</v>
      </c>
      <c r="AF480">
        <f>Migrationsartikel!Q478</f>
        <v>0</v>
      </c>
      <c r="AG480" s="45">
        <f>Migrationsartikel!R478</f>
        <v>0</v>
      </c>
      <c r="AH480" s="46">
        <f>Migrationsartikel!T478</f>
        <v>0</v>
      </c>
      <c r="AI480" s="46" t="str">
        <f t="shared" si="21"/>
        <v>n/a</v>
      </c>
      <c r="AJ480" s="46" t="s">
        <v>176</v>
      </c>
      <c r="AK480">
        <f>Migrationsartikel!S478</f>
        <v>0</v>
      </c>
      <c r="AL480">
        <f>Migrationsartikel!S478</f>
        <v>0</v>
      </c>
      <c r="AM480">
        <f>Migrationsartikel!S478</f>
        <v>0</v>
      </c>
      <c r="AN480">
        <f>Migrationsartikel!U478</f>
        <v>0</v>
      </c>
      <c r="AO480" t="str">
        <f t="shared" si="22"/>
        <v>n/a</v>
      </c>
      <c r="AP480" t="str">
        <f t="shared" si="23"/>
        <v>n/a</v>
      </c>
      <c r="AQ480" s="31" t="s">
        <v>195</v>
      </c>
      <c r="AR480" s="47"/>
      <c r="AS480" s="47"/>
      <c r="AT480" s="31" t="s">
        <v>208</v>
      </c>
      <c r="AU480" s="47"/>
      <c r="AV480" s="47"/>
      <c r="AW480" t="b">
        <f>IF(Migrationsartikel!AB478="ja","true",FALSE)</f>
        <v>0</v>
      </c>
      <c r="AX480" t="b">
        <f>IF(Migrationsartikel!AC478="ja","true",FALSE)</f>
        <v>0</v>
      </c>
      <c r="AY480" t="b">
        <f>IF(Migrationsartikel!AD478="ja","true",FALSE)</f>
        <v>0</v>
      </c>
      <c r="AZ480" t="b">
        <f>IF(Migrationsartikel!AE478="ja","true",FALSE)</f>
        <v>0</v>
      </c>
      <c r="BA480" t="str">
        <f>IF(Migrationsartikel!AF478="ja","Denner Partner","")</f>
        <v/>
      </c>
      <c r="BB480" t="str">
        <f>IF(Migrationsartikel!AG478="ja","true","false")</f>
        <v>false</v>
      </c>
      <c r="BC480" t="s">
        <v>1923</v>
      </c>
      <c r="BD480" s="31" t="s">
        <v>235</v>
      </c>
      <c r="BE480" s="31" t="s">
        <v>233</v>
      </c>
    </row>
    <row r="481" spans="2:57" ht="21.75" customHeight="1" x14ac:dyDescent="0.45">
      <c r="B481" t="s">
        <v>115</v>
      </c>
      <c r="E481" s="31" t="s">
        <v>1907</v>
      </c>
      <c r="F481" t="str">
        <f>"Warengruppe&gt;&gt;"&amp;Migrationsartikel!V479&amp;"&gt;&gt;"&amp;Migrationsartikel!W479&amp;"&gt;&gt;"&amp;Migrationsartikel!X479</f>
        <v>Warengruppe&gt;&gt;&gt;&gt;&gt;&gt;</v>
      </c>
      <c r="J481" s="31" t="s">
        <v>125</v>
      </c>
      <c r="M481" s="31" t="s">
        <v>137</v>
      </c>
      <c r="P481" s="31">
        <f>Migrationsartikel!B479</f>
        <v>0</v>
      </c>
      <c r="U481">
        <f>Migrationsartikel!F479</f>
        <v>0</v>
      </c>
      <c r="V481">
        <f>Migrationsartikel!J479</f>
        <v>0</v>
      </c>
      <c r="W481">
        <f>Migrationsartikel!N479</f>
        <v>0</v>
      </c>
      <c r="X481">
        <f>Migrationsartikel!G479</f>
        <v>0</v>
      </c>
      <c r="Y481">
        <f>Migrationsartikel!K479</f>
        <v>0</v>
      </c>
      <c r="Z481">
        <f>Migrationsartikel!O479</f>
        <v>0</v>
      </c>
      <c r="AA481" s="31">
        <f>Migrationsartikel!H479</f>
        <v>0</v>
      </c>
      <c r="AB481" s="31">
        <f>Migrationsartikel!L479</f>
        <v>0</v>
      </c>
      <c r="AC481" s="31">
        <f>Migrationsartikel!P479</f>
        <v>0</v>
      </c>
      <c r="AD481">
        <f>Migrationsartikel!I479</f>
        <v>0</v>
      </c>
      <c r="AE481">
        <f>Migrationsartikel!M479</f>
        <v>0</v>
      </c>
      <c r="AF481">
        <f>Migrationsartikel!Q479</f>
        <v>0</v>
      </c>
      <c r="AG481" s="45">
        <f>Migrationsartikel!R479</f>
        <v>0</v>
      </c>
      <c r="AH481" s="46">
        <f>Migrationsartikel!T479</f>
        <v>0</v>
      </c>
      <c r="AI481" s="46" t="str">
        <f t="shared" si="21"/>
        <v>n/a</v>
      </c>
      <c r="AJ481" s="46" t="s">
        <v>176</v>
      </c>
      <c r="AK481">
        <f>Migrationsartikel!S479</f>
        <v>0</v>
      </c>
      <c r="AL481">
        <f>Migrationsartikel!S479</f>
        <v>0</v>
      </c>
      <c r="AM481">
        <f>Migrationsartikel!S479</f>
        <v>0</v>
      </c>
      <c r="AN481">
        <f>Migrationsartikel!U479</f>
        <v>0</v>
      </c>
      <c r="AO481" t="str">
        <f t="shared" si="22"/>
        <v>n/a</v>
      </c>
      <c r="AP481" t="str">
        <f t="shared" si="23"/>
        <v>n/a</v>
      </c>
      <c r="AQ481" s="31" t="s">
        <v>195</v>
      </c>
      <c r="AR481" s="47"/>
      <c r="AS481" s="47"/>
      <c r="AT481" s="31" t="s">
        <v>208</v>
      </c>
      <c r="AU481" s="47"/>
      <c r="AV481" s="47"/>
      <c r="AW481" t="b">
        <f>IF(Migrationsartikel!AB479="ja","true",FALSE)</f>
        <v>0</v>
      </c>
      <c r="AX481" t="b">
        <f>IF(Migrationsartikel!AC479="ja","true",FALSE)</f>
        <v>0</v>
      </c>
      <c r="AY481" t="b">
        <f>IF(Migrationsartikel!AD479="ja","true",FALSE)</f>
        <v>0</v>
      </c>
      <c r="AZ481" t="b">
        <f>IF(Migrationsartikel!AE479="ja","true",FALSE)</f>
        <v>0</v>
      </c>
      <c r="BA481" t="str">
        <f>IF(Migrationsartikel!AF479="ja","Denner Partner","")</f>
        <v/>
      </c>
      <c r="BB481" t="str">
        <f>IF(Migrationsartikel!AG479="ja","true","false")</f>
        <v>false</v>
      </c>
      <c r="BC481" t="s">
        <v>1923</v>
      </c>
      <c r="BD481" s="31" t="s">
        <v>235</v>
      </c>
      <c r="BE481" s="31" t="s">
        <v>233</v>
      </c>
    </row>
    <row r="482" spans="2:57" ht="21.75" customHeight="1" x14ac:dyDescent="0.45">
      <c r="B482" t="s">
        <v>115</v>
      </c>
      <c r="E482" s="31" t="s">
        <v>1908</v>
      </c>
      <c r="F482" t="str">
        <f>"Warengruppe&gt;&gt;"&amp;Migrationsartikel!V480&amp;"&gt;&gt;"&amp;Migrationsartikel!W480&amp;"&gt;&gt;"&amp;Migrationsartikel!X480</f>
        <v>Warengruppe&gt;&gt;&gt;&gt;&gt;&gt;</v>
      </c>
      <c r="J482" s="31" t="s">
        <v>125</v>
      </c>
      <c r="M482" s="31" t="s">
        <v>137</v>
      </c>
      <c r="P482" s="31">
        <f>Migrationsartikel!B480</f>
        <v>0</v>
      </c>
      <c r="U482">
        <f>Migrationsartikel!F480</f>
        <v>0</v>
      </c>
      <c r="V482">
        <f>Migrationsartikel!J480</f>
        <v>0</v>
      </c>
      <c r="W482">
        <f>Migrationsartikel!N480</f>
        <v>0</v>
      </c>
      <c r="X482">
        <f>Migrationsartikel!G480</f>
        <v>0</v>
      </c>
      <c r="Y482">
        <f>Migrationsartikel!K480</f>
        <v>0</v>
      </c>
      <c r="Z482">
        <f>Migrationsartikel!O480</f>
        <v>0</v>
      </c>
      <c r="AA482" s="31">
        <f>Migrationsartikel!H480</f>
        <v>0</v>
      </c>
      <c r="AB482" s="31">
        <f>Migrationsartikel!L480</f>
        <v>0</v>
      </c>
      <c r="AC482" s="31">
        <f>Migrationsartikel!P480</f>
        <v>0</v>
      </c>
      <c r="AD482">
        <f>Migrationsartikel!I480</f>
        <v>0</v>
      </c>
      <c r="AE482">
        <f>Migrationsartikel!M480</f>
        <v>0</v>
      </c>
      <c r="AF482">
        <f>Migrationsartikel!Q480</f>
        <v>0</v>
      </c>
      <c r="AG482" s="45">
        <f>Migrationsartikel!R480</f>
        <v>0</v>
      </c>
      <c r="AH482" s="46">
        <f>Migrationsartikel!T480</f>
        <v>0</v>
      </c>
      <c r="AI482" s="46" t="str">
        <f t="shared" si="21"/>
        <v>n/a</v>
      </c>
      <c r="AJ482" s="46" t="s">
        <v>176</v>
      </c>
      <c r="AK482">
        <f>Migrationsartikel!S480</f>
        <v>0</v>
      </c>
      <c r="AL482">
        <f>Migrationsartikel!S480</f>
        <v>0</v>
      </c>
      <c r="AM482">
        <f>Migrationsartikel!S480</f>
        <v>0</v>
      </c>
      <c r="AN482">
        <f>Migrationsartikel!U480</f>
        <v>0</v>
      </c>
      <c r="AO482" t="str">
        <f t="shared" si="22"/>
        <v>n/a</v>
      </c>
      <c r="AP482" t="str">
        <f t="shared" si="23"/>
        <v>n/a</v>
      </c>
      <c r="AQ482" s="31" t="s">
        <v>195</v>
      </c>
      <c r="AR482" s="47"/>
      <c r="AS482" s="47"/>
      <c r="AT482" s="31" t="s">
        <v>208</v>
      </c>
      <c r="AU482" s="47"/>
      <c r="AV482" s="47"/>
      <c r="AW482" t="b">
        <f>IF(Migrationsartikel!AB480="ja","true",FALSE)</f>
        <v>0</v>
      </c>
      <c r="AX482" t="b">
        <f>IF(Migrationsartikel!AC480="ja","true",FALSE)</f>
        <v>0</v>
      </c>
      <c r="AY482" t="b">
        <f>IF(Migrationsartikel!AD480="ja","true",FALSE)</f>
        <v>0</v>
      </c>
      <c r="AZ482" t="b">
        <f>IF(Migrationsartikel!AE480="ja","true",FALSE)</f>
        <v>0</v>
      </c>
      <c r="BA482" t="str">
        <f>IF(Migrationsartikel!AF480="ja","Denner Partner","")</f>
        <v/>
      </c>
      <c r="BB482" t="str">
        <f>IF(Migrationsartikel!AG480="ja","true","false")</f>
        <v>false</v>
      </c>
      <c r="BC482" t="s">
        <v>1923</v>
      </c>
      <c r="BD482" s="31" t="s">
        <v>235</v>
      </c>
      <c r="BE482" s="31" t="s">
        <v>233</v>
      </c>
    </row>
    <row r="483" spans="2:57" ht="21.75" customHeight="1" x14ac:dyDescent="0.45">
      <c r="B483" t="s">
        <v>115</v>
      </c>
      <c r="E483" s="31" t="s">
        <v>1909</v>
      </c>
      <c r="F483" t="str">
        <f>"Warengruppe&gt;&gt;"&amp;Migrationsartikel!V481&amp;"&gt;&gt;"&amp;Migrationsartikel!W481&amp;"&gt;&gt;"&amp;Migrationsartikel!X481</f>
        <v>Warengruppe&gt;&gt;&gt;&gt;&gt;&gt;</v>
      </c>
      <c r="J483" s="31" t="s">
        <v>125</v>
      </c>
      <c r="M483" s="31" t="s">
        <v>137</v>
      </c>
      <c r="P483" s="31">
        <f>Migrationsartikel!B481</f>
        <v>0</v>
      </c>
      <c r="U483">
        <f>Migrationsartikel!F481</f>
        <v>0</v>
      </c>
      <c r="V483">
        <f>Migrationsartikel!J481</f>
        <v>0</v>
      </c>
      <c r="W483">
        <f>Migrationsartikel!N481</f>
        <v>0</v>
      </c>
      <c r="X483">
        <f>Migrationsartikel!G481</f>
        <v>0</v>
      </c>
      <c r="Y483">
        <f>Migrationsartikel!K481</f>
        <v>0</v>
      </c>
      <c r="Z483">
        <f>Migrationsartikel!O481</f>
        <v>0</v>
      </c>
      <c r="AA483" s="31">
        <f>Migrationsartikel!H481</f>
        <v>0</v>
      </c>
      <c r="AB483" s="31">
        <f>Migrationsartikel!L481</f>
        <v>0</v>
      </c>
      <c r="AC483" s="31">
        <f>Migrationsartikel!P481</f>
        <v>0</v>
      </c>
      <c r="AD483">
        <f>Migrationsartikel!I481</f>
        <v>0</v>
      </c>
      <c r="AE483">
        <f>Migrationsartikel!M481</f>
        <v>0</v>
      </c>
      <c r="AF483">
        <f>Migrationsartikel!Q481</f>
        <v>0</v>
      </c>
      <c r="AG483" s="45">
        <f>Migrationsartikel!R481</f>
        <v>0</v>
      </c>
      <c r="AH483" s="46">
        <f>Migrationsartikel!T481</f>
        <v>0</v>
      </c>
      <c r="AI483" s="46" t="str">
        <f t="shared" si="21"/>
        <v>n/a</v>
      </c>
      <c r="AJ483" s="46" t="s">
        <v>176</v>
      </c>
      <c r="AK483">
        <f>Migrationsartikel!S481</f>
        <v>0</v>
      </c>
      <c r="AL483">
        <f>Migrationsartikel!S481</f>
        <v>0</v>
      </c>
      <c r="AM483">
        <f>Migrationsartikel!S481</f>
        <v>0</v>
      </c>
      <c r="AN483">
        <f>Migrationsartikel!U481</f>
        <v>0</v>
      </c>
      <c r="AO483" t="str">
        <f t="shared" si="22"/>
        <v>n/a</v>
      </c>
      <c r="AP483" t="str">
        <f t="shared" si="23"/>
        <v>n/a</v>
      </c>
      <c r="AQ483" s="31" t="s">
        <v>195</v>
      </c>
      <c r="AR483" s="47"/>
      <c r="AS483" s="47"/>
      <c r="AT483" s="31" t="s">
        <v>208</v>
      </c>
      <c r="AU483" s="47"/>
      <c r="AV483" s="47"/>
      <c r="AW483" t="b">
        <f>IF(Migrationsartikel!AB481="ja","true",FALSE)</f>
        <v>0</v>
      </c>
      <c r="AX483" t="b">
        <f>IF(Migrationsartikel!AC481="ja","true",FALSE)</f>
        <v>0</v>
      </c>
      <c r="AY483" t="b">
        <f>IF(Migrationsartikel!AD481="ja","true",FALSE)</f>
        <v>0</v>
      </c>
      <c r="AZ483" t="b">
        <f>IF(Migrationsartikel!AE481="ja","true",FALSE)</f>
        <v>0</v>
      </c>
      <c r="BA483" t="str">
        <f>IF(Migrationsartikel!AF481="ja","Denner Partner","")</f>
        <v/>
      </c>
      <c r="BB483" t="str">
        <f>IF(Migrationsartikel!AG481="ja","true","false")</f>
        <v>false</v>
      </c>
      <c r="BC483" t="s">
        <v>1923</v>
      </c>
      <c r="BD483" s="31" t="s">
        <v>235</v>
      </c>
      <c r="BE483" s="31" t="s">
        <v>233</v>
      </c>
    </row>
    <row r="484" spans="2:57" ht="21.75" customHeight="1" x14ac:dyDescent="0.45">
      <c r="B484" t="s">
        <v>115</v>
      </c>
      <c r="E484" s="31" t="s">
        <v>1910</v>
      </c>
      <c r="F484" t="str">
        <f>"Warengruppe&gt;&gt;"&amp;Migrationsartikel!V482&amp;"&gt;&gt;"&amp;Migrationsartikel!W482&amp;"&gt;&gt;"&amp;Migrationsartikel!X482</f>
        <v>Warengruppe&gt;&gt;&gt;&gt;&gt;&gt;</v>
      </c>
      <c r="J484" s="31" t="s">
        <v>125</v>
      </c>
      <c r="M484" s="31" t="s">
        <v>137</v>
      </c>
      <c r="P484" s="31">
        <f>Migrationsartikel!B482</f>
        <v>0</v>
      </c>
      <c r="U484">
        <f>Migrationsartikel!F482</f>
        <v>0</v>
      </c>
      <c r="V484">
        <f>Migrationsartikel!J482</f>
        <v>0</v>
      </c>
      <c r="W484">
        <f>Migrationsartikel!N482</f>
        <v>0</v>
      </c>
      <c r="X484">
        <f>Migrationsartikel!G482</f>
        <v>0</v>
      </c>
      <c r="Y484">
        <f>Migrationsartikel!K482</f>
        <v>0</v>
      </c>
      <c r="Z484">
        <f>Migrationsartikel!O482</f>
        <v>0</v>
      </c>
      <c r="AA484" s="31">
        <f>Migrationsartikel!H482</f>
        <v>0</v>
      </c>
      <c r="AB484" s="31">
        <f>Migrationsartikel!L482</f>
        <v>0</v>
      </c>
      <c r="AC484" s="31">
        <f>Migrationsartikel!P482</f>
        <v>0</v>
      </c>
      <c r="AD484">
        <f>Migrationsartikel!I482</f>
        <v>0</v>
      </c>
      <c r="AE484">
        <f>Migrationsartikel!M482</f>
        <v>0</v>
      </c>
      <c r="AF484">
        <f>Migrationsartikel!Q482</f>
        <v>0</v>
      </c>
      <c r="AG484" s="45">
        <f>Migrationsartikel!R482</f>
        <v>0</v>
      </c>
      <c r="AH484" s="46">
        <f>Migrationsartikel!T482</f>
        <v>0</v>
      </c>
      <c r="AI484" s="46" t="str">
        <f t="shared" si="21"/>
        <v>n/a</v>
      </c>
      <c r="AJ484" s="46" t="s">
        <v>176</v>
      </c>
      <c r="AK484">
        <f>Migrationsartikel!S482</f>
        <v>0</v>
      </c>
      <c r="AL484">
        <f>Migrationsartikel!S482</f>
        <v>0</v>
      </c>
      <c r="AM484">
        <f>Migrationsartikel!S482</f>
        <v>0</v>
      </c>
      <c r="AN484">
        <f>Migrationsartikel!U482</f>
        <v>0</v>
      </c>
      <c r="AO484" t="str">
        <f t="shared" si="22"/>
        <v>n/a</v>
      </c>
      <c r="AP484" t="str">
        <f t="shared" si="23"/>
        <v>n/a</v>
      </c>
      <c r="AQ484" s="31" t="s">
        <v>195</v>
      </c>
      <c r="AR484" s="47"/>
      <c r="AS484" s="47"/>
      <c r="AT484" s="31" t="s">
        <v>208</v>
      </c>
      <c r="AU484" s="47"/>
      <c r="AV484" s="47"/>
      <c r="AW484" t="b">
        <f>IF(Migrationsartikel!AB482="ja","true",FALSE)</f>
        <v>0</v>
      </c>
      <c r="AX484" t="b">
        <f>IF(Migrationsartikel!AC482="ja","true",FALSE)</f>
        <v>0</v>
      </c>
      <c r="AY484" t="b">
        <f>IF(Migrationsartikel!AD482="ja","true",FALSE)</f>
        <v>0</v>
      </c>
      <c r="AZ484" t="b">
        <f>IF(Migrationsartikel!AE482="ja","true",FALSE)</f>
        <v>0</v>
      </c>
      <c r="BA484" t="str">
        <f>IF(Migrationsartikel!AF482="ja","Denner Partner","")</f>
        <v/>
      </c>
      <c r="BB484" t="str">
        <f>IF(Migrationsartikel!AG482="ja","true","false")</f>
        <v>false</v>
      </c>
      <c r="BC484" t="s">
        <v>1923</v>
      </c>
      <c r="BD484" s="31" t="s">
        <v>235</v>
      </c>
      <c r="BE484" s="31" t="s">
        <v>233</v>
      </c>
    </row>
    <row r="485" spans="2:57" ht="21.75" customHeight="1" x14ac:dyDescent="0.45">
      <c r="B485" t="s">
        <v>115</v>
      </c>
      <c r="E485" s="31" t="s">
        <v>1911</v>
      </c>
      <c r="F485" t="str">
        <f>"Warengruppe&gt;&gt;"&amp;Migrationsartikel!V483&amp;"&gt;&gt;"&amp;Migrationsartikel!W483&amp;"&gt;&gt;"&amp;Migrationsartikel!X483</f>
        <v>Warengruppe&gt;&gt;&gt;&gt;&gt;&gt;</v>
      </c>
      <c r="J485" s="31" t="s">
        <v>125</v>
      </c>
      <c r="M485" s="31" t="s">
        <v>137</v>
      </c>
      <c r="P485" s="31">
        <f>Migrationsartikel!B483</f>
        <v>0</v>
      </c>
      <c r="U485">
        <f>Migrationsartikel!F483</f>
        <v>0</v>
      </c>
      <c r="V485">
        <f>Migrationsartikel!J483</f>
        <v>0</v>
      </c>
      <c r="W485">
        <f>Migrationsartikel!N483</f>
        <v>0</v>
      </c>
      <c r="X485">
        <f>Migrationsartikel!G483</f>
        <v>0</v>
      </c>
      <c r="Y485">
        <f>Migrationsartikel!K483</f>
        <v>0</v>
      </c>
      <c r="Z485">
        <f>Migrationsartikel!O483</f>
        <v>0</v>
      </c>
      <c r="AA485" s="31">
        <f>Migrationsartikel!H483</f>
        <v>0</v>
      </c>
      <c r="AB485" s="31">
        <f>Migrationsartikel!L483</f>
        <v>0</v>
      </c>
      <c r="AC485" s="31">
        <f>Migrationsartikel!P483</f>
        <v>0</v>
      </c>
      <c r="AD485">
        <f>Migrationsartikel!I483</f>
        <v>0</v>
      </c>
      <c r="AE485">
        <f>Migrationsartikel!M483</f>
        <v>0</v>
      </c>
      <c r="AF485">
        <f>Migrationsartikel!Q483</f>
        <v>0</v>
      </c>
      <c r="AG485" s="45">
        <f>Migrationsartikel!R483</f>
        <v>0</v>
      </c>
      <c r="AH485" s="46">
        <f>Migrationsartikel!T483</f>
        <v>0</v>
      </c>
      <c r="AI485" s="46" t="str">
        <f t="shared" si="21"/>
        <v>n/a</v>
      </c>
      <c r="AJ485" s="46" t="s">
        <v>176</v>
      </c>
      <c r="AK485">
        <f>Migrationsartikel!S483</f>
        <v>0</v>
      </c>
      <c r="AL485">
        <f>Migrationsartikel!S483</f>
        <v>0</v>
      </c>
      <c r="AM485">
        <f>Migrationsartikel!S483</f>
        <v>0</v>
      </c>
      <c r="AN485">
        <f>Migrationsartikel!U483</f>
        <v>0</v>
      </c>
      <c r="AO485" t="str">
        <f t="shared" si="22"/>
        <v>n/a</v>
      </c>
      <c r="AP485" t="str">
        <f t="shared" si="23"/>
        <v>n/a</v>
      </c>
      <c r="AQ485" s="31" t="s">
        <v>195</v>
      </c>
      <c r="AR485" s="47"/>
      <c r="AS485" s="47"/>
      <c r="AT485" s="31" t="s">
        <v>208</v>
      </c>
      <c r="AU485" s="47"/>
      <c r="AV485" s="47"/>
      <c r="AW485" t="b">
        <f>IF(Migrationsartikel!AB483="ja","true",FALSE)</f>
        <v>0</v>
      </c>
      <c r="AX485" t="b">
        <f>IF(Migrationsartikel!AC483="ja","true",FALSE)</f>
        <v>0</v>
      </c>
      <c r="AY485" t="b">
        <f>IF(Migrationsartikel!AD483="ja","true",FALSE)</f>
        <v>0</v>
      </c>
      <c r="AZ485" t="b">
        <f>IF(Migrationsartikel!AE483="ja","true",FALSE)</f>
        <v>0</v>
      </c>
      <c r="BA485" t="str">
        <f>IF(Migrationsartikel!AF483="ja","Denner Partner","")</f>
        <v/>
      </c>
      <c r="BB485" t="str">
        <f>IF(Migrationsartikel!AG483="ja","true","false")</f>
        <v>false</v>
      </c>
      <c r="BC485" t="s">
        <v>1923</v>
      </c>
      <c r="BD485" s="31" t="s">
        <v>235</v>
      </c>
      <c r="BE485" s="31" t="s">
        <v>233</v>
      </c>
    </row>
    <row r="486" spans="2:57" ht="21.75" customHeight="1" x14ac:dyDescent="0.45">
      <c r="B486" t="s">
        <v>115</v>
      </c>
      <c r="E486" s="31" t="s">
        <v>1912</v>
      </c>
      <c r="F486" t="str">
        <f>"Warengruppe&gt;&gt;"&amp;Migrationsartikel!V484&amp;"&gt;&gt;"&amp;Migrationsartikel!W484&amp;"&gt;&gt;"&amp;Migrationsartikel!X484</f>
        <v>Warengruppe&gt;&gt;&gt;&gt;&gt;&gt;</v>
      </c>
      <c r="J486" s="31" t="s">
        <v>125</v>
      </c>
      <c r="M486" s="31" t="s">
        <v>137</v>
      </c>
      <c r="P486" s="31">
        <f>Migrationsartikel!B484</f>
        <v>0</v>
      </c>
      <c r="U486">
        <f>Migrationsartikel!F484</f>
        <v>0</v>
      </c>
      <c r="V486">
        <f>Migrationsartikel!J484</f>
        <v>0</v>
      </c>
      <c r="W486">
        <f>Migrationsartikel!N484</f>
        <v>0</v>
      </c>
      <c r="X486">
        <f>Migrationsartikel!G484</f>
        <v>0</v>
      </c>
      <c r="Y486">
        <f>Migrationsartikel!K484</f>
        <v>0</v>
      </c>
      <c r="Z486">
        <f>Migrationsartikel!O484</f>
        <v>0</v>
      </c>
      <c r="AA486" s="31">
        <f>Migrationsartikel!H484</f>
        <v>0</v>
      </c>
      <c r="AB486" s="31">
        <f>Migrationsartikel!L484</f>
        <v>0</v>
      </c>
      <c r="AC486" s="31">
        <f>Migrationsartikel!P484</f>
        <v>0</v>
      </c>
      <c r="AD486">
        <f>Migrationsartikel!I484</f>
        <v>0</v>
      </c>
      <c r="AE486">
        <f>Migrationsartikel!M484</f>
        <v>0</v>
      </c>
      <c r="AF486">
        <f>Migrationsartikel!Q484</f>
        <v>0</v>
      </c>
      <c r="AG486" s="45">
        <f>Migrationsartikel!R484</f>
        <v>0</v>
      </c>
      <c r="AH486" s="46">
        <f>Migrationsartikel!T484</f>
        <v>0</v>
      </c>
      <c r="AI486" s="46" t="str">
        <f t="shared" si="21"/>
        <v>n/a</v>
      </c>
      <c r="AJ486" s="46" t="s">
        <v>176</v>
      </c>
      <c r="AK486">
        <f>Migrationsartikel!S484</f>
        <v>0</v>
      </c>
      <c r="AL486">
        <f>Migrationsartikel!S484</f>
        <v>0</v>
      </c>
      <c r="AM486">
        <f>Migrationsartikel!S484</f>
        <v>0</v>
      </c>
      <c r="AN486">
        <f>Migrationsartikel!U484</f>
        <v>0</v>
      </c>
      <c r="AO486" t="str">
        <f t="shared" si="22"/>
        <v>n/a</v>
      </c>
      <c r="AP486" t="str">
        <f t="shared" si="23"/>
        <v>n/a</v>
      </c>
      <c r="AQ486" s="31" t="s">
        <v>195</v>
      </c>
      <c r="AR486" s="47"/>
      <c r="AS486" s="47"/>
      <c r="AT486" s="31" t="s">
        <v>208</v>
      </c>
      <c r="AU486" s="47"/>
      <c r="AV486" s="47"/>
      <c r="AW486" t="b">
        <f>IF(Migrationsartikel!AB484="ja","true",FALSE)</f>
        <v>0</v>
      </c>
      <c r="AX486" t="b">
        <f>IF(Migrationsartikel!AC484="ja","true",FALSE)</f>
        <v>0</v>
      </c>
      <c r="AY486" t="b">
        <f>IF(Migrationsartikel!AD484="ja","true",FALSE)</f>
        <v>0</v>
      </c>
      <c r="AZ486" t="b">
        <f>IF(Migrationsartikel!AE484="ja","true",FALSE)</f>
        <v>0</v>
      </c>
      <c r="BA486" t="str">
        <f>IF(Migrationsartikel!AF484="ja","Denner Partner","")</f>
        <v/>
      </c>
      <c r="BB486" t="str">
        <f>IF(Migrationsartikel!AG484="ja","true","false")</f>
        <v>false</v>
      </c>
      <c r="BC486" t="s">
        <v>1923</v>
      </c>
      <c r="BD486" s="31" t="s">
        <v>235</v>
      </c>
      <c r="BE486" s="31" t="s">
        <v>233</v>
      </c>
    </row>
    <row r="487" spans="2:57" ht="21.75" customHeight="1" x14ac:dyDescent="0.45">
      <c r="B487" t="s">
        <v>115</v>
      </c>
      <c r="E487" s="31" t="s">
        <v>1913</v>
      </c>
      <c r="F487" t="str">
        <f>"Warengruppe&gt;&gt;"&amp;Migrationsartikel!V485&amp;"&gt;&gt;"&amp;Migrationsartikel!W485&amp;"&gt;&gt;"&amp;Migrationsartikel!X485</f>
        <v>Warengruppe&gt;&gt;&gt;&gt;&gt;&gt;</v>
      </c>
      <c r="J487" s="31" t="s">
        <v>125</v>
      </c>
      <c r="M487" s="31" t="s">
        <v>137</v>
      </c>
      <c r="P487" s="31">
        <f>Migrationsartikel!B485</f>
        <v>0</v>
      </c>
      <c r="U487">
        <f>Migrationsartikel!F485</f>
        <v>0</v>
      </c>
      <c r="V487">
        <f>Migrationsartikel!J485</f>
        <v>0</v>
      </c>
      <c r="W487">
        <f>Migrationsartikel!N485</f>
        <v>0</v>
      </c>
      <c r="X487">
        <f>Migrationsartikel!G485</f>
        <v>0</v>
      </c>
      <c r="Y487">
        <f>Migrationsartikel!K485</f>
        <v>0</v>
      </c>
      <c r="Z487">
        <f>Migrationsartikel!O485</f>
        <v>0</v>
      </c>
      <c r="AA487" s="31">
        <f>Migrationsartikel!H485</f>
        <v>0</v>
      </c>
      <c r="AB487" s="31">
        <f>Migrationsartikel!L485</f>
        <v>0</v>
      </c>
      <c r="AC487" s="31">
        <f>Migrationsartikel!P485</f>
        <v>0</v>
      </c>
      <c r="AD487">
        <f>Migrationsartikel!I485</f>
        <v>0</v>
      </c>
      <c r="AE487">
        <f>Migrationsartikel!M485</f>
        <v>0</v>
      </c>
      <c r="AF487">
        <f>Migrationsartikel!Q485</f>
        <v>0</v>
      </c>
      <c r="AG487" s="45">
        <f>Migrationsartikel!R485</f>
        <v>0</v>
      </c>
      <c r="AH487" s="46">
        <f>Migrationsartikel!T485</f>
        <v>0</v>
      </c>
      <c r="AI487" s="46" t="str">
        <f t="shared" si="21"/>
        <v>n/a</v>
      </c>
      <c r="AJ487" s="46" t="s">
        <v>176</v>
      </c>
      <c r="AK487">
        <f>Migrationsartikel!S485</f>
        <v>0</v>
      </c>
      <c r="AL487">
        <f>Migrationsartikel!S485</f>
        <v>0</v>
      </c>
      <c r="AM487">
        <f>Migrationsartikel!S485</f>
        <v>0</v>
      </c>
      <c r="AN487">
        <f>Migrationsartikel!U485</f>
        <v>0</v>
      </c>
      <c r="AO487" t="str">
        <f t="shared" si="22"/>
        <v>n/a</v>
      </c>
      <c r="AP487" t="str">
        <f t="shared" si="23"/>
        <v>n/a</v>
      </c>
      <c r="AQ487" s="31" t="s">
        <v>195</v>
      </c>
      <c r="AR487" s="47"/>
      <c r="AS487" s="47"/>
      <c r="AT487" s="31" t="s">
        <v>208</v>
      </c>
      <c r="AU487" s="47"/>
      <c r="AV487" s="47"/>
      <c r="AW487" t="b">
        <f>IF(Migrationsartikel!AB485="ja","true",FALSE)</f>
        <v>0</v>
      </c>
      <c r="AX487" t="b">
        <f>IF(Migrationsartikel!AC485="ja","true",FALSE)</f>
        <v>0</v>
      </c>
      <c r="AY487" t="b">
        <f>IF(Migrationsartikel!AD485="ja","true",FALSE)</f>
        <v>0</v>
      </c>
      <c r="AZ487" t="b">
        <f>IF(Migrationsartikel!AE485="ja","true",FALSE)</f>
        <v>0</v>
      </c>
      <c r="BA487" t="str">
        <f>IF(Migrationsartikel!AF485="ja","Denner Partner","")</f>
        <v/>
      </c>
      <c r="BB487" t="str">
        <f>IF(Migrationsartikel!AG485="ja","true","false")</f>
        <v>false</v>
      </c>
      <c r="BC487" t="s">
        <v>1923</v>
      </c>
      <c r="BD487" s="31" t="s">
        <v>235</v>
      </c>
      <c r="BE487" s="31" t="s">
        <v>233</v>
      </c>
    </row>
    <row r="488" spans="2:57" ht="21.75" customHeight="1" x14ac:dyDescent="0.45">
      <c r="B488" t="s">
        <v>115</v>
      </c>
      <c r="E488" s="31" t="s">
        <v>1914</v>
      </c>
      <c r="F488" t="str">
        <f>"Warengruppe&gt;&gt;"&amp;Migrationsartikel!V486&amp;"&gt;&gt;"&amp;Migrationsartikel!W486&amp;"&gt;&gt;"&amp;Migrationsartikel!X486</f>
        <v>Warengruppe&gt;&gt;&gt;&gt;&gt;&gt;</v>
      </c>
      <c r="J488" s="31" t="s">
        <v>125</v>
      </c>
      <c r="M488" s="31" t="s">
        <v>137</v>
      </c>
      <c r="P488" s="31">
        <f>Migrationsartikel!B486</f>
        <v>0</v>
      </c>
      <c r="U488">
        <f>Migrationsartikel!F486</f>
        <v>0</v>
      </c>
      <c r="V488">
        <f>Migrationsartikel!J486</f>
        <v>0</v>
      </c>
      <c r="W488">
        <f>Migrationsartikel!N486</f>
        <v>0</v>
      </c>
      <c r="X488">
        <f>Migrationsartikel!G486</f>
        <v>0</v>
      </c>
      <c r="Y488">
        <f>Migrationsartikel!K486</f>
        <v>0</v>
      </c>
      <c r="Z488">
        <f>Migrationsartikel!O486</f>
        <v>0</v>
      </c>
      <c r="AA488" s="31">
        <f>Migrationsartikel!H486</f>
        <v>0</v>
      </c>
      <c r="AB488" s="31">
        <f>Migrationsartikel!L486</f>
        <v>0</v>
      </c>
      <c r="AC488" s="31">
        <f>Migrationsartikel!P486</f>
        <v>0</v>
      </c>
      <c r="AD488">
        <f>Migrationsartikel!I486</f>
        <v>0</v>
      </c>
      <c r="AE488">
        <f>Migrationsartikel!M486</f>
        <v>0</v>
      </c>
      <c r="AF488">
        <f>Migrationsartikel!Q486</f>
        <v>0</v>
      </c>
      <c r="AG488" s="45">
        <f>Migrationsartikel!R486</f>
        <v>0</v>
      </c>
      <c r="AH488" s="46">
        <f>Migrationsartikel!T486</f>
        <v>0</v>
      </c>
      <c r="AI488" s="46" t="str">
        <f t="shared" si="21"/>
        <v>n/a</v>
      </c>
      <c r="AJ488" s="46" t="s">
        <v>176</v>
      </c>
      <c r="AK488">
        <f>Migrationsartikel!S486</f>
        <v>0</v>
      </c>
      <c r="AL488">
        <f>Migrationsartikel!S486</f>
        <v>0</v>
      </c>
      <c r="AM488">
        <f>Migrationsartikel!S486</f>
        <v>0</v>
      </c>
      <c r="AN488">
        <f>Migrationsartikel!U486</f>
        <v>0</v>
      </c>
      <c r="AO488" t="str">
        <f t="shared" si="22"/>
        <v>n/a</v>
      </c>
      <c r="AP488" t="str">
        <f t="shared" si="23"/>
        <v>n/a</v>
      </c>
      <c r="AQ488" s="31" t="s">
        <v>195</v>
      </c>
      <c r="AR488" s="47"/>
      <c r="AS488" s="47"/>
      <c r="AT488" s="31" t="s">
        <v>208</v>
      </c>
      <c r="AU488" s="47"/>
      <c r="AV488" s="47"/>
      <c r="AW488" t="b">
        <f>IF(Migrationsartikel!AB486="ja","true",FALSE)</f>
        <v>0</v>
      </c>
      <c r="AX488" t="b">
        <f>IF(Migrationsartikel!AC486="ja","true",FALSE)</f>
        <v>0</v>
      </c>
      <c r="AY488" t="b">
        <f>IF(Migrationsartikel!AD486="ja","true",FALSE)</f>
        <v>0</v>
      </c>
      <c r="AZ488" t="b">
        <f>IF(Migrationsartikel!AE486="ja","true",FALSE)</f>
        <v>0</v>
      </c>
      <c r="BA488" t="str">
        <f>IF(Migrationsartikel!AF486="ja","Denner Partner","")</f>
        <v/>
      </c>
      <c r="BB488" t="str">
        <f>IF(Migrationsartikel!AG486="ja","true","false")</f>
        <v>false</v>
      </c>
      <c r="BC488" t="s">
        <v>1923</v>
      </c>
      <c r="BD488" s="31" t="s">
        <v>235</v>
      </c>
      <c r="BE488" s="31" t="s">
        <v>233</v>
      </c>
    </row>
    <row r="489" spans="2:57" ht="21.75" customHeight="1" x14ac:dyDescent="0.45">
      <c r="B489" t="s">
        <v>115</v>
      </c>
      <c r="E489" s="31" t="s">
        <v>1915</v>
      </c>
      <c r="F489" t="str">
        <f>"Warengruppe&gt;&gt;"&amp;Migrationsartikel!V487&amp;"&gt;&gt;"&amp;Migrationsartikel!W487&amp;"&gt;&gt;"&amp;Migrationsartikel!X487</f>
        <v>Warengruppe&gt;&gt;&gt;&gt;&gt;&gt;</v>
      </c>
      <c r="J489" s="31" t="s">
        <v>125</v>
      </c>
      <c r="M489" s="31" t="s">
        <v>137</v>
      </c>
      <c r="U489">
        <f>Migrationsartikel!F487</f>
        <v>0</v>
      </c>
      <c r="V489">
        <f>Migrationsartikel!J487</f>
        <v>0</v>
      </c>
      <c r="W489">
        <f>Migrationsartikel!N487</f>
        <v>0</v>
      </c>
      <c r="X489">
        <f>Migrationsartikel!G487</f>
        <v>0</v>
      </c>
      <c r="Y489">
        <f>Migrationsartikel!K487</f>
        <v>0</v>
      </c>
      <c r="Z489">
        <f>Migrationsartikel!O487</f>
        <v>0</v>
      </c>
      <c r="AA489" s="31">
        <f>Migrationsartikel!H487</f>
        <v>0</v>
      </c>
      <c r="AB489" s="31">
        <f>Migrationsartikel!L487</f>
        <v>0</v>
      </c>
      <c r="AC489" s="31">
        <f>Migrationsartikel!P487</f>
        <v>0</v>
      </c>
      <c r="AD489">
        <f>Migrationsartikel!I487</f>
        <v>0</v>
      </c>
      <c r="AE489">
        <f>Migrationsartikel!M487</f>
        <v>0</v>
      </c>
      <c r="AF489">
        <f>Migrationsartikel!Q487</f>
        <v>0</v>
      </c>
      <c r="AG489" s="45">
        <f>Migrationsartikel!R487</f>
        <v>0</v>
      </c>
      <c r="AH489" s="46">
        <f>Migrationsartikel!T487</f>
        <v>0</v>
      </c>
      <c r="AI489" s="46" t="str">
        <f t="shared" si="21"/>
        <v>n/a</v>
      </c>
      <c r="AJ489" s="46" t="s">
        <v>176</v>
      </c>
      <c r="AK489">
        <f>Migrationsartikel!S487</f>
        <v>0</v>
      </c>
      <c r="AL489">
        <f>Migrationsartikel!S487</f>
        <v>0</v>
      </c>
      <c r="AM489">
        <f>Migrationsartikel!S487</f>
        <v>0</v>
      </c>
      <c r="AN489">
        <f>Migrationsartikel!U487</f>
        <v>0</v>
      </c>
      <c r="AO489" t="str">
        <f t="shared" si="22"/>
        <v>n/a</v>
      </c>
      <c r="AP489" t="str">
        <f t="shared" si="23"/>
        <v>n/a</v>
      </c>
      <c r="AQ489" s="31" t="s">
        <v>195</v>
      </c>
      <c r="AR489" s="47"/>
      <c r="AS489" s="47"/>
      <c r="AT489" s="31" t="s">
        <v>208</v>
      </c>
      <c r="AU489" s="47"/>
      <c r="AV489" s="47"/>
      <c r="AW489" t="b">
        <f>IF(Migrationsartikel!AB487="ja","true",FALSE)</f>
        <v>0</v>
      </c>
      <c r="AX489" t="b">
        <f>IF(Migrationsartikel!AC487="ja","true",FALSE)</f>
        <v>0</v>
      </c>
      <c r="AY489" t="b">
        <f>IF(Migrationsartikel!AD487="ja","true",FALSE)</f>
        <v>0</v>
      </c>
      <c r="AZ489" t="b">
        <f>IF(Migrationsartikel!AE487="ja","true",FALSE)</f>
        <v>0</v>
      </c>
      <c r="BA489" t="str">
        <f>IF(Migrationsartikel!AF487="ja","Denner Partner","")</f>
        <v/>
      </c>
      <c r="BB489" t="str">
        <f>IF(Migrationsartikel!AG487="ja","true","false")</f>
        <v>false</v>
      </c>
      <c r="BC489" t="s">
        <v>1923</v>
      </c>
      <c r="BD489" s="31" t="s">
        <v>235</v>
      </c>
      <c r="BE489" s="31" t="s">
        <v>233</v>
      </c>
    </row>
    <row r="490" spans="2:57" ht="21.75" customHeight="1" x14ac:dyDescent="0.45">
      <c r="B490" t="s">
        <v>115</v>
      </c>
      <c r="E490" s="31" t="s">
        <v>1916</v>
      </c>
      <c r="F490" t="str">
        <f>"Warengruppe&gt;&gt;"&amp;Migrationsartikel!V488&amp;"&gt;&gt;"&amp;Migrationsartikel!W488&amp;"&gt;&gt;"&amp;Migrationsartikel!X488</f>
        <v>Warengruppe&gt;&gt;&gt;&gt;&gt;&gt;</v>
      </c>
      <c r="J490" s="31" t="s">
        <v>125</v>
      </c>
      <c r="M490" s="31" t="s">
        <v>137</v>
      </c>
      <c r="U490">
        <f>Migrationsartikel!F488</f>
        <v>0</v>
      </c>
      <c r="V490">
        <f>Migrationsartikel!J488</f>
        <v>0</v>
      </c>
      <c r="W490">
        <f>Migrationsartikel!N488</f>
        <v>0</v>
      </c>
      <c r="X490">
        <f>Migrationsartikel!G488</f>
        <v>0</v>
      </c>
      <c r="Y490">
        <f>Migrationsartikel!K488</f>
        <v>0</v>
      </c>
      <c r="Z490">
        <f>Migrationsartikel!O488</f>
        <v>0</v>
      </c>
      <c r="AA490" s="31">
        <f>Migrationsartikel!H488</f>
        <v>0</v>
      </c>
      <c r="AB490" s="31">
        <f>Migrationsartikel!L488</f>
        <v>0</v>
      </c>
      <c r="AC490" s="31">
        <f>Migrationsartikel!P488</f>
        <v>0</v>
      </c>
      <c r="AD490">
        <f>Migrationsartikel!I488</f>
        <v>0</v>
      </c>
      <c r="AE490">
        <f>Migrationsartikel!M488</f>
        <v>0</v>
      </c>
      <c r="AF490">
        <f>Migrationsartikel!Q488</f>
        <v>0</v>
      </c>
      <c r="AG490" s="45">
        <f>Migrationsartikel!R488</f>
        <v>0</v>
      </c>
      <c r="AH490" s="46">
        <f>Migrationsartikel!T488</f>
        <v>0</v>
      </c>
      <c r="AI490" s="46" t="str">
        <f t="shared" si="21"/>
        <v>n/a</v>
      </c>
      <c r="AJ490" s="46" t="s">
        <v>176</v>
      </c>
      <c r="AK490">
        <f>Migrationsartikel!S488</f>
        <v>0</v>
      </c>
      <c r="AL490">
        <f>Migrationsartikel!S488</f>
        <v>0</v>
      </c>
      <c r="AM490">
        <f>Migrationsartikel!S488</f>
        <v>0</v>
      </c>
      <c r="AN490">
        <f>Migrationsartikel!U488</f>
        <v>0</v>
      </c>
      <c r="AO490" t="str">
        <f t="shared" si="22"/>
        <v>n/a</v>
      </c>
      <c r="AP490" t="str">
        <f t="shared" si="23"/>
        <v>n/a</v>
      </c>
      <c r="AQ490" s="31" t="s">
        <v>195</v>
      </c>
      <c r="AR490" s="47"/>
      <c r="AS490" s="47"/>
      <c r="AT490" s="31" t="s">
        <v>208</v>
      </c>
      <c r="AU490" s="47"/>
      <c r="AV490" s="47"/>
      <c r="AW490" t="b">
        <f>IF(Migrationsartikel!AB488="ja","true",FALSE)</f>
        <v>0</v>
      </c>
      <c r="AX490" t="b">
        <f>IF(Migrationsartikel!AC488="ja","true",FALSE)</f>
        <v>0</v>
      </c>
      <c r="AY490" t="b">
        <f>IF(Migrationsartikel!AD488="ja","true",FALSE)</f>
        <v>0</v>
      </c>
      <c r="AZ490" t="b">
        <f>IF(Migrationsartikel!AE488="ja","true",FALSE)</f>
        <v>0</v>
      </c>
      <c r="BA490" t="str">
        <f>IF(Migrationsartikel!AF488="ja","Denner Partner","")</f>
        <v/>
      </c>
      <c r="BB490" t="str">
        <f>IF(Migrationsartikel!AG488="ja","true","false")</f>
        <v>false</v>
      </c>
      <c r="BC490" t="s">
        <v>1923</v>
      </c>
      <c r="BD490" s="31" t="s">
        <v>235</v>
      </c>
      <c r="BE490" s="31" t="s">
        <v>233</v>
      </c>
    </row>
    <row r="491" spans="2:57" ht="21.75" customHeight="1" x14ac:dyDescent="0.45">
      <c r="B491" t="s">
        <v>115</v>
      </c>
      <c r="E491" s="31" t="s">
        <v>1917</v>
      </c>
      <c r="F491" t="str">
        <f>"Warengruppe&gt;&gt;"&amp;Migrationsartikel!V489&amp;"&gt;&gt;"&amp;Migrationsartikel!W489&amp;"&gt;&gt;"&amp;Migrationsartikel!X489</f>
        <v>Warengruppe&gt;&gt;&gt;&gt;&gt;&gt;</v>
      </c>
      <c r="J491" s="31" t="s">
        <v>125</v>
      </c>
      <c r="M491" s="31" t="s">
        <v>137</v>
      </c>
      <c r="U491">
        <f>Migrationsartikel!F489</f>
        <v>0</v>
      </c>
      <c r="V491">
        <f>Migrationsartikel!J489</f>
        <v>0</v>
      </c>
      <c r="W491">
        <f>Migrationsartikel!N489</f>
        <v>0</v>
      </c>
      <c r="X491">
        <f>Migrationsartikel!G489</f>
        <v>0</v>
      </c>
      <c r="Y491">
        <f>Migrationsartikel!K489</f>
        <v>0</v>
      </c>
      <c r="Z491">
        <f>Migrationsartikel!O489</f>
        <v>0</v>
      </c>
      <c r="AA491" s="31">
        <f>Migrationsartikel!H489</f>
        <v>0</v>
      </c>
      <c r="AB491" s="31">
        <f>Migrationsartikel!L489</f>
        <v>0</v>
      </c>
      <c r="AC491" s="31">
        <f>Migrationsartikel!P489</f>
        <v>0</v>
      </c>
      <c r="AD491">
        <f>Migrationsartikel!I489</f>
        <v>0</v>
      </c>
      <c r="AE491">
        <f>Migrationsartikel!M489</f>
        <v>0</v>
      </c>
      <c r="AF491">
        <f>Migrationsartikel!Q489</f>
        <v>0</v>
      </c>
      <c r="AG491" s="45">
        <f>Migrationsartikel!R489</f>
        <v>0</v>
      </c>
      <c r="AH491" s="46">
        <f>Migrationsartikel!T489</f>
        <v>0</v>
      </c>
      <c r="AI491" s="46" t="str">
        <f t="shared" si="21"/>
        <v>n/a</v>
      </c>
      <c r="AJ491" s="46" t="s">
        <v>176</v>
      </c>
      <c r="AK491">
        <f>Migrationsartikel!S489</f>
        <v>0</v>
      </c>
      <c r="AL491">
        <f>Migrationsartikel!S489</f>
        <v>0</v>
      </c>
      <c r="AM491">
        <f>Migrationsartikel!S489</f>
        <v>0</v>
      </c>
      <c r="AN491">
        <f>Migrationsartikel!U489</f>
        <v>0</v>
      </c>
      <c r="AO491" t="str">
        <f t="shared" si="22"/>
        <v>n/a</v>
      </c>
      <c r="AP491" t="str">
        <f t="shared" si="23"/>
        <v>n/a</v>
      </c>
      <c r="AQ491" s="31" t="s">
        <v>195</v>
      </c>
      <c r="AR491" s="47"/>
      <c r="AS491" s="47"/>
      <c r="AT491" s="31" t="s">
        <v>208</v>
      </c>
      <c r="AU491" s="47"/>
      <c r="AV491" s="47"/>
      <c r="AW491" t="b">
        <f>IF(Migrationsartikel!AB489="ja","true",FALSE)</f>
        <v>0</v>
      </c>
      <c r="AX491" t="b">
        <f>IF(Migrationsartikel!AC489="ja","true",FALSE)</f>
        <v>0</v>
      </c>
      <c r="AY491" t="b">
        <f>IF(Migrationsartikel!AD489="ja","true",FALSE)</f>
        <v>0</v>
      </c>
      <c r="AZ491" t="b">
        <f>IF(Migrationsartikel!AE489="ja","true",FALSE)</f>
        <v>0</v>
      </c>
      <c r="BA491" t="str">
        <f>IF(Migrationsartikel!AF489="ja","Denner Partner","")</f>
        <v/>
      </c>
      <c r="BB491" t="str">
        <f>IF(Migrationsartikel!AG489="ja","true","false")</f>
        <v>false</v>
      </c>
      <c r="BC491" t="s">
        <v>1923</v>
      </c>
      <c r="BD491" s="31" t="s">
        <v>235</v>
      </c>
      <c r="BE491" s="31" t="s">
        <v>233</v>
      </c>
    </row>
    <row r="492" spans="2:57" ht="21.75" customHeight="1" x14ac:dyDescent="0.45">
      <c r="B492" t="s">
        <v>115</v>
      </c>
      <c r="E492" s="31" t="s">
        <v>1918</v>
      </c>
      <c r="F492" t="str">
        <f>"Warengruppe&gt;&gt;"&amp;Migrationsartikel!V490&amp;"&gt;&gt;"&amp;Migrationsartikel!W490&amp;"&gt;&gt;"&amp;Migrationsartikel!X490</f>
        <v>Warengruppe&gt;&gt;&gt;&gt;&gt;&gt;</v>
      </c>
      <c r="J492" s="31" t="s">
        <v>125</v>
      </c>
      <c r="M492" s="31" t="s">
        <v>137</v>
      </c>
      <c r="U492">
        <f>Migrationsartikel!F490</f>
        <v>0</v>
      </c>
      <c r="V492">
        <f>Migrationsartikel!J490</f>
        <v>0</v>
      </c>
      <c r="W492">
        <f>Migrationsartikel!N490</f>
        <v>0</v>
      </c>
      <c r="X492">
        <f>Migrationsartikel!G490</f>
        <v>0</v>
      </c>
      <c r="Y492">
        <f>Migrationsartikel!K490</f>
        <v>0</v>
      </c>
      <c r="Z492">
        <f>Migrationsartikel!O490</f>
        <v>0</v>
      </c>
      <c r="AA492" s="31">
        <f>Migrationsartikel!H490</f>
        <v>0</v>
      </c>
      <c r="AB492" s="31">
        <f>Migrationsartikel!L490</f>
        <v>0</v>
      </c>
      <c r="AC492" s="31">
        <f>Migrationsartikel!P490</f>
        <v>0</v>
      </c>
      <c r="AD492">
        <f>Migrationsartikel!I490</f>
        <v>0</v>
      </c>
      <c r="AE492">
        <f>Migrationsartikel!M490</f>
        <v>0</v>
      </c>
      <c r="AF492">
        <f>Migrationsartikel!Q490</f>
        <v>0</v>
      </c>
      <c r="AG492" s="45">
        <f>Migrationsartikel!R490</f>
        <v>0</v>
      </c>
      <c r="AH492" s="46">
        <f>Migrationsartikel!T490</f>
        <v>0</v>
      </c>
      <c r="AI492" s="46" t="str">
        <f t="shared" si="21"/>
        <v>n/a</v>
      </c>
      <c r="AJ492" s="46" t="s">
        <v>176</v>
      </c>
      <c r="AK492">
        <f>Migrationsartikel!S490</f>
        <v>0</v>
      </c>
      <c r="AL492">
        <f>Migrationsartikel!S490</f>
        <v>0</v>
      </c>
      <c r="AM492">
        <f>Migrationsartikel!S490</f>
        <v>0</v>
      </c>
      <c r="AN492">
        <f>Migrationsartikel!U490</f>
        <v>0</v>
      </c>
      <c r="AO492" t="str">
        <f t="shared" si="22"/>
        <v>n/a</v>
      </c>
      <c r="AP492" t="str">
        <f t="shared" si="23"/>
        <v>n/a</v>
      </c>
      <c r="AQ492" s="31" t="s">
        <v>195</v>
      </c>
      <c r="AR492" s="47"/>
      <c r="AS492" s="47"/>
      <c r="AT492" s="31" t="s">
        <v>208</v>
      </c>
      <c r="AU492" s="47"/>
      <c r="AV492" s="47"/>
      <c r="AW492" t="b">
        <f>IF(Migrationsartikel!AB490="ja","true",FALSE)</f>
        <v>0</v>
      </c>
      <c r="AX492" t="b">
        <f>IF(Migrationsartikel!AC490="ja","true",FALSE)</f>
        <v>0</v>
      </c>
      <c r="AY492" t="b">
        <f>IF(Migrationsartikel!AD490="ja","true",FALSE)</f>
        <v>0</v>
      </c>
      <c r="AZ492" t="b">
        <f>IF(Migrationsartikel!AE490="ja","true",FALSE)</f>
        <v>0</v>
      </c>
      <c r="BA492" t="str">
        <f>IF(Migrationsartikel!AF490="ja","Denner Partner","")</f>
        <v/>
      </c>
      <c r="BB492" t="str">
        <f>IF(Migrationsartikel!AG490="ja","true","false")</f>
        <v>false</v>
      </c>
      <c r="BC492" t="s">
        <v>1923</v>
      </c>
      <c r="BD492" s="31" t="s">
        <v>235</v>
      </c>
      <c r="BE492" s="31" t="s">
        <v>233</v>
      </c>
    </row>
    <row r="493" spans="2:57" ht="21.75" customHeight="1" x14ac:dyDescent="0.45">
      <c r="B493" t="s">
        <v>115</v>
      </c>
      <c r="E493" s="31" t="s">
        <v>1919</v>
      </c>
      <c r="F493" t="str">
        <f>"Warengruppe&gt;&gt;"&amp;Migrationsartikel!V491&amp;"&gt;&gt;"&amp;Migrationsartikel!W491&amp;"&gt;&gt;"&amp;Migrationsartikel!X491</f>
        <v>Warengruppe&gt;&gt;&gt;&gt;&gt;&gt;</v>
      </c>
      <c r="J493" s="31" t="s">
        <v>125</v>
      </c>
      <c r="M493" s="31" t="s">
        <v>137</v>
      </c>
      <c r="U493">
        <f>Migrationsartikel!F491</f>
        <v>0</v>
      </c>
      <c r="V493">
        <f>Migrationsartikel!J491</f>
        <v>0</v>
      </c>
      <c r="W493">
        <f>Migrationsartikel!N491</f>
        <v>0</v>
      </c>
      <c r="X493">
        <f>Migrationsartikel!G491</f>
        <v>0</v>
      </c>
      <c r="Y493">
        <f>Migrationsartikel!K491</f>
        <v>0</v>
      </c>
      <c r="Z493">
        <f>Migrationsartikel!O491</f>
        <v>0</v>
      </c>
      <c r="AA493" s="31">
        <f>Migrationsartikel!H491</f>
        <v>0</v>
      </c>
      <c r="AB493" s="31">
        <f>Migrationsartikel!L491</f>
        <v>0</v>
      </c>
      <c r="AC493" s="31">
        <f>Migrationsartikel!P491</f>
        <v>0</v>
      </c>
      <c r="AD493">
        <f>Migrationsartikel!I491</f>
        <v>0</v>
      </c>
      <c r="AE493">
        <f>Migrationsartikel!M491</f>
        <v>0</v>
      </c>
      <c r="AF493">
        <f>Migrationsartikel!Q491</f>
        <v>0</v>
      </c>
      <c r="AG493" s="45">
        <f>Migrationsartikel!R491</f>
        <v>0</v>
      </c>
      <c r="AH493" s="46">
        <f>Migrationsartikel!T491</f>
        <v>0</v>
      </c>
      <c r="AI493" s="46" t="str">
        <f t="shared" si="21"/>
        <v>n/a</v>
      </c>
      <c r="AJ493" s="46" t="s">
        <v>176</v>
      </c>
      <c r="AK493">
        <f>Migrationsartikel!S491</f>
        <v>0</v>
      </c>
      <c r="AL493">
        <f>Migrationsartikel!S491</f>
        <v>0</v>
      </c>
      <c r="AM493">
        <f>Migrationsartikel!S491</f>
        <v>0</v>
      </c>
      <c r="AN493">
        <f>Migrationsartikel!U491</f>
        <v>0</v>
      </c>
      <c r="AO493" t="str">
        <f t="shared" si="22"/>
        <v>n/a</v>
      </c>
      <c r="AP493" t="str">
        <f t="shared" si="23"/>
        <v>n/a</v>
      </c>
      <c r="AQ493" s="31" t="s">
        <v>195</v>
      </c>
      <c r="AR493" s="47"/>
      <c r="AS493" s="47"/>
      <c r="AT493" s="31" t="s">
        <v>208</v>
      </c>
      <c r="AU493" s="47"/>
      <c r="AV493" s="47"/>
      <c r="AW493" t="b">
        <f>IF(Migrationsartikel!AB491="ja","true",FALSE)</f>
        <v>0</v>
      </c>
      <c r="AX493" t="b">
        <f>IF(Migrationsartikel!AC491="ja","true",FALSE)</f>
        <v>0</v>
      </c>
      <c r="AY493" t="b">
        <f>IF(Migrationsartikel!AD491="ja","true",FALSE)</f>
        <v>0</v>
      </c>
      <c r="AZ493" t="b">
        <f>IF(Migrationsartikel!AE491="ja","true",FALSE)</f>
        <v>0</v>
      </c>
      <c r="BA493" t="str">
        <f>IF(Migrationsartikel!AF491="ja","Denner Partner","")</f>
        <v/>
      </c>
      <c r="BB493" t="str">
        <f>IF(Migrationsartikel!AG491="ja","true","false")</f>
        <v>false</v>
      </c>
      <c r="BC493" t="s">
        <v>1923</v>
      </c>
      <c r="BD493" s="31" t="s">
        <v>235</v>
      </c>
      <c r="BE493" s="31" t="s">
        <v>233</v>
      </c>
    </row>
    <row r="494" spans="2:57" ht="21.75" customHeight="1" x14ac:dyDescent="0.45">
      <c r="B494" t="s">
        <v>115</v>
      </c>
      <c r="E494" s="31" t="s">
        <v>1920</v>
      </c>
      <c r="F494" t="str">
        <f>"Warengruppe&gt;&gt;"&amp;Migrationsartikel!V492&amp;"&gt;&gt;"&amp;Migrationsartikel!W492&amp;"&gt;&gt;"&amp;Migrationsartikel!X492</f>
        <v>Warengruppe&gt;&gt;&gt;&gt;&gt;&gt;</v>
      </c>
      <c r="J494" s="31" t="s">
        <v>125</v>
      </c>
      <c r="M494" s="31" t="s">
        <v>137</v>
      </c>
      <c r="U494">
        <f>Migrationsartikel!F492</f>
        <v>0</v>
      </c>
      <c r="V494">
        <f>Migrationsartikel!J492</f>
        <v>0</v>
      </c>
      <c r="W494">
        <f>Migrationsartikel!N492</f>
        <v>0</v>
      </c>
      <c r="X494">
        <f>Migrationsartikel!G492</f>
        <v>0</v>
      </c>
      <c r="Y494">
        <f>Migrationsartikel!K492</f>
        <v>0</v>
      </c>
      <c r="Z494">
        <f>Migrationsartikel!O492</f>
        <v>0</v>
      </c>
      <c r="AA494" s="31">
        <f>Migrationsartikel!H492</f>
        <v>0</v>
      </c>
      <c r="AB494" s="31">
        <f>Migrationsartikel!L492</f>
        <v>0</v>
      </c>
      <c r="AC494" s="31">
        <f>Migrationsartikel!P492</f>
        <v>0</v>
      </c>
      <c r="AD494">
        <f>Migrationsartikel!I492</f>
        <v>0</v>
      </c>
      <c r="AE494">
        <f>Migrationsartikel!M492</f>
        <v>0</v>
      </c>
      <c r="AF494">
        <f>Migrationsartikel!Q492</f>
        <v>0</v>
      </c>
      <c r="AG494" s="45">
        <f>Migrationsartikel!R492</f>
        <v>0</v>
      </c>
      <c r="AH494" s="46">
        <f>Migrationsartikel!T492</f>
        <v>0</v>
      </c>
      <c r="AI494" s="46" t="str">
        <f t="shared" si="21"/>
        <v>n/a</v>
      </c>
      <c r="AJ494" s="46" t="s">
        <v>176</v>
      </c>
      <c r="AK494">
        <f>Migrationsartikel!S492</f>
        <v>0</v>
      </c>
      <c r="AL494">
        <f>Migrationsartikel!S492</f>
        <v>0</v>
      </c>
      <c r="AM494">
        <f>Migrationsartikel!S492</f>
        <v>0</v>
      </c>
      <c r="AN494">
        <f>Migrationsartikel!U492</f>
        <v>0</v>
      </c>
      <c r="AO494" t="str">
        <f t="shared" si="22"/>
        <v>n/a</v>
      </c>
      <c r="AP494" t="str">
        <f t="shared" si="23"/>
        <v>n/a</v>
      </c>
      <c r="AQ494" s="31" t="s">
        <v>195</v>
      </c>
      <c r="AR494" s="47"/>
      <c r="AS494" s="47"/>
      <c r="AT494" s="31" t="s">
        <v>208</v>
      </c>
      <c r="AU494" s="47"/>
      <c r="AV494" s="47"/>
      <c r="AW494" t="b">
        <f>IF(Migrationsartikel!AB492="ja","true",FALSE)</f>
        <v>0</v>
      </c>
      <c r="AX494" t="b">
        <f>IF(Migrationsartikel!AC492="ja","true",FALSE)</f>
        <v>0</v>
      </c>
      <c r="AY494" t="b">
        <f>IF(Migrationsartikel!AD492="ja","true",FALSE)</f>
        <v>0</v>
      </c>
      <c r="AZ494" t="b">
        <f>IF(Migrationsartikel!AE492="ja","true",FALSE)</f>
        <v>0</v>
      </c>
      <c r="BA494" t="str">
        <f>IF(Migrationsartikel!AF492="ja","Denner Partner","")</f>
        <v/>
      </c>
      <c r="BB494" t="str">
        <f>IF(Migrationsartikel!AG492="ja","true","false")</f>
        <v>false</v>
      </c>
      <c r="BC494" t="s">
        <v>1923</v>
      </c>
      <c r="BD494" s="31" t="s">
        <v>235</v>
      </c>
      <c r="BE494" s="31" t="s">
        <v>233</v>
      </c>
    </row>
    <row r="495" spans="2:57" ht="21.75" customHeight="1" x14ac:dyDescent="0.45">
      <c r="U495"/>
      <c r="V495"/>
      <c r="W495"/>
    </row>
    <row r="496" spans="2:57" ht="21.75" customHeight="1" x14ac:dyDescent="0.45">
      <c r="U496"/>
      <c r="V496"/>
      <c r="W496"/>
    </row>
    <row r="497" spans="21:23" ht="21.75" customHeight="1" x14ac:dyDescent="0.45">
      <c r="U497"/>
      <c r="V497"/>
      <c r="W497"/>
    </row>
    <row r="498" spans="21:23" ht="21.75" customHeight="1" x14ac:dyDescent="0.45">
      <c r="U498"/>
      <c r="V498"/>
      <c r="W498"/>
    </row>
    <row r="499" spans="21:23" ht="21.75" customHeight="1" x14ac:dyDescent="0.45">
      <c r="U499"/>
      <c r="V499"/>
      <c r="W499"/>
    </row>
    <row r="500" spans="21:23" ht="21.75" customHeight="1" x14ac:dyDescent="0.45">
      <c r="U500"/>
      <c r="V500"/>
      <c r="W500"/>
    </row>
    <row r="501" spans="21:23" ht="21.75" customHeight="1" x14ac:dyDescent="0.45">
      <c r="U501"/>
      <c r="V501"/>
      <c r="W501"/>
    </row>
    <row r="502" spans="21:23" ht="21.75" customHeight="1" x14ac:dyDescent="0.45">
      <c r="U502"/>
      <c r="V502"/>
      <c r="W502"/>
    </row>
    <row r="503" spans="21:23" ht="21.75" customHeight="1" x14ac:dyDescent="0.45">
      <c r="U503"/>
      <c r="V503"/>
      <c r="W503"/>
    </row>
    <row r="504" spans="21:23" ht="21.75" customHeight="1" x14ac:dyDescent="0.45">
      <c r="U504"/>
      <c r="V504"/>
      <c r="W504"/>
    </row>
    <row r="505" spans="21:23" ht="21.75" customHeight="1" x14ac:dyDescent="0.45">
      <c r="U505"/>
      <c r="V505"/>
      <c r="W505"/>
    </row>
    <row r="506" spans="21:23" ht="21.75" customHeight="1" x14ac:dyDescent="0.45">
      <c r="U506"/>
      <c r="V506"/>
      <c r="W506"/>
    </row>
    <row r="507" spans="21:23" ht="21.75" customHeight="1" x14ac:dyDescent="0.45">
      <c r="U507"/>
      <c r="V507"/>
      <c r="W507"/>
    </row>
    <row r="508" spans="21:23" ht="21.75" customHeight="1" x14ac:dyDescent="0.45">
      <c r="U508"/>
      <c r="V508"/>
      <c r="W508"/>
    </row>
    <row r="509" spans="21:23" ht="21.75" customHeight="1" x14ac:dyDescent="0.45">
      <c r="U509"/>
      <c r="V509"/>
      <c r="W509"/>
    </row>
    <row r="510" spans="21:23" ht="21.75" customHeight="1" x14ac:dyDescent="0.45">
      <c r="U510"/>
      <c r="V510"/>
      <c r="W510"/>
    </row>
    <row r="511" spans="21:23" ht="21.75" customHeight="1" x14ac:dyDescent="0.45">
      <c r="U511"/>
      <c r="V511"/>
      <c r="W511"/>
    </row>
    <row r="512" spans="21:23" ht="21.75" customHeight="1" x14ac:dyDescent="0.45">
      <c r="U512"/>
      <c r="V512"/>
      <c r="W512"/>
    </row>
    <row r="513" spans="21:23" ht="21.75" customHeight="1" x14ac:dyDescent="0.45">
      <c r="U513"/>
      <c r="V513"/>
      <c r="W513"/>
    </row>
    <row r="514" spans="21:23" ht="21.75" customHeight="1" x14ac:dyDescent="0.45">
      <c r="U514"/>
      <c r="V514"/>
      <c r="W514"/>
    </row>
    <row r="515" spans="21:23" ht="21.75" customHeight="1" x14ac:dyDescent="0.45">
      <c r="U515"/>
      <c r="V515"/>
      <c r="W515"/>
    </row>
    <row r="516" spans="21:23" ht="21.75" customHeight="1" x14ac:dyDescent="0.45">
      <c r="U516"/>
      <c r="V516"/>
      <c r="W516"/>
    </row>
    <row r="517" spans="21:23" ht="21.75" customHeight="1" x14ac:dyDescent="0.45">
      <c r="U517"/>
      <c r="V517"/>
      <c r="W517"/>
    </row>
    <row r="518" spans="21:23" ht="21.75" customHeight="1" x14ac:dyDescent="0.45">
      <c r="U518"/>
      <c r="V518"/>
      <c r="W518"/>
    </row>
    <row r="519" spans="21:23" ht="21.75" customHeight="1" x14ac:dyDescent="0.45">
      <c r="U519"/>
      <c r="V519"/>
      <c r="W519"/>
    </row>
    <row r="520" spans="21:23" ht="21.75" customHeight="1" x14ac:dyDescent="0.45">
      <c r="U520"/>
      <c r="V520"/>
      <c r="W520"/>
    </row>
    <row r="521" spans="21:23" ht="21.75" customHeight="1" x14ac:dyDescent="0.45">
      <c r="U521"/>
      <c r="V521"/>
      <c r="W521"/>
    </row>
    <row r="522" spans="21:23" ht="21.75" customHeight="1" x14ac:dyDescent="0.45">
      <c r="U522"/>
      <c r="V522"/>
      <c r="W522"/>
    </row>
    <row r="523" spans="21:23" ht="21.75" customHeight="1" x14ac:dyDescent="0.45">
      <c r="U523"/>
      <c r="V523"/>
      <c r="W523"/>
    </row>
    <row r="524" spans="21:23" ht="21.75" customHeight="1" x14ac:dyDescent="0.45">
      <c r="U524"/>
      <c r="V524"/>
      <c r="W524"/>
    </row>
    <row r="525" spans="21:23" ht="21.75" customHeight="1" x14ac:dyDescent="0.45">
      <c r="U525"/>
      <c r="V525"/>
      <c r="W525"/>
    </row>
    <row r="526" spans="21:23" ht="21.75" customHeight="1" x14ac:dyDescent="0.45">
      <c r="U526"/>
      <c r="V526"/>
      <c r="W526"/>
    </row>
    <row r="527" spans="21:23" ht="21.75" customHeight="1" x14ac:dyDescent="0.45">
      <c r="U527"/>
      <c r="V527"/>
      <c r="W527"/>
    </row>
    <row r="528" spans="21:23" ht="21.75" customHeight="1" x14ac:dyDescent="0.45">
      <c r="U528"/>
      <c r="V528"/>
      <c r="W528"/>
    </row>
    <row r="529" spans="21:23" ht="21.75" customHeight="1" x14ac:dyDescent="0.45">
      <c r="U529"/>
      <c r="V529"/>
      <c r="W529"/>
    </row>
    <row r="530" spans="21:23" ht="21.75" customHeight="1" x14ac:dyDescent="0.45">
      <c r="U530"/>
      <c r="V530"/>
      <c r="W530"/>
    </row>
    <row r="531" spans="21:23" ht="21.75" customHeight="1" x14ac:dyDescent="0.45">
      <c r="U531"/>
      <c r="V531"/>
      <c r="W531"/>
    </row>
    <row r="532" spans="21:23" ht="21.75" customHeight="1" x14ac:dyDescent="0.45">
      <c r="U532"/>
      <c r="V532"/>
      <c r="W532"/>
    </row>
    <row r="533" spans="21:23" ht="21.75" customHeight="1" x14ac:dyDescent="0.45">
      <c r="U533"/>
      <c r="V533"/>
      <c r="W533"/>
    </row>
    <row r="534" spans="21:23" ht="21.75" customHeight="1" x14ac:dyDescent="0.45">
      <c r="U534"/>
      <c r="V534"/>
      <c r="W534"/>
    </row>
    <row r="535" spans="21:23" ht="21.75" customHeight="1" x14ac:dyDescent="0.45">
      <c r="U535"/>
      <c r="V535"/>
      <c r="W535"/>
    </row>
    <row r="536" spans="21:23" ht="21.75" customHeight="1" x14ac:dyDescent="0.45">
      <c r="U536"/>
      <c r="V536"/>
      <c r="W536"/>
    </row>
    <row r="537" spans="21:23" ht="21.75" customHeight="1" x14ac:dyDescent="0.45">
      <c r="U537"/>
      <c r="V537"/>
      <c r="W537"/>
    </row>
    <row r="538" spans="21:23" ht="21.75" customHeight="1" x14ac:dyDescent="0.45">
      <c r="U538"/>
      <c r="V538"/>
      <c r="W538"/>
    </row>
    <row r="539" spans="21:23" ht="21.75" customHeight="1" x14ac:dyDescent="0.45">
      <c r="U539"/>
      <c r="V539"/>
      <c r="W539"/>
    </row>
    <row r="540" spans="21:23" ht="21.75" customHeight="1" x14ac:dyDescent="0.45">
      <c r="U540"/>
      <c r="V540"/>
      <c r="W540"/>
    </row>
    <row r="541" spans="21:23" ht="21.75" customHeight="1" x14ac:dyDescent="0.45">
      <c r="U541"/>
      <c r="V541"/>
      <c r="W541"/>
    </row>
    <row r="542" spans="21:23" ht="21.75" customHeight="1" x14ac:dyDescent="0.45">
      <c r="U542"/>
      <c r="V542"/>
      <c r="W542"/>
    </row>
    <row r="543" spans="21:23" ht="21.75" customHeight="1" x14ac:dyDescent="0.45">
      <c r="U543"/>
      <c r="V543"/>
      <c r="W543"/>
    </row>
    <row r="544" spans="21:23" ht="21.75" customHeight="1" x14ac:dyDescent="0.45">
      <c r="U544"/>
      <c r="V544"/>
      <c r="W544"/>
    </row>
    <row r="545" spans="21:23" ht="21.75" customHeight="1" x14ac:dyDescent="0.45">
      <c r="U545"/>
      <c r="V545"/>
      <c r="W545"/>
    </row>
    <row r="546" spans="21:23" ht="21.75" customHeight="1" x14ac:dyDescent="0.45">
      <c r="U546"/>
      <c r="V546"/>
      <c r="W546"/>
    </row>
    <row r="547" spans="21:23" ht="21.75" customHeight="1" x14ac:dyDescent="0.45">
      <c r="U547"/>
      <c r="V547"/>
      <c r="W547"/>
    </row>
    <row r="548" spans="21:23" ht="21.75" customHeight="1" x14ac:dyDescent="0.45">
      <c r="U548"/>
      <c r="V548"/>
      <c r="W548"/>
    </row>
    <row r="549" spans="21:23" ht="21.75" customHeight="1" x14ac:dyDescent="0.45">
      <c r="U549"/>
      <c r="V549"/>
      <c r="W549"/>
    </row>
    <row r="550" spans="21:23" ht="21.75" customHeight="1" x14ac:dyDescent="0.45">
      <c r="U550"/>
      <c r="V550"/>
      <c r="W550"/>
    </row>
    <row r="551" spans="21:23" ht="21.75" customHeight="1" x14ac:dyDescent="0.45">
      <c r="U551"/>
      <c r="V551"/>
      <c r="W551"/>
    </row>
    <row r="552" spans="21:23" ht="21.75" customHeight="1" x14ac:dyDescent="0.45">
      <c r="U552"/>
      <c r="V552"/>
      <c r="W552"/>
    </row>
    <row r="553" spans="21:23" ht="21.75" customHeight="1" x14ac:dyDescent="0.45">
      <c r="U553"/>
      <c r="V553"/>
      <c r="W553"/>
    </row>
    <row r="554" spans="21:23" ht="21.75" customHeight="1" x14ac:dyDescent="0.45">
      <c r="U554"/>
      <c r="V554"/>
      <c r="W554"/>
    </row>
    <row r="555" spans="21:23" ht="21.75" customHeight="1" x14ac:dyDescent="0.45">
      <c r="U555"/>
      <c r="V555"/>
      <c r="W555"/>
    </row>
    <row r="556" spans="21:23" ht="21.75" customHeight="1" x14ac:dyDescent="0.45">
      <c r="U556"/>
      <c r="V556"/>
      <c r="W556"/>
    </row>
    <row r="557" spans="21:23" ht="21.75" customHeight="1" x14ac:dyDescent="0.45">
      <c r="U557"/>
      <c r="V557"/>
      <c r="W557"/>
    </row>
    <row r="558" spans="21:23" ht="21.75" customHeight="1" x14ac:dyDescent="0.45">
      <c r="U558"/>
      <c r="V558"/>
      <c r="W558"/>
    </row>
    <row r="559" spans="21:23" ht="21.75" customHeight="1" x14ac:dyDescent="0.45">
      <c r="U559"/>
      <c r="V559"/>
      <c r="W559"/>
    </row>
    <row r="560" spans="21:23" ht="21.75" customHeight="1" x14ac:dyDescent="0.45">
      <c r="U560"/>
      <c r="V560"/>
      <c r="W560"/>
    </row>
    <row r="561" spans="21:23" ht="21.75" customHeight="1" x14ac:dyDescent="0.45">
      <c r="U561"/>
      <c r="V561"/>
      <c r="W561"/>
    </row>
    <row r="562" spans="21:23" ht="21.75" customHeight="1" x14ac:dyDescent="0.45">
      <c r="U562"/>
      <c r="V562"/>
      <c r="W562"/>
    </row>
    <row r="563" spans="21:23" ht="21.75" customHeight="1" x14ac:dyDescent="0.45">
      <c r="U563"/>
      <c r="V563"/>
      <c r="W563"/>
    </row>
    <row r="564" spans="21:23" ht="21.75" customHeight="1" x14ac:dyDescent="0.45">
      <c r="U564"/>
      <c r="V564"/>
      <c r="W564"/>
    </row>
    <row r="565" spans="21:23" ht="21.75" customHeight="1" x14ac:dyDescent="0.45">
      <c r="U565"/>
      <c r="V565"/>
      <c r="W565"/>
    </row>
    <row r="566" spans="21:23" ht="21.75" customHeight="1" x14ac:dyDescent="0.45">
      <c r="U566"/>
      <c r="V566"/>
      <c r="W566"/>
    </row>
    <row r="567" spans="21:23" ht="21.75" customHeight="1" x14ac:dyDescent="0.45">
      <c r="U567"/>
      <c r="V567"/>
      <c r="W567"/>
    </row>
    <row r="568" spans="21:23" ht="21.75" customHeight="1" x14ac:dyDescent="0.45">
      <c r="U568"/>
      <c r="V568"/>
      <c r="W568"/>
    </row>
    <row r="569" spans="21:23" ht="21.75" customHeight="1" x14ac:dyDescent="0.45">
      <c r="U569"/>
      <c r="V569"/>
      <c r="W569"/>
    </row>
    <row r="570" spans="21:23" ht="21.75" customHeight="1" x14ac:dyDescent="0.45">
      <c r="U570"/>
      <c r="V570"/>
      <c r="W570"/>
    </row>
    <row r="571" spans="21:23" ht="21.75" customHeight="1" x14ac:dyDescent="0.45">
      <c r="U571"/>
      <c r="V571"/>
      <c r="W571"/>
    </row>
    <row r="572" spans="21:23" ht="21.75" customHeight="1" x14ac:dyDescent="0.45">
      <c r="U572"/>
      <c r="V572"/>
      <c r="W572"/>
    </row>
    <row r="573" spans="21:23" ht="21.75" customHeight="1" x14ac:dyDescent="0.45">
      <c r="U573"/>
      <c r="V573"/>
      <c r="W573"/>
    </row>
    <row r="574" spans="21:23" ht="21.75" customHeight="1" x14ac:dyDescent="0.45">
      <c r="U574"/>
      <c r="V574"/>
      <c r="W574"/>
    </row>
    <row r="575" spans="21:23" ht="21.75" customHeight="1" x14ac:dyDescent="0.45">
      <c r="U575"/>
      <c r="V575"/>
      <c r="W575"/>
    </row>
    <row r="576" spans="21:23" ht="21.75" customHeight="1" x14ac:dyDescent="0.45">
      <c r="U576"/>
      <c r="V576"/>
      <c r="W576"/>
    </row>
    <row r="577" spans="21:23" ht="21.75" customHeight="1" x14ac:dyDescent="0.45">
      <c r="U577"/>
      <c r="V577"/>
      <c r="W577"/>
    </row>
    <row r="578" spans="21:23" ht="21.75" customHeight="1" x14ac:dyDescent="0.45">
      <c r="U578"/>
      <c r="V578"/>
      <c r="W578"/>
    </row>
    <row r="579" spans="21:23" ht="21.75" customHeight="1" x14ac:dyDescent="0.45">
      <c r="U579"/>
      <c r="V579"/>
      <c r="W579"/>
    </row>
    <row r="580" spans="21:23" ht="21.75" customHeight="1" x14ac:dyDescent="0.45">
      <c r="U580"/>
      <c r="V580"/>
      <c r="W580"/>
    </row>
    <row r="581" spans="21:23" ht="21.75" customHeight="1" x14ac:dyDescent="0.45">
      <c r="U581"/>
      <c r="V581"/>
      <c r="W581"/>
    </row>
    <row r="582" spans="21:23" ht="21.75" customHeight="1" x14ac:dyDescent="0.45">
      <c r="U582"/>
      <c r="V582"/>
      <c r="W582"/>
    </row>
    <row r="583" spans="21:23" ht="21.75" customHeight="1" x14ac:dyDescent="0.45">
      <c r="U583"/>
      <c r="V583"/>
      <c r="W583"/>
    </row>
    <row r="584" spans="21:23" ht="21.75" customHeight="1" x14ac:dyDescent="0.45">
      <c r="U584"/>
      <c r="V584"/>
      <c r="W584"/>
    </row>
    <row r="585" spans="21:23" ht="21.75" customHeight="1" x14ac:dyDescent="0.45">
      <c r="U585"/>
      <c r="V585"/>
      <c r="W585"/>
    </row>
    <row r="586" spans="21:23" ht="21.75" customHeight="1" x14ac:dyDescent="0.45">
      <c r="U586"/>
      <c r="V586"/>
      <c r="W586"/>
    </row>
    <row r="587" spans="21:23" ht="21.75" customHeight="1" x14ac:dyDescent="0.45">
      <c r="U587"/>
      <c r="V587"/>
      <c r="W587"/>
    </row>
    <row r="588" spans="21:23" ht="21.75" customHeight="1" x14ac:dyDescent="0.45">
      <c r="U588"/>
      <c r="V588"/>
      <c r="W588"/>
    </row>
    <row r="589" spans="21:23" ht="21.75" customHeight="1" x14ac:dyDescent="0.45">
      <c r="U589"/>
      <c r="V589"/>
      <c r="W589"/>
    </row>
    <row r="590" spans="21:23" ht="21.75" customHeight="1" x14ac:dyDescent="0.45">
      <c r="U590"/>
      <c r="V590"/>
      <c r="W590"/>
    </row>
    <row r="591" spans="21:23" ht="21.75" customHeight="1" x14ac:dyDescent="0.45">
      <c r="U591"/>
      <c r="V591"/>
      <c r="W591"/>
    </row>
    <row r="592" spans="21:23" ht="21.75" customHeight="1" x14ac:dyDescent="0.45">
      <c r="U592"/>
      <c r="V592"/>
      <c r="W592"/>
    </row>
    <row r="593" spans="21:23" ht="21.75" customHeight="1" x14ac:dyDescent="0.45">
      <c r="U593"/>
      <c r="V593"/>
      <c r="W593"/>
    </row>
    <row r="594" spans="21:23" ht="21.75" customHeight="1" x14ac:dyDescent="0.45">
      <c r="U594"/>
      <c r="V594"/>
      <c r="W594"/>
    </row>
    <row r="595" spans="21:23" ht="21.75" customHeight="1" x14ac:dyDescent="0.45">
      <c r="U595"/>
      <c r="V595"/>
      <c r="W595"/>
    </row>
    <row r="596" spans="21:23" ht="21.75" customHeight="1" x14ac:dyDescent="0.45">
      <c r="U596"/>
      <c r="V596"/>
      <c r="W596"/>
    </row>
    <row r="597" spans="21:23" ht="21.75" customHeight="1" x14ac:dyDescent="0.45">
      <c r="U597"/>
      <c r="V597"/>
      <c r="W597"/>
    </row>
    <row r="598" spans="21:23" ht="21.75" customHeight="1" x14ac:dyDescent="0.45">
      <c r="U598"/>
      <c r="V598"/>
      <c r="W598"/>
    </row>
    <row r="599" spans="21:23" ht="21.75" customHeight="1" x14ac:dyDescent="0.45">
      <c r="U599"/>
      <c r="V599"/>
      <c r="W599"/>
    </row>
    <row r="600" spans="21:23" ht="21.75" customHeight="1" x14ac:dyDescent="0.45">
      <c r="U600"/>
      <c r="V600"/>
      <c r="W600"/>
    </row>
    <row r="601" spans="21:23" ht="21.75" customHeight="1" x14ac:dyDescent="0.45">
      <c r="U601"/>
      <c r="V601"/>
      <c r="W601"/>
    </row>
    <row r="602" spans="21:23" ht="21.75" customHeight="1" x14ac:dyDescent="0.45">
      <c r="U602"/>
      <c r="V602"/>
      <c r="W602"/>
    </row>
    <row r="603" spans="21:23" ht="21.75" customHeight="1" x14ac:dyDescent="0.45">
      <c r="U603"/>
      <c r="V603"/>
      <c r="W603"/>
    </row>
    <row r="604" spans="21:23" ht="21.75" customHeight="1" x14ac:dyDescent="0.45">
      <c r="U604"/>
      <c r="V604"/>
      <c r="W604"/>
    </row>
    <row r="605" spans="21:23" ht="21.75" customHeight="1" x14ac:dyDescent="0.45">
      <c r="U605"/>
      <c r="V605"/>
      <c r="W605"/>
    </row>
    <row r="606" spans="21:23" ht="21.75" customHeight="1" x14ac:dyDescent="0.45">
      <c r="U606"/>
      <c r="V606"/>
      <c r="W606"/>
    </row>
    <row r="607" spans="21:23" ht="21.75" customHeight="1" x14ac:dyDescent="0.45">
      <c r="U607"/>
      <c r="V607"/>
      <c r="W607"/>
    </row>
    <row r="608" spans="21:23" ht="21.75" customHeight="1" x14ac:dyDescent="0.45">
      <c r="U608"/>
      <c r="V608"/>
      <c r="W608"/>
    </row>
    <row r="609" spans="21:23" ht="21.75" customHeight="1" x14ac:dyDescent="0.45">
      <c r="U609"/>
      <c r="V609"/>
      <c r="W609"/>
    </row>
    <row r="610" spans="21:23" ht="21.75" customHeight="1" x14ac:dyDescent="0.45">
      <c r="U610"/>
      <c r="V610"/>
      <c r="W610"/>
    </row>
    <row r="611" spans="21:23" ht="21.75" customHeight="1" x14ac:dyDescent="0.45">
      <c r="U611"/>
      <c r="V611"/>
      <c r="W611"/>
    </row>
    <row r="612" spans="21:23" ht="21.75" customHeight="1" x14ac:dyDescent="0.45">
      <c r="U612"/>
      <c r="V612"/>
      <c r="W612"/>
    </row>
    <row r="613" spans="21:23" ht="21.75" customHeight="1" x14ac:dyDescent="0.45">
      <c r="U613"/>
      <c r="V613"/>
      <c r="W613"/>
    </row>
    <row r="614" spans="21:23" ht="21.75" customHeight="1" x14ac:dyDescent="0.45">
      <c r="U614"/>
      <c r="V614"/>
      <c r="W614"/>
    </row>
    <row r="615" spans="21:23" ht="21.75" customHeight="1" x14ac:dyDescent="0.45">
      <c r="U615"/>
      <c r="V615"/>
      <c r="W615"/>
    </row>
    <row r="616" spans="21:23" ht="21.75" customHeight="1" x14ac:dyDescent="0.45">
      <c r="U616"/>
      <c r="V616"/>
      <c r="W616"/>
    </row>
    <row r="617" spans="21:23" ht="21.75" customHeight="1" x14ac:dyDescent="0.45">
      <c r="U617"/>
      <c r="V617"/>
      <c r="W617"/>
    </row>
    <row r="618" spans="21:23" ht="21.75" customHeight="1" x14ac:dyDescent="0.45">
      <c r="U618"/>
      <c r="V618"/>
      <c r="W618"/>
    </row>
    <row r="619" spans="21:23" ht="21.75" customHeight="1" x14ac:dyDescent="0.45">
      <c r="U619"/>
      <c r="V619"/>
      <c r="W619"/>
    </row>
    <row r="620" spans="21:23" ht="21.75" customHeight="1" x14ac:dyDescent="0.45">
      <c r="U620"/>
      <c r="V620"/>
      <c r="W620"/>
    </row>
    <row r="621" spans="21:23" ht="21.75" customHeight="1" x14ac:dyDescent="0.45">
      <c r="U621"/>
      <c r="V621"/>
      <c r="W621"/>
    </row>
    <row r="622" spans="21:23" ht="21.75" customHeight="1" x14ac:dyDescent="0.45">
      <c r="U622"/>
      <c r="V622"/>
      <c r="W622"/>
    </row>
    <row r="623" spans="21:23" ht="21.75" customHeight="1" x14ac:dyDescent="0.45">
      <c r="U623"/>
      <c r="V623"/>
      <c r="W623"/>
    </row>
    <row r="624" spans="21:23" ht="21.75" customHeight="1" x14ac:dyDescent="0.45">
      <c r="U624"/>
      <c r="V624"/>
      <c r="W624"/>
    </row>
    <row r="625" spans="21:23" ht="21.75" customHeight="1" x14ac:dyDescent="0.45">
      <c r="U625"/>
      <c r="V625"/>
      <c r="W625"/>
    </row>
    <row r="626" spans="21:23" ht="21.75" customHeight="1" x14ac:dyDescent="0.45">
      <c r="U626"/>
      <c r="V626"/>
      <c r="W626"/>
    </row>
    <row r="627" spans="21:23" ht="21.75" customHeight="1" x14ac:dyDescent="0.45">
      <c r="U627"/>
      <c r="V627"/>
      <c r="W627"/>
    </row>
    <row r="628" spans="21:23" ht="21.75" customHeight="1" x14ac:dyDescent="0.45">
      <c r="U628"/>
      <c r="V628"/>
      <c r="W628"/>
    </row>
    <row r="629" spans="21:23" ht="21.75" customHeight="1" x14ac:dyDescent="0.45">
      <c r="U629"/>
      <c r="V629"/>
      <c r="W629"/>
    </row>
    <row r="630" spans="21:23" ht="21.75" customHeight="1" x14ac:dyDescent="0.45">
      <c r="U630"/>
      <c r="V630"/>
      <c r="W630"/>
    </row>
    <row r="631" spans="21:23" ht="21.75" customHeight="1" x14ac:dyDescent="0.45">
      <c r="U631"/>
      <c r="V631"/>
      <c r="W631"/>
    </row>
    <row r="632" spans="21:23" ht="21.75" customHeight="1" x14ac:dyDescent="0.45">
      <c r="U632"/>
      <c r="V632"/>
      <c r="W632"/>
    </row>
    <row r="633" spans="21:23" ht="21.75" customHeight="1" x14ac:dyDescent="0.45">
      <c r="U633"/>
      <c r="V633"/>
      <c r="W633"/>
    </row>
    <row r="634" spans="21:23" ht="21.75" customHeight="1" x14ac:dyDescent="0.45">
      <c r="U634"/>
      <c r="V634"/>
      <c r="W634"/>
    </row>
    <row r="635" spans="21:23" ht="21.75" customHeight="1" x14ac:dyDescent="0.45">
      <c r="U635"/>
      <c r="V635"/>
      <c r="W635"/>
    </row>
    <row r="636" spans="21:23" ht="21.75" customHeight="1" x14ac:dyDescent="0.45">
      <c r="U636"/>
      <c r="V636"/>
      <c r="W636"/>
    </row>
    <row r="637" spans="21:23" ht="21.75" customHeight="1" x14ac:dyDescent="0.45">
      <c r="U637"/>
      <c r="V637"/>
      <c r="W637"/>
    </row>
    <row r="638" spans="21:23" ht="21.75" customHeight="1" x14ac:dyDescent="0.45">
      <c r="U638"/>
      <c r="V638"/>
      <c r="W638"/>
    </row>
    <row r="639" spans="21:23" ht="21.75" customHeight="1" x14ac:dyDescent="0.45">
      <c r="U639"/>
      <c r="V639"/>
      <c r="W639"/>
    </row>
    <row r="640" spans="21:23" ht="21.75" customHeight="1" x14ac:dyDescent="0.45">
      <c r="U640"/>
      <c r="V640"/>
      <c r="W640"/>
    </row>
    <row r="641" spans="21:23" ht="21.75" customHeight="1" x14ac:dyDescent="0.45">
      <c r="U641"/>
      <c r="V641"/>
      <c r="W641"/>
    </row>
    <row r="642" spans="21:23" ht="21.75" customHeight="1" x14ac:dyDescent="0.45">
      <c r="U642"/>
      <c r="V642"/>
      <c r="W642"/>
    </row>
    <row r="643" spans="21:23" ht="21.75" customHeight="1" x14ac:dyDescent="0.45">
      <c r="U643"/>
      <c r="V643"/>
      <c r="W643"/>
    </row>
    <row r="644" spans="21:23" ht="21.75" customHeight="1" x14ac:dyDescent="0.45">
      <c r="U644"/>
      <c r="V644"/>
      <c r="W644"/>
    </row>
    <row r="645" spans="21:23" ht="21.75" customHeight="1" x14ac:dyDescent="0.45">
      <c r="U645"/>
      <c r="V645"/>
      <c r="W645"/>
    </row>
    <row r="646" spans="21:23" ht="21.75" customHeight="1" x14ac:dyDescent="0.45">
      <c r="U646"/>
      <c r="V646"/>
      <c r="W646"/>
    </row>
    <row r="647" spans="21:23" ht="21.75" customHeight="1" x14ac:dyDescent="0.45">
      <c r="U647"/>
      <c r="V647"/>
      <c r="W647"/>
    </row>
    <row r="648" spans="21:23" ht="21.75" customHeight="1" x14ac:dyDescent="0.45">
      <c r="U648"/>
      <c r="V648"/>
      <c r="W648"/>
    </row>
    <row r="649" spans="21:23" ht="21.75" customHeight="1" x14ac:dyDescent="0.45">
      <c r="U649"/>
      <c r="V649"/>
      <c r="W649"/>
    </row>
    <row r="650" spans="21:23" ht="21.75" customHeight="1" x14ac:dyDescent="0.45">
      <c r="U650"/>
      <c r="V650"/>
      <c r="W650"/>
    </row>
    <row r="651" spans="21:23" ht="21.75" customHeight="1" x14ac:dyDescent="0.45">
      <c r="U651"/>
      <c r="V651"/>
      <c r="W651"/>
    </row>
    <row r="652" spans="21:23" ht="21.75" customHeight="1" x14ac:dyDescent="0.45">
      <c r="U652"/>
      <c r="V652"/>
      <c r="W652"/>
    </row>
    <row r="653" spans="21:23" ht="21.75" customHeight="1" x14ac:dyDescent="0.45">
      <c r="U653"/>
      <c r="V653"/>
      <c r="W653"/>
    </row>
    <row r="654" spans="21:23" ht="21.75" customHeight="1" x14ac:dyDescent="0.45">
      <c r="U654"/>
      <c r="V654"/>
      <c r="W654"/>
    </row>
    <row r="655" spans="21:23" ht="21.75" customHeight="1" x14ac:dyDescent="0.45">
      <c r="U655"/>
      <c r="V655"/>
      <c r="W655"/>
    </row>
    <row r="656" spans="21:23" ht="21.75" customHeight="1" x14ac:dyDescent="0.45">
      <c r="U656"/>
      <c r="V656"/>
      <c r="W656"/>
    </row>
    <row r="657" spans="21:23" ht="21.75" customHeight="1" x14ac:dyDescent="0.45">
      <c r="U657"/>
      <c r="V657"/>
      <c r="W657"/>
    </row>
    <row r="658" spans="21:23" ht="21.75" customHeight="1" x14ac:dyDescent="0.45">
      <c r="U658"/>
      <c r="V658"/>
      <c r="W658"/>
    </row>
    <row r="659" spans="21:23" ht="21.75" customHeight="1" x14ac:dyDescent="0.45">
      <c r="U659"/>
      <c r="V659"/>
      <c r="W659"/>
    </row>
    <row r="660" spans="21:23" ht="21.75" customHeight="1" x14ac:dyDescent="0.45">
      <c r="U660"/>
      <c r="V660"/>
      <c r="W660"/>
    </row>
    <row r="661" spans="21:23" ht="21.75" customHeight="1" x14ac:dyDescent="0.45">
      <c r="U661"/>
      <c r="V661"/>
      <c r="W661"/>
    </row>
    <row r="662" spans="21:23" ht="21.75" customHeight="1" x14ac:dyDescent="0.45">
      <c r="U662"/>
      <c r="V662"/>
      <c r="W662"/>
    </row>
    <row r="663" spans="21:23" ht="21.75" customHeight="1" x14ac:dyDescent="0.45">
      <c r="U663"/>
      <c r="V663"/>
      <c r="W663"/>
    </row>
    <row r="664" spans="21:23" ht="21.75" customHeight="1" x14ac:dyDescent="0.45">
      <c r="U664"/>
      <c r="V664"/>
      <c r="W664"/>
    </row>
    <row r="665" spans="21:23" ht="21.75" customHeight="1" x14ac:dyDescent="0.45">
      <c r="U665"/>
      <c r="V665"/>
      <c r="W665"/>
    </row>
    <row r="666" spans="21:23" ht="21.75" customHeight="1" x14ac:dyDescent="0.45">
      <c r="U666"/>
      <c r="V666"/>
      <c r="W666"/>
    </row>
    <row r="667" spans="21:23" ht="21.75" customHeight="1" x14ac:dyDescent="0.45">
      <c r="U667"/>
      <c r="V667"/>
      <c r="W667"/>
    </row>
    <row r="668" spans="21:23" ht="21.75" customHeight="1" x14ac:dyDescent="0.45">
      <c r="U668"/>
      <c r="V668"/>
      <c r="W668"/>
    </row>
    <row r="669" spans="21:23" ht="21.75" customHeight="1" x14ac:dyDescent="0.45">
      <c r="U669"/>
      <c r="V669"/>
      <c r="W669"/>
    </row>
    <row r="670" spans="21:23" ht="21.75" customHeight="1" x14ac:dyDescent="0.45">
      <c r="U670"/>
      <c r="V670"/>
      <c r="W670"/>
    </row>
    <row r="671" spans="21:23" ht="21.75" customHeight="1" x14ac:dyDescent="0.45">
      <c r="U671"/>
      <c r="V671"/>
      <c r="W671"/>
    </row>
    <row r="672" spans="21:23" ht="21.75" customHeight="1" x14ac:dyDescent="0.45">
      <c r="U672"/>
      <c r="V672"/>
      <c r="W672"/>
    </row>
    <row r="673" spans="21:23" ht="21.75" customHeight="1" x14ac:dyDescent="0.45">
      <c r="U673"/>
      <c r="V673"/>
      <c r="W673"/>
    </row>
    <row r="674" spans="21:23" ht="21.75" customHeight="1" x14ac:dyDescent="0.45">
      <c r="U674"/>
      <c r="V674"/>
      <c r="W674"/>
    </row>
    <row r="675" spans="21:23" ht="21.75" customHeight="1" x14ac:dyDescent="0.45">
      <c r="U675"/>
      <c r="V675"/>
      <c r="W675"/>
    </row>
    <row r="676" spans="21:23" ht="21.75" customHeight="1" x14ac:dyDescent="0.45">
      <c r="U676"/>
      <c r="V676"/>
      <c r="W676"/>
    </row>
    <row r="677" spans="21:23" ht="21.75" customHeight="1" x14ac:dyDescent="0.45">
      <c r="U677"/>
      <c r="V677"/>
      <c r="W677"/>
    </row>
    <row r="678" spans="21:23" ht="21.75" customHeight="1" x14ac:dyDescent="0.45">
      <c r="U678"/>
      <c r="V678"/>
      <c r="W678"/>
    </row>
    <row r="679" spans="21:23" ht="21.75" customHeight="1" x14ac:dyDescent="0.45">
      <c r="U679"/>
      <c r="V679"/>
      <c r="W679"/>
    </row>
    <row r="680" spans="21:23" ht="21.75" customHeight="1" x14ac:dyDescent="0.45">
      <c r="U680"/>
      <c r="V680"/>
      <c r="W680"/>
    </row>
    <row r="681" spans="21:23" ht="21.75" customHeight="1" x14ac:dyDescent="0.45">
      <c r="U681"/>
      <c r="V681"/>
      <c r="W681"/>
    </row>
    <row r="682" spans="21:23" ht="21.75" customHeight="1" x14ac:dyDescent="0.45">
      <c r="U682"/>
      <c r="V682"/>
      <c r="W682"/>
    </row>
    <row r="683" spans="21:23" ht="21.75" customHeight="1" x14ac:dyDescent="0.45">
      <c r="U683"/>
      <c r="V683"/>
      <c r="W683"/>
    </row>
    <row r="684" spans="21:23" ht="21.75" customHeight="1" x14ac:dyDescent="0.45">
      <c r="U684"/>
      <c r="V684"/>
      <c r="W684"/>
    </row>
    <row r="685" spans="21:23" ht="21.75" customHeight="1" x14ac:dyDescent="0.45">
      <c r="U685"/>
      <c r="V685"/>
      <c r="W685"/>
    </row>
    <row r="686" spans="21:23" ht="21.75" customHeight="1" x14ac:dyDescent="0.45">
      <c r="U686"/>
      <c r="V686"/>
      <c r="W686"/>
    </row>
    <row r="687" spans="21:23" ht="21.75" customHeight="1" x14ac:dyDescent="0.45">
      <c r="U687"/>
      <c r="V687"/>
      <c r="W687"/>
    </row>
    <row r="688" spans="21:23" ht="21.75" customHeight="1" x14ac:dyDescent="0.45">
      <c r="U688"/>
      <c r="V688"/>
      <c r="W688"/>
    </row>
    <row r="689" spans="21:23" ht="21.75" customHeight="1" x14ac:dyDescent="0.45">
      <c r="U689"/>
      <c r="V689"/>
      <c r="W689"/>
    </row>
    <row r="690" spans="21:23" ht="21.75" customHeight="1" x14ac:dyDescent="0.45">
      <c r="U690"/>
      <c r="V690"/>
      <c r="W690"/>
    </row>
    <row r="691" spans="21:23" ht="21.75" customHeight="1" x14ac:dyDescent="0.45">
      <c r="U691"/>
      <c r="V691"/>
      <c r="W691"/>
    </row>
    <row r="692" spans="21:23" ht="21.75" customHeight="1" x14ac:dyDescent="0.45">
      <c r="U692"/>
      <c r="V692"/>
      <c r="W692"/>
    </row>
    <row r="693" spans="21:23" ht="21.75" customHeight="1" x14ac:dyDescent="0.45">
      <c r="U693"/>
      <c r="V693"/>
      <c r="W693"/>
    </row>
    <row r="694" spans="21:23" ht="21.75" customHeight="1" x14ac:dyDescent="0.45">
      <c r="U694"/>
      <c r="V694"/>
      <c r="W694"/>
    </row>
    <row r="695" spans="21:23" ht="21.75" customHeight="1" x14ac:dyDescent="0.45">
      <c r="U695"/>
      <c r="V695"/>
      <c r="W695"/>
    </row>
    <row r="696" spans="21:23" ht="21.75" customHeight="1" x14ac:dyDescent="0.45">
      <c r="U696"/>
      <c r="V696"/>
      <c r="W696"/>
    </row>
    <row r="697" spans="21:23" ht="21.75" customHeight="1" x14ac:dyDescent="0.45">
      <c r="U697"/>
      <c r="V697"/>
      <c r="W697"/>
    </row>
    <row r="698" spans="21:23" ht="21.75" customHeight="1" x14ac:dyDescent="0.45">
      <c r="U698"/>
      <c r="V698"/>
      <c r="W698"/>
    </row>
    <row r="699" spans="21:23" ht="21.75" customHeight="1" x14ac:dyDescent="0.45">
      <c r="U699"/>
      <c r="V699"/>
      <c r="W699"/>
    </row>
    <row r="700" spans="21:23" ht="21.75" customHeight="1" x14ac:dyDescent="0.45">
      <c r="U700"/>
      <c r="V700"/>
      <c r="W700"/>
    </row>
    <row r="701" spans="21:23" ht="21.75" customHeight="1" x14ac:dyDescent="0.45">
      <c r="U701"/>
      <c r="V701"/>
      <c r="W701"/>
    </row>
    <row r="702" spans="21:23" ht="21.75" customHeight="1" x14ac:dyDescent="0.45">
      <c r="U702"/>
      <c r="V702"/>
      <c r="W702"/>
    </row>
    <row r="703" spans="21:23" ht="21.75" customHeight="1" x14ac:dyDescent="0.45">
      <c r="U703"/>
      <c r="V703"/>
      <c r="W703"/>
    </row>
    <row r="704" spans="21:23" ht="21.75" customHeight="1" x14ac:dyDescent="0.45">
      <c r="U704"/>
      <c r="V704"/>
      <c r="W704"/>
    </row>
    <row r="705" spans="21:23" ht="21.75" customHeight="1" x14ac:dyDescent="0.45">
      <c r="U705"/>
      <c r="V705"/>
      <c r="W705"/>
    </row>
    <row r="706" spans="21:23" ht="21.75" customHeight="1" x14ac:dyDescent="0.45">
      <c r="U706"/>
      <c r="V706"/>
      <c r="W706"/>
    </row>
    <row r="707" spans="21:23" ht="21.75" customHeight="1" x14ac:dyDescent="0.45">
      <c r="U707"/>
      <c r="V707"/>
      <c r="W707"/>
    </row>
    <row r="708" spans="21:23" ht="21.75" customHeight="1" x14ac:dyDescent="0.45">
      <c r="U708"/>
      <c r="V708"/>
      <c r="W708"/>
    </row>
    <row r="709" spans="21:23" ht="21.75" customHeight="1" x14ac:dyDescent="0.45">
      <c r="U709"/>
      <c r="V709"/>
      <c r="W709"/>
    </row>
    <row r="710" spans="21:23" ht="21.75" customHeight="1" x14ac:dyDescent="0.45">
      <c r="U710"/>
      <c r="V710"/>
      <c r="W710"/>
    </row>
    <row r="711" spans="21:23" ht="21.75" customHeight="1" x14ac:dyDescent="0.45">
      <c r="U711"/>
      <c r="V711"/>
      <c r="W711"/>
    </row>
    <row r="712" spans="21:23" ht="21.75" customHeight="1" x14ac:dyDescent="0.45">
      <c r="U712"/>
      <c r="V712"/>
      <c r="W712"/>
    </row>
    <row r="713" spans="21:23" ht="21.75" customHeight="1" x14ac:dyDescent="0.45">
      <c r="U713"/>
      <c r="V713"/>
      <c r="W713"/>
    </row>
    <row r="714" spans="21:23" ht="21.75" customHeight="1" x14ac:dyDescent="0.45">
      <c r="U714"/>
      <c r="V714"/>
      <c r="W714"/>
    </row>
    <row r="715" spans="21:23" ht="21.75" customHeight="1" x14ac:dyDescent="0.45">
      <c r="U715"/>
      <c r="V715"/>
      <c r="W715"/>
    </row>
    <row r="716" spans="21:23" ht="21.75" customHeight="1" x14ac:dyDescent="0.45">
      <c r="U716"/>
      <c r="V716"/>
      <c r="W716"/>
    </row>
    <row r="717" spans="21:23" ht="21.75" customHeight="1" x14ac:dyDescent="0.45">
      <c r="U717"/>
      <c r="V717"/>
      <c r="W717"/>
    </row>
    <row r="718" spans="21:23" ht="21.75" customHeight="1" x14ac:dyDescent="0.45">
      <c r="U718"/>
      <c r="V718"/>
      <c r="W718"/>
    </row>
    <row r="719" spans="21:23" ht="21.75" customHeight="1" x14ac:dyDescent="0.45">
      <c r="U719"/>
      <c r="V719"/>
      <c r="W719"/>
    </row>
    <row r="720" spans="21:23" ht="21.75" customHeight="1" x14ac:dyDescent="0.45">
      <c r="U720"/>
      <c r="V720"/>
      <c r="W720"/>
    </row>
    <row r="721" spans="21:23" ht="21.75" customHeight="1" x14ac:dyDescent="0.45">
      <c r="U721"/>
      <c r="V721"/>
      <c r="W721"/>
    </row>
    <row r="722" spans="21:23" ht="21.75" customHeight="1" x14ac:dyDescent="0.45">
      <c r="U722"/>
      <c r="V722"/>
      <c r="W722"/>
    </row>
    <row r="723" spans="21:23" ht="21.75" customHeight="1" x14ac:dyDescent="0.45">
      <c r="U723"/>
      <c r="V723"/>
      <c r="W723"/>
    </row>
    <row r="724" spans="21:23" ht="21.75" customHeight="1" x14ac:dyDescent="0.45">
      <c r="U724"/>
      <c r="V724"/>
      <c r="W724"/>
    </row>
    <row r="725" spans="21:23" ht="21.75" customHeight="1" x14ac:dyDescent="0.45">
      <c r="U725"/>
      <c r="V725"/>
      <c r="W725"/>
    </row>
    <row r="726" spans="21:23" ht="21.75" customHeight="1" x14ac:dyDescent="0.45">
      <c r="U726"/>
      <c r="V726"/>
      <c r="W726"/>
    </row>
    <row r="727" spans="21:23" ht="21.75" customHeight="1" x14ac:dyDescent="0.45">
      <c r="U727"/>
      <c r="V727"/>
      <c r="W727"/>
    </row>
    <row r="728" spans="21:23" ht="21.75" customHeight="1" x14ac:dyDescent="0.45">
      <c r="U728"/>
      <c r="V728"/>
      <c r="W728"/>
    </row>
    <row r="729" spans="21:23" ht="21.75" customHeight="1" x14ac:dyDescent="0.45">
      <c r="U729"/>
      <c r="V729"/>
      <c r="W729"/>
    </row>
    <row r="730" spans="21:23" ht="21.75" customHeight="1" x14ac:dyDescent="0.45">
      <c r="U730"/>
      <c r="V730"/>
      <c r="W730"/>
    </row>
    <row r="731" spans="21:23" ht="21.75" customHeight="1" x14ac:dyDescent="0.45">
      <c r="U731"/>
      <c r="V731"/>
      <c r="W731"/>
    </row>
    <row r="732" spans="21:23" ht="21.75" customHeight="1" x14ac:dyDescent="0.45">
      <c r="U732"/>
      <c r="V732"/>
      <c r="W732"/>
    </row>
    <row r="733" spans="21:23" ht="21.75" customHeight="1" x14ac:dyDescent="0.45">
      <c r="U733"/>
      <c r="V733"/>
      <c r="W733"/>
    </row>
    <row r="734" spans="21:23" ht="21.75" customHeight="1" x14ac:dyDescent="0.45">
      <c r="U734"/>
      <c r="V734"/>
      <c r="W734"/>
    </row>
    <row r="735" spans="21:23" ht="21.75" customHeight="1" x14ac:dyDescent="0.45">
      <c r="U735"/>
      <c r="V735"/>
      <c r="W735"/>
    </row>
    <row r="736" spans="21:23" ht="21.75" customHeight="1" x14ac:dyDescent="0.45">
      <c r="U736"/>
      <c r="V736"/>
      <c r="W736"/>
    </row>
    <row r="737" spans="21:23" ht="21.75" customHeight="1" x14ac:dyDescent="0.45">
      <c r="U737"/>
      <c r="V737"/>
      <c r="W737"/>
    </row>
    <row r="738" spans="21:23" ht="21.75" customHeight="1" x14ac:dyDescent="0.45">
      <c r="U738"/>
      <c r="V738"/>
      <c r="W738"/>
    </row>
    <row r="739" spans="21:23" ht="21.75" customHeight="1" x14ac:dyDescent="0.45">
      <c r="U739"/>
      <c r="V739"/>
      <c r="W739"/>
    </row>
    <row r="740" spans="21:23" ht="21.75" customHeight="1" x14ac:dyDescent="0.45">
      <c r="U740"/>
      <c r="V740"/>
      <c r="W740"/>
    </row>
    <row r="741" spans="21:23" ht="21.75" customHeight="1" x14ac:dyDescent="0.45">
      <c r="U741"/>
      <c r="V741"/>
      <c r="W741"/>
    </row>
    <row r="742" spans="21:23" ht="21.75" customHeight="1" x14ac:dyDescent="0.45">
      <c r="U742"/>
      <c r="V742"/>
      <c r="W742"/>
    </row>
    <row r="743" spans="21:23" ht="21.75" customHeight="1" x14ac:dyDescent="0.45">
      <c r="U743"/>
      <c r="V743"/>
      <c r="W743"/>
    </row>
    <row r="744" spans="21:23" ht="21.75" customHeight="1" x14ac:dyDescent="0.45">
      <c r="U744"/>
      <c r="V744"/>
      <c r="W744"/>
    </row>
    <row r="745" spans="21:23" ht="21.75" customHeight="1" x14ac:dyDescent="0.45">
      <c r="U745"/>
      <c r="V745"/>
      <c r="W745"/>
    </row>
    <row r="746" spans="21:23" ht="21.75" customHeight="1" x14ac:dyDescent="0.45">
      <c r="U746"/>
      <c r="V746"/>
      <c r="W746"/>
    </row>
    <row r="747" spans="21:23" ht="21.75" customHeight="1" x14ac:dyDescent="0.45">
      <c r="U747"/>
      <c r="V747"/>
      <c r="W747"/>
    </row>
    <row r="748" spans="21:23" ht="21.75" customHeight="1" x14ac:dyDescent="0.45">
      <c r="U748"/>
      <c r="V748"/>
      <c r="W748"/>
    </row>
    <row r="749" spans="21:23" ht="21.75" customHeight="1" x14ac:dyDescent="0.45">
      <c r="U749"/>
      <c r="V749"/>
      <c r="W749"/>
    </row>
    <row r="750" spans="21:23" ht="21.75" customHeight="1" x14ac:dyDescent="0.45">
      <c r="U750"/>
      <c r="V750"/>
      <c r="W750"/>
    </row>
    <row r="751" spans="21:23" ht="21.75" customHeight="1" x14ac:dyDescent="0.45">
      <c r="U751"/>
      <c r="V751"/>
      <c r="W751"/>
    </row>
    <row r="752" spans="21:23" ht="21.75" customHeight="1" x14ac:dyDescent="0.45">
      <c r="U752"/>
      <c r="V752"/>
      <c r="W752"/>
    </row>
    <row r="753" spans="21:23" ht="21.75" customHeight="1" x14ac:dyDescent="0.45">
      <c r="U753"/>
      <c r="V753"/>
      <c r="W753"/>
    </row>
    <row r="754" spans="21:23" ht="21.75" customHeight="1" x14ac:dyDescent="0.45">
      <c r="U754"/>
      <c r="V754"/>
      <c r="W754"/>
    </row>
    <row r="755" spans="21:23" ht="21.75" customHeight="1" x14ac:dyDescent="0.45">
      <c r="U755"/>
      <c r="V755"/>
      <c r="W755"/>
    </row>
    <row r="756" spans="21:23" ht="21.75" customHeight="1" x14ac:dyDescent="0.45">
      <c r="U756"/>
      <c r="V756"/>
      <c r="W756"/>
    </row>
    <row r="757" spans="21:23" ht="21.75" customHeight="1" x14ac:dyDescent="0.45">
      <c r="U757"/>
      <c r="V757"/>
      <c r="W757"/>
    </row>
    <row r="758" spans="21:23" ht="21.75" customHeight="1" x14ac:dyDescent="0.45">
      <c r="U758"/>
      <c r="V758"/>
      <c r="W758"/>
    </row>
    <row r="759" spans="21:23" ht="21.75" customHeight="1" x14ac:dyDescent="0.45">
      <c r="U759"/>
      <c r="V759"/>
      <c r="W759"/>
    </row>
    <row r="760" spans="21:23" ht="21.75" customHeight="1" x14ac:dyDescent="0.45">
      <c r="U760"/>
      <c r="V760"/>
      <c r="W760"/>
    </row>
    <row r="761" spans="21:23" ht="21.75" customHeight="1" x14ac:dyDescent="0.45">
      <c r="U761"/>
      <c r="V761"/>
      <c r="W761"/>
    </row>
    <row r="762" spans="21:23" ht="21.75" customHeight="1" x14ac:dyDescent="0.45">
      <c r="U762"/>
      <c r="V762"/>
      <c r="W762"/>
    </row>
    <row r="763" spans="21:23" ht="21.75" customHeight="1" x14ac:dyDescent="0.45">
      <c r="U763"/>
      <c r="V763"/>
      <c r="W763"/>
    </row>
    <row r="764" spans="21:23" ht="21.75" customHeight="1" x14ac:dyDescent="0.45">
      <c r="U764"/>
      <c r="V764"/>
      <c r="W764"/>
    </row>
    <row r="765" spans="21:23" ht="21.75" customHeight="1" x14ac:dyDescent="0.45">
      <c r="U765"/>
      <c r="V765"/>
      <c r="W765"/>
    </row>
    <row r="766" spans="21:23" ht="21.75" customHeight="1" x14ac:dyDescent="0.45">
      <c r="U766"/>
      <c r="V766"/>
      <c r="W766"/>
    </row>
    <row r="767" spans="21:23" ht="21.75" customHeight="1" x14ac:dyDescent="0.45">
      <c r="U767"/>
      <c r="V767"/>
      <c r="W767"/>
    </row>
    <row r="768" spans="21:23" ht="21.75" customHeight="1" x14ac:dyDescent="0.45">
      <c r="U768"/>
      <c r="V768"/>
      <c r="W768"/>
    </row>
    <row r="769" spans="21:23" ht="21.75" customHeight="1" x14ac:dyDescent="0.45">
      <c r="U769"/>
      <c r="V769"/>
      <c r="W769"/>
    </row>
    <row r="770" spans="21:23" ht="21.75" customHeight="1" x14ac:dyDescent="0.45">
      <c r="U770"/>
      <c r="V770"/>
      <c r="W770"/>
    </row>
    <row r="771" spans="21:23" ht="21.75" customHeight="1" x14ac:dyDescent="0.45">
      <c r="U771"/>
      <c r="V771"/>
      <c r="W771"/>
    </row>
    <row r="772" spans="21:23" ht="21.75" customHeight="1" x14ac:dyDescent="0.45">
      <c r="U772"/>
      <c r="V772"/>
      <c r="W772"/>
    </row>
    <row r="773" spans="21:23" ht="21.75" customHeight="1" x14ac:dyDescent="0.45">
      <c r="U773"/>
      <c r="V773"/>
      <c r="W773"/>
    </row>
    <row r="774" spans="21:23" ht="21.75" customHeight="1" x14ac:dyDescent="0.45">
      <c r="U774"/>
      <c r="V774"/>
      <c r="W774"/>
    </row>
    <row r="775" spans="21:23" ht="21.75" customHeight="1" x14ac:dyDescent="0.45">
      <c r="U775"/>
      <c r="V775"/>
      <c r="W775"/>
    </row>
    <row r="776" spans="21:23" ht="21.75" customHeight="1" x14ac:dyDescent="0.45">
      <c r="U776"/>
      <c r="V776"/>
      <c r="W776"/>
    </row>
    <row r="777" spans="21:23" ht="21.75" customHeight="1" x14ac:dyDescent="0.45">
      <c r="U777"/>
      <c r="V777"/>
      <c r="W777"/>
    </row>
    <row r="778" spans="21:23" ht="21.75" customHeight="1" x14ac:dyDescent="0.45">
      <c r="U778"/>
      <c r="V778"/>
      <c r="W778"/>
    </row>
    <row r="779" spans="21:23" ht="21.75" customHeight="1" x14ac:dyDescent="0.45">
      <c r="U779"/>
      <c r="V779"/>
      <c r="W779"/>
    </row>
    <row r="780" spans="21:23" ht="21.75" customHeight="1" x14ac:dyDescent="0.45">
      <c r="U780"/>
      <c r="V780"/>
      <c r="W780"/>
    </row>
    <row r="781" spans="21:23" ht="21.75" customHeight="1" x14ac:dyDescent="0.45">
      <c r="U781"/>
      <c r="V781"/>
      <c r="W781"/>
    </row>
    <row r="782" spans="21:23" ht="21.75" customHeight="1" x14ac:dyDescent="0.45">
      <c r="U782"/>
      <c r="V782"/>
      <c r="W782"/>
    </row>
    <row r="783" spans="21:23" ht="21.75" customHeight="1" x14ac:dyDescent="0.45">
      <c r="U783"/>
      <c r="V783"/>
      <c r="W783"/>
    </row>
    <row r="784" spans="21:23" ht="21.75" customHeight="1" x14ac:dyDescent="0.45">
      <c r="U784"/>
      <c r="V784"/>
      <c r="W784"/>
    </row>
    <row r="785" spans="21:23" ht="21.75" customHeight="1" x14ac:dyDescent="0.45">
      <c r="U785"/>
      <c r="V785"/>
      <c r="W785"/>
    </row>
    <row r="786" spans="21:23" ht="21.75" customHeight="1" x14ac:dyDescent="0.45">
      <c r="U786"/>
      <c r="V786"/>
      <c r="W786"/>
    </row>
    <row r="787" spans="21:23" ht="21.75" customHeight="1" x14ac:dyDescent="0.45">
      <c r="U787"/>
      <c r="V787"/>
      <c r="W787"/>
    </row>
    <row r="788" spans="21:23" ht="21.75" customHeight="1" x14ac:dyDescent="0.45">
      <c r="U788"/>
      <c r="V788"/>
      <c r="W788"/>
    </row>
    <row r="789" spans="21:23" ht="21.75" customHeight="1" x14ac:dyDescent="0.45">
      <c r="U789"/>
      <c r="V789"/>
      <c r="W789"/>
    </row>
    <row r="790" spans="21:23" ht="21.75" customHeight="1" x14ac:dyDescent="0.45">
      <c r="U790"/>
      <c r="V790"/>
      <c r="W790"/>
    </row>
    <row r="791" spans="21:23" ht="21.75" customHeight="1" x14ac:dyDescent="0.45">
      <c r="U791"/>
      <c r="V791"/>
      <c r="W791"/>
    </row>
    <row r="792" spans="21:23" ht="21.75" customHeight="1" x14ac:dyDescent="0.45">
      <c r="U792"/>
      <c r="V792"/>
      <c r="W792"/>
    </row>
    <row r="793" spans="21:23" ht="21.75" customHeight="1" x14ac:dyDescent="0.45">
      <c r="U793"/>
      <c r="V793"/>
      <c r="W793"/>
    </row>
    <row r="794" spans="21:23" ht="21.75" customHeight="1" x14ac:dyDescent="0.45">
      <c r="U794"/>
      <c r="V794"/>
      <c r="W794"/>
    </row>
    <row r="795" spans="21:23" ht="21.75" customHeight="1" x14ac:dyDescent="0.45">
      <c r="U795"/>
      <c r="V795"/>
      <c r="W795"/>
    </row>
    <row r="796" spans="21:23" ht="21.75" customHeight="1" x14ac:dyDescent="0.45">
      <c r="U796"/>
      <c r="V796"/>
      <c r="W796"/>
    </row>
    <row r="797" spans="21:23" ht="21.75" customHeight="1" x14ac:dyDescent="0.45">
      <c r="U797"/>
      <c r="V797"/>
      <c r="W797"/>
    </row>
    <row r="798" spans="21:23" ht="21.75" customHeight="1" x14ac:dyDescent="0.45">
      <c r="U798"/>
      <c r="V798"/>
      <c r="W798"/>
    </row>
    <row r="799" spans="21:23" ht="21.75" customHeight="1" x14ac:dyDescent="0.45">
      <c r="U799"/>
      <c r="V799"/>
      <c r="W799"/>
    </row>
    <row r="800" spans="21:23" ht="21.75" customHeight="1" x14ac:dyDescent="0.45">
      <c r="U800"/>
      <c r="V800"/>
      <c r="W800"/>
    </row>
    <row r="801" spans="21:23" ht="21.75" customHeight="1" x14ac:dyDescent="0.45">
      <c r="U801"/>
      <c r="V801"/>
      <c r="W801"/>
    </row>
    <row r="802" spans="21:23" ht="21.75" customHeight="1" x14ac:dyDescent="0.45">
      <c r="U802"/>
      <c r="V802"/>
      <c r="W802"/>
    </row>
    <row r="803" spans="21:23" ht="21.75" customHeight="1" x14ac:dyDescent="0.45">
      <c r="U803"/>
      <c r="V803"/>
      <c r="W803"/>
    </row>
    <row r="804" spans="21:23" ht="21.75" customHeight="1" x14ac:dyDescent="0.45">
      <c r="U804"/>
      <c r="V804"/>
      <c r="W804"/>
    </row>
    <row r="805" spans="21:23" ht="21.75" customHeight="1" x14ac:dyDescent="0.45">
      <c r="U805"/>
      <c r="V805"/>
      <c r="W805"/>
    </row>
    <row r="806" spans="21:23" ht="21.75" customHeight="1" x14ac:dyDescent="0.45">
      <c r="U806"/>
      <c r="V806"/>
      <c r="W806"/>
    </row>
    <row r="807" spans="21:23" ht="21.75" customHeight="1" x14ac:dyDescent="0.45">
      <c r="U807"/>
      <c r="V807"/>
      <c r="W807"/>
    </row>
    <row r="808" spans="21:23" ht="21.75" customHeight="1" x14ac:dyDescent="0.45">
      <c r="U808"/>
      <c r="V808"/>
      <c r="W808"/>
    </row>
    <row r="809" spans="21:23" ht="21.75" customHeight="1" x14ac:dyDescent="0.45">
      <c r="U809"/>
      <c r="V809"/>
      <c r="W809"/>
    </row>
    <row r="810" spans="21:23" ht="21.75" customHeight="1" x14ac:dyDescent="0.45">
      <c r="U810"/>
      <c r="V810"/>
      <c r="W810"/>
    </row>
    <row r="811" spans="21:23" ht="21.75" customHeight="1" x14ac:dyDescent="0.45">
      <c r="U811"/>
      <c r="V811"/>
      <c r="W811"/>
    </row>
    <row r="812" spans="21:23" ht="21.75" customHeight="1" x14ac:dyDescent="0.45">
      <c r="U812"/>
      <c r="V812"/>
      <c r="W812"/>
    </row>
    <row r="813" spans="21:23" ht="21.75" customHeight="1" x14ac:dyDescent="0.45">
      <c r="U813"/>
      <c r="V813"/>
      <c r="W813"/>
    </row>
    <row r="814" spans="21:23" ht="21.75" customHeight="1" x14ac:dyDescent="0.45">
      <c r="U814"/>
      <c r="V814"/>
      <c r="W814"/>
    </row>
    <row r="815" spans="21:23" ht="21.75" customHeight="1" x14ac:dyDescent="0.45">
      <c r="U815"/>
      <c r="V815"/>
      <c r="W815"/>
    </row>
    <row r="816" spans="21:23" ht="21.75" customHeight="1" x14ac:dyDescent="0.45">
      <c r="U816"/>
      <c r="V816"/>
      <c r="W816"/>
    </row>
    <row r="817" spans="21:23" ht="21.75" customHeight="1" x14ac:dyDescent="0.45">
      <c r="U817"/>
      <c r="V817"/>
      <c r="W817"/>
    </row>
    <row r="818" spans="21:23" ht="21.75" customHeight="1" x14ac:dyDescent="0.45">
      <c r="U818"/>
      <c r="V818"/>
      <c r="W818"/>
    </row>
    <row r="819" spans="21:23" ht="21.75" customHeight="1" x14ac:dyDescent="0.45">
      <c r="U819"/>
      <c r="V819"/>
      <c r="W819"/>
    </row>
    <row r="820" spans="21:23" ht="21.75" customHeight="1" x14ac:dyDescent="0.45">
      <c r="U820"/>
      <c r="V820"/>
      <c r="W820"/>
    </row>
    <row r="821" spans="21:23" ht="21.75" customHeight="1" x14ac:dyDescent="0.45">
      <c r="U821"/>
      <c r="V821"/>
      <c r="W821"/>
    </row>
    <row r="822" spans="21:23" ht="21.75" customHeight="1" x14ac:dyDescent="0.45">
      <c r="U822"/>
      <c r="V822"/>
      <c r="W822"/>
    </row>
    <row r="823" spans="21:23" ht="21.75" customHeight="1" x14ac:dyDescent="0.45">
      <c r="U823"/>
      <c r="V823"/>
      <c r="W823"/>
    </row>
    <row r="824" spans="21:23" ht="21.75" customHeight="1" x14ac:dyDescent="0.45">
      <c r="U824"/>
      <c r="V824"/>
      <c r="W824"/>
    </row>
    <row r="825" spans="21:23" ht="21.75" customHeight="1" x14ac:dyDescent="0.45">
      <c r="U825"/>
      <c r="V825"/>
      <c r="W825"/>
    </row>
    <row r="826" spans="21:23" ht="21.75" customHeight="1" x14ac:dyDescent="0.45">
      <c r="U826"/>
      <c r="V826"/>
      <c r="W826"/>
    </row>
    <row r="827" spans="21:23" ht="21.75" customHeight="1" x14ac:dyDescent="0.45">
      <c r="U827"/>
      <c r="V827"/>
      <c r="W827"/>
    </row>
    <row r="828" spans="21:23" ht="21.75" customHeight="1" x14ac:dyDescent="0.45">
      <c r="U828"/>
      <c r="V828"/>
      <c r="W828"/>
    </row>
    <row r="829" spans="21:23" ht="21.75" customHeight="1" x14ac:dyDescent="0.45">
      <c r="U829"/>
      <c r="V829"/>
      <c r="W829"/>
    </row>
    <row r="830" spans="21:23" ht="21.75" customHeight="1" x14ac:dyDescent="0.45">
      <c r="U830"/>
      <c r="V830"/>
      <c r="W830"/>
    </row>
    <row r="831" spans="21:23" ht="21.75" customHeight="1" x14ac:dyDescent="0.45">
      <c r="U831"/>
      <c r="V831"/>
      <c r="W831"/>
    </row>
    <row r="832" spans="21:23" ht="21.75" customHeight="1" x14ac:dyDescent="0.45">
      <c r="U832"/>
      <c r="V832"/>
      <c r="W832"/>
    </row>
    <row r="833" spans="21:23" ht="21.75" customHeight="1" x14ac:dyDescent="0.45">
      <c r="U833"/>
      <c r="V833"/>
      <c r="W833"/>
    </row>
    <row r="834" spans="21:23" ht="21.75" customHeight="1" x14ac:dyDescent="0.45">
      <c r="U834"/>
      <c r="V834"/>
      <c r="W834"/>
    </row>
    <row r="835" spans="21:23" ht="21.75" customHeight="1" x14ac:dyDescent="0.45">
      <c r="U835"/>
      <c r="V835"/>
      <c r="W835"/>
    </row>
    <row r="836" spans="21:23" ht="21.75" customHeight="1" x14ac:dyDescent="0.45">
      <c r="U836"/>
      <c r="V836"/>
      <c r="W836"/>
    </row>
    <row r="837" spans="21:23" ht="21.75" customHeight="1" x14ac:dyDescent="0.45">
      <c r="U837"/>
      <c r="V837"/>
      <c r="W837"/>
    </row>
    <row r="838" spans="21:23" ht="21.75" customHeight="1" x14ac:dyDescent="0.45">
      <c r="U838"/>
      <c r="V838"/>
      <c r="W838"/>
    </row>
    <row r="839" spans="21:23" ht="21.75" customHeight="1" x14ac:dyDescent="0.45">
      <c r="U839"/>
      <c r="V839"/>
      <c r="W839"/>
    </row>
    <row r="840" spans="21:23" ht="21.75" customHeight="1" x14ac:dyDescent="0.45">
      <c r="U840"/>
      <c r="V840"/>
      <c r="W840"/>
    </row>
    <row r="841" spans="21:23" ht="21.75" customHeight="1" x14ac:dyDescent="0.45">
      <c r="U841"/>
      <c r="V841"/>
      <c r="W841"/>
    </row>
    <row r="842" spans="21:23" ht="21.75" customHeight="1" x14ac:dyDescent="0.45">
      <c r="U842"/>
      <c r="V842"/>
      <c r="W842"/>
    </row>
    <row r="843" spans="21:23" ht="21.75" customHeight="1" x14ac:dyDescent="0.45">
      <c r="U843"/>
      <c r="V843"/>
      <c r="W843"/>
    </row>
    <row r="844" spans="21:23" ht="21.75" customHeight="1" x14ac:dyDescent="0.45">
      <c r="U844"/>
      <c r="V844"/>
      <c r="W844"/>
    </row>
    <row r="845" spans="21:23" ht="21.75" customHeight="1" x14ac:dyDescent="0.45">
      <c r="U845"/>
      <c r="V845"/>
      <c r="W845"/>
    </row>
    <row r="846" spans="21:23" ht="21.75" customHeight="1" x14ac:dyDescent="0.45">
      <c r="U846"/>
      <c r="V846"/>
      <c r="W846"/>
    </row>
    <row r="847" spans="21:23" ht="21.75" customHeight="1" x14ac:dyDescent="0.45">
      <c r="U847"/>
      <c r="V847"/>
      <c r="W847"/>
    </row>
    <row r="848" spans="21:23" ht="21.75" customHeight="1" x14ac:dyDescent="0.45">
      <c r="U848"/>
      <c r="V848"/>
      <c r="W848"/>
    </row>
    <row r="849" spans="21:23" ht="21.75" customHeight="1" x14ac:dyDescent="0.45">
      <c r="U849"/>
      <c r="V849"/>
      <c r="W849"/>
    </row>
    <row r="850" spans="21:23" ht="21.75" customHeight="1" x14ac:dyDescent="0.45">
      <c r="U850"/>
      <c r="V850"/>
      <c r="W850"/>
    </row>
    <row r="851" spans="21:23" ht="21.75" customHeight="1" x14ac:dyDescent="0.45">
      <c r="U851"/>
      <c r="V851"/>
      <c r="W851"/>
    </row>
    <row r="852" spans="21:23" ht="21.75" customHeight="1" x14ac:dyDescent="0.45">
      <c r="U852"/>
      <c r="V852"/>
      <c r="W852"/>
    </row>
    <row r="853" spans="21:23" ht="21.75" customHeight="1" x14ac:dyDescent="0.45">
      <c r="U853"/>
      <c r="V853"/>
      <c r="W853"/>
    </row>
    <row r="854" spans="21:23" ht="21.75" customHeight="1" x14ac:dyDescent="0.45">
      <c r="U854"/>
      <c r="V854"/>
      <c r="W854"/>
    </row>
    <row r="855" spans="21:23" ht="21.75" customHeight="1" x14ac:dyDescent="0.45">
      <c r="U855"/>
      <c r="V855"/>
      <c r="W855"/>
    </row>
    <row r="856" spans="21:23" ht="21.75" customHeight="1" x14ac:dyDescent="0.45">
      <c r="U856"/>
      <c r="V856"/>
      <c r="W856"/>
    </row>
    <row r="857" spans="21:23" ht="21.75" customHeight="1" x14ac:dyDescent="0.45">
      <c r="U857"/>
      <c r="V857"/>
      <c r="W857"/>
    </row>
    <row r="858" spans="21:23" ht="21.75" customHeight="1" x14ac:dyDescent="0.45">
      <c r="U858"/>
      <c r="V858"/>
      <c r="W858"/>
    </row>
    <row r="859" spans="21:23" ht="21.75" customHeight="1" x14ac:dyDescent="0.45">
      <c r="U859"/>
      <c r="V859"/>
      <c r="W859"/>
    </row>
    <row r="860" spans="21:23" ht="21.75" customHeight="1" x14ac:dyDescent="0.45">
      <c r="U860"/>
      <c r="V860"/>
      <c r="W860"/>
    </row>
    <row r="861" spans="21:23" ht="21.75" customHeight="1" x14ac:dyDescent="0.45">
      <c r="U861"/>
      <c r="V861"/>
      <c r="W861"/>
    </row>
    <row r="862" spans="21:23" ht="21.75" customHeight="1" x14ac:dyDescent="0.45">
      <c r="U862"/>
      <c r="V862"/>
      <c r="W862"/>
    </row>
    <row r="863" spans="21:23" ht="21.75" customHeight="1" x14ac:dyDescent="0.45">
      <c r="U863"/>
      <c r="V863"/>
      <c r="W863"/>
    </row>
    <row r="864" spans="21:23" ht="21.75" customHeight="1" x14ac:dyDescent="0.45">
      <c r="U864"/>
      <c r="V864"/>
      <c r="W864"/>
    </row>
    <row r="865" spans="21:23" ht="21.75" customHeight="1" x14ac:dyDescent="0.45">
      <c r="U865"/>
      <c r="V865"/>
      <c r="W865"/>
    </row>
    <row r="866" spans="21:23" ht="21.75" customHeight="1" x14ac:dyDescent="0.45">
      <c r="U866"/>
      <c r="V866"/>
      <c r="W866"/>
    </row>
    <row r="867" spans="21:23" ht="21.75" customHeight="1" x14ac:dyDescent="0.45">
      <c r="U867"/>
      <c r="V867"/>
      <c r="W867"/>
    </row>
    <row r="868" spans="21:23" ht="21.75" customHeight="1" x14ac:dyDescent="0.45">
      <c r="U868"/>
      <c r="V868"/>
      <c r="W868"/>
    </row>
    <row r="869" spans="21:23" ht="21.75" customHeight="1" x14ac:dyDescent="0.45">
      <c r="U869"/>
      <c r="V869"/>
      <c r="W869"/>
    </row>
    <row r="870" spans="21:23" ht="21.75" customHeight="1" x14ac:dyDescent="0.45">
      <c r="U870"/>
      <c r="V870"/>
      <c r="W870"/>
    </row>
    <row r="871" spans="21:23" ht="21.75" customHeight="1" x14ac:dyDescent="0.45">
      <c r="U871"/>
      <c r="V871"/>
      <c r="W871"/>
    </row>
    <row r="872" spans="21:23" ht="21.75" customHeight="1" x14ac:dyDescent="0.45">
      <c r="U872"/>
      <c r="V872"/>
      <c r="W872"/>
    </row>
    <row r="873" spans="21:23" ht="21.75" customHeight="1" x14ac:dyDescent="0.45">
      <c r="U873"/>
      <c r="V873"/>
      <c r="W873"/>
    </row>
    <row r="874" spans="21:23" ht="21.75" customHeight="1" x14ac:dyDescent="0.45">
      <c r="U874"/>
      <c r="V874"/>
      <c r="W874"/>
    </row>
    <row r="875" spans="21:23" ht="21.75" customHeight="1" x14ac:dyDescent="0.45">
      <c r="U875"/>
      <c r="V875"/>
      <c r="W875"/>
    </row>
    <row r="876" spans="21:23" ht="21.75" customHeight="1" x14ac:dyDescent="0.45">
      <c r="U876"/>
      <c r="V876"/>
      <c r="W876"/>
    </row>
    <row r="877" spans="21:23" ht="21.75" customHeight="1" x14ac:dyDescent="0.45">
      <c r="U877"/>
      <c r="V877"/>
      <c r="W877"/>
    </row>
    <row r="878" spans="21:23" ht="21.75" customHeight="1" x14ac:dyDescent="0.45">
      <c r="U878"/>
      <c r="V878"/>
      <c r="W878"/>
    </row>
    <row r="879" spans="21:23" ht="21.75" customHeight="1" x14ac:dyDescent="0.45">
      <c r="U879"/>
      <c r="V879"/>
      <c r="W879"/>
    </row>
    <row r="880" spans="21:23" ht="21.75" customHeight="1" x14ac:dyDescent="0.45">
      <c r="U880"/>
      <c r="V880"/>
      <c r="W880"/>
    </row>
    <row r="881" spans="21:23" ht="21.75" customHeight="1" x14ac:dyDescent="0.45">
      <c r="U881"/>
      <c r="V881"/>
      <c r="W881"/>
    </row>
    <row r="882" spans="21:23" ht="21.75" customHeight="1" x14ac:dyDescent="0.45">
      <c r="U882"/>
      <c r="V882"/>
      <c r="W882"/>
    </row>
    <row r="883" spans="21:23" ht="21.75" customHeight="1" x14ac:dyDescent="0.45">
      <c r="U883"/>
      <c r="V883"/>
      <c r="W883"/>
    </row>
    <row r="884" spans="21:23" ht="21.75" customHeight="1" x14ac:dyDescent="0.45">
      <c r="U884"/>
      <c r="V884"/>
      <c r="W884"/>
    </row>
    <row r="885" spans="21:23" ht="21.75" customHeight="1" x14ac:dyDescent="0.45">
      <c r="U885"/>
      <c r="V885"/>
      <c r="W885"/>
    </row>
    <row r="886" spans="21:23" ht="21.75" customHeight="1" x14ac:dyDescent="0.45">
      <c r="U886"/>
      <c r="V886"/>
      <c r="W886"/>
    </row>
    <row r="887" spans="21:23" ht="21.75" customHeight="1" x14ac:dyDescent="0.45">
      <c r="U887"/>
      <c r="V887"/>
      <c r="W887"/>
    </row>
    <row r="888" spans="21:23" ht="21.75" customHeight="1" x14ac:dyDescent="0.45">
      <c r="U888"/>
      <c r="V888"/>
      <c r="W888"/>
    </row>
    <row r="889" spans="21:23" ht="21.75" customHeight="1" x14ac:dyDescent="0.45">
      <c r="U889"/>
      <c r="V889"/>
      <c r="W889"/>
    </row>
    <row r="890" spans="21:23" ht="21.75" customHeight="1" x14ac:dyDescent="0.45">
      <c r="U890"/>
      <c r="V890"/>
      <c r="W890"/>
    </row>
    <row r="891" spans="21:23" ht="21.75" customHeight="1" x14ac:dyDescent="0.45">
      <c r="U891"/>
      <c r="V891"/>
      <c r="W891"/>
    </row>
    <row r="892" spans="21:23" ht="21.75" customHeight="1" x14ac:dyDescent="0.45">
      <c r="U892"/>
      <c r="V892"/>
      <c r="W892"/>
    </row>
    <row r="893" spans="21:23" ht="21.75" customHeight="1" x14ac:dyDescent="0.45">
      <c r="U893"/>
      <c r="V893"/>
      <c r="W893"/>
    </row>
    <row r="894" spans="21:23" ht="21.75" customHeight="1" x14ac:dyDescent="0.45">
      <c r="U894"/>
      <c r="V894"/>
      <c r="W894"/>
    </row>
    <row r="895" spans="21:23" ht="21.75" customHeight="1" x14ac:dyDescent="0.45">
      <c r="U895"/>
      <c r="V895"/>
      <c r="W895"/>
    </row>
    <row r="896" spans="21:23" ht="21.75" customHeight="1" x14ac:dyDescent="0.45">
      <c r="U896"/>
      <c r="V896"/>
      <c r="W896"/>
    </row>
    <row r="897" spans="21:23" ht="21.75" customHeight="1" x14ac:dyDescent="0.45">
      <c r="U897"/>
      <c r="V897"/>
      <c r="W897"/>
    </row>
    <row r="898" spans="21:23" ht="21.75" customHeight="1" x14ac:dyDescent="0.45">
      <c r="U898"/>
      <c r="V898"/>
      <c r="W898"/>
    </row>
    <row r="899" spans="21:23" ht="21.75" customHeight="1" x14ac:dyDescent="0.45">
      <c r="U899"/>
      <c r="V899"/>
      <c r="W899"/>
    </row>
    <row r="900" spans="21:23" ht="21.75" customHeight="1" x14ac:dyDescent="0.45">
      <c r="U900"/>
      <c r="V900"/>
      <c r="W900"/>
    </row>
    <row r="901" spans="21:23" ht="21.75" customHeight="1" x14ac:dyDescent="0.45">
      <c r="U901"/>
      <c r="V901"/>
      <c r="W901"/>
    </row>
    <row r="902" spans="21:23" ht="21.75" customHeight="1" x14ac:dyDescent="0.45">
      <c r="U902"/>
      <c r="V902"/>
      <c r="W902"/>
    </row>
    <row r="903" spans="21:23" ht="21.75" customHeight="1" x14ac:dyDescent="0.45">
      <c r="U903"/>
      <c r="V903"/>
      <c r="W903"/>
    </row>
    <row r="904" spans="21:23" ht="21.75" customHeight="1" x14ac:dyDescent="0.45">
      <c r="U904"/>
      <c r="V904"/>
      <c r="W904"/>
    </row>
    <row r="905" spans="21:23" ht="21.75" customHeight="1" x14ac:dyDescent="0.45">
      <c r="U905"/>
      <c r="V905"/>
      <c r="W905"/>
    </row>
    <row r="906" spans="21:23" ht="21.75" customHeight="1" x14ac:dyDescent="0.45">
      <c r="U906"/>
      <c r="V906"/>
      <c r="W906"/>
    </row>
    <row r="907" spans="21:23" ht="21.75" customHeight="1" x14ac:dyDescent="0.45">
      <c r="U907"/>
      <c r="V907"/>
      <c r="W907"/>
    </row>
    <row r="908" spans="21:23" ht="21.75" customHeight="1" x14ac:dyDescent="0.45">
      <c r="U908"/>
      <c r="V908"/>
      <c r="W908"/>
    </row>
    <row r="909" spans="21:23" ht="21.75" customHeight="1" x14ac:dyDescent="0.45">
      <c r="U909"/>
      <c r="V909"/>
      <c r="W909"/>
    </row>
    <row r="910" spans="21:23" ht="21.75" customHeight="1" x14ac:dyDescent="0.45">
      <c r="U910"/>
      <c r="V910"/>
      <c r="W910"/>
    </row>
    <row r="911" spans="21:23" ht="21.75" customHeight="1" x14ac:dyDescent="0.45">
      <c r="U911"/>
      <c r="V911"/>
      <c r="W911"/>
    </row>
    <row r="912" spans="21:23" ht="21.75" customHeight="1" x14ac:dyDescent="0.45">
      <c r="U912"/>
      <c r="V912"/>
      <c r="W912"/>
    </row>
    <row r="913" spans="21:23" ht="21.75" customHeight="1" x14ac:dyDescent="0.45">
      <c r="U913"/>
      <c r="V913"/>
      <c r="W913"/>
    </row>
    <row r="914" spans="21:23" ht="21.75" customHeight="1" x14ac:dyDescent="0.45">
      <c r="U914"/>
      <c r="V914"/>
      <c r="W914"/>
    </row>
    <row r="915" spans="21:23" ht="21.75" customHeight="1" x14ac:dyDescent="0.45">
      <c r="U915"/>
      <c r="V915"/>
      <c r="W915"/>
    </row>
    <row r="916" spans="21:23" ht="21.75" customHeight="1" x14ac:dyDescent="0.45">
      <c r="U916"/>
      <c r="V916"/>
      <c r="W916"/>
    </row>
    <row r="917" spans="21:23" ht="21.75" customHeight="1" x14ac:dyDescent="0.45">
      <c r="U917"/>
      <c r="V917"/>
      <c r="W917"/>
    </row>
    <row r="918" spans="21:23" ht="21.75" customHeight="1" x14ac:dyDescent="0.45">
      <c r="U918"/>
      <c r="V918"/>
      <c r="W918"/>
    </row>
    <row r="919" spans="21:23" ht="21.75" customHeight="1" x14ac:dyDescent="0.45">
      <c r="U919"/>
      <c r="V919"/>
      <c r="W919"/>
    </row>
    <row r="920" spans="21:23" ht="21.75" customHeight="1" x14ac:dyDescent="0.45">
      <c r="U920"/>
      <c r="V920"/>
      <c r="W920"/>
    </row>
    <row r="921" spans="21:23" ht="21.75" customHeight="1" x14ac:dyDescent="0.45">
      <c r="U921"/>
      <c r="V921"/>
      <c r="W921"/>
    </row>
    <row r="922" spans="21:23" ht="21.75" customHeight="1" x14ac:dyDescent="0.45">
      <c r="U922"/>
      <c r="V922"/>
      <c r="W922"/>
    </row>
    <row r="923" spans="21:23" ht="21.75" customHeight="1" x14ac:dyDescent="0.45">
      <c r="U923"/>
      <c r="V923"/>
      <c r="W923"/>
    </row>
    <row r="924" spans="21:23" ht="21.75" customHeight="1" x14ac:dyDescent="0.45">
      <c r="U924"/>
      <c r="V924"/>
      <c r="W924"/>
    </row>
    <row r="925" spans="21:23" ht="21.75" customHeight="1" x14ac:dyDescent="0.45">
      <c r="U925"/>
      <c r="V925"/>
      <c r="W925"/>
    </row>
    <row r="926" spans="21:23" ht="21.75" customHeight="1" x14ac:dyDescent="0.45">
      <c r="U926"/>
      <c r="V926"/>
      <c r="W926"/>
    </row>
    <row r="927" spans="21:23" ht="21.75" customHeight="1" x14ac:dyDescent="0.45">
      <c r="U927"/>
      <c r="V927"/>
      <c r="W927"/>
    </row>
    <row r="928" spans="21:23" ht="21.75" customHeight="1" x14ac:dyDescent="0.45">
      <c r="U928"/>
      <c r="V928"/>
      <c r="W928"/>
    </row>
    <row r="929" spans="21:23" ht="21.75" customHeight="1" x14ac:dyDescent="0.45">
      <c r="U929"/>
      <c r="V929"/>
      <c r="W929"/>
    </row>
    <row r="930" spans="21:23" ht="21.75" customHeight="1" x14ac:dyDescent="0.45">
      <c r="U930"/>
      <c r="V930"/>
      <c r="W930"/>
    </row>
    <row r="931" spans="21:23" ht="21.75" customHeight="1" x14ac:dyDescent="0.45">
      <c r="U931"/>
      <c r="V931"/>
      <c r="W931"/>
    </row>
    <row r="932" spans="21:23" ht="21.75" customHeight="1" x14ac:dyDescent="0.45">
      <c r="U932"/>
      <c r="V932"/>
      <c r="W932"/>
    </row>
    <row r="933" spans="21:23" ht="21.75" customHeight="1" x14ac:dyDescent="0.45">
      <c r="U933"/>
      <c r="V933"/>
      <c r="W933"/>
    </row>
    <row r="934" spans="21:23" ht="21.75" customHeight="1" x14ac:dyDescent="0.45">
      <c r="U934"/>
      <c r="V934"/>
      <c r="W934"/>
    </row>
    <row r="935" spans="21:23" ht="21.75" customHeight="1" x14ac:dyDescent="0.45">
      <c r="U935"/>
      <c r="V935"/>
      <c r="W935"/>
    </row>
    <row r="936" spans="21:23" ht="21.75" customHeight="1" x14ac:dyDescent="0.45">
      <c r="U936"/>
      <c r="V936"/>
      <c r="W936"/>
    </row>
    <row r="937" spans="21:23" ht="21.75" customHeight="1" x14ac:dyDescent="0.45">
      <c r="U937"/>
      <c r="V937"/>
      <c r="W937"/>
    </row>
    <row r="938" spans="21:23" ht="21.75" customHeight="1" x14ac:dyDescent="0.45">
      <c r="U938"/>
      <c r="V938"/>
      <c r="W938"/>
    </row>
    <row r="939" spans="21:23" ht="21.75" customHeight="1" x14ac:dyDescent="0.45">
      <c r="U939"/>
      <c r="V939"/>
      <c r="W939"/>
    </row>
    <row r="940" spans="21:23" ht="21.75" customHeight="1" x14ac:dyDescent="0.45">
      <c r="U940"/>
      <c r="V940"/>
      <c r="W940"/>
    </row>
    <row r="941" spans="21:23" ht="21.75" customHeight="1" x14ac:dyDescent="0.45">
      <c r="U941"/>
      <c r="V941"/>
      <c r="W941"/>
    </row>
    <row r="942" spans="21:23" ht="21.75" customHeight="1" x14ac:dyDescent="0.45">
      <c r="U942"/>
      <c r="V942"/>
      <c r="W942"/>
    </row>
    <row r="943" spans="21:23" ht="21.75" customHeight="1" x14ac:dyDescent="0.45">
      <c r="U943"/>
      <c r="V943"/>
      <c r="W943"/>
    </row>
    <row r="944" spans="21:23" ht="21.75" customHeight="1" x14ac:dyDescent="0.45">
      <c r="U944"/>
      <c r="V944"/>
      <c r="W944"/>
    </row>
    <row r="945" spans="21:23" ht="21.75" customHeight="1" x14ac:dyDescent="0.45">
      <c r="U945"/>
      <c r="V945"/>
      <c r="W945"/>
    </row>
    <row r="946" spans="21:23" ht="21.75" customHeight="1" x14ac:dyDescent="0.45">
      <c r="U946"/>
      <c r="V946"/>
      <c r="W946"/>
    </row>
    <row r="947" spans="21:23" ht="21.75" customHeight="1" x14ac:dyDescent="0.45">
      <c r="U947"/>
      <c r="V947"/>
      <c r="W947"/>
    </row>
    <row r="948" spans="21:23" ht="21.75" customHeight="1" x14ac:dyDescent="0.45">
      <c r="U948"/>
      <c r="V948"/>
      <c r="W948"/>
    </row>
    <row r="949" spans="21:23" ht="21.75" customHeight="1" x14ac:dyDescent="0.45">
      <c r="U949"/>
      <c r="V949"/>
      <c r="W949"/>
    </row>
    <row r="950" spans="21:23" ht="21.75" customHeight="1" x14ac:dyDescent="0.45">
      <c r="U950"/>
      <c r="V950"/>
      <c r="W950"/>
    </row>
    <row r="951" spans="21:23" ht="21.75" customHeight="1" x14ac:dyDescent="0.45">
      <c r="U951"/>
      <c r="V951"/>
      <c r="W951"/>
    </row>
    <row r="952" spans="21:23" ht="21.75" customHeight="1" x14ac:dyDescent="0.45">
      <c r="U952"/>
      <c r="V952"/>
      <c r="W952"/>
    </row>
    <row r="953" spans="21:23" ht="21.75" customHeight="1" x14ac:dyDescent="0.45">
      <c r="U953"/>
      <c r="V953"/>
      <c r="W953"/>
    </row>
    <row r="954" spans="21:23" ht="21.75" customHeight="1" x14ac:dyDescent="0.45">
      <c r="U954"/>
      <c r="V954"/>
      <c r="W954"/>
    </row>
    <row r="955" spans="21:23" ht="21.75" customHeight="1" x14ac:dyDescent="0.45">
      <c r="U955"/>
      <c r="V955"/>
      <c r="W955"/>
    </row>
    <row r="956" spans="21:23" ht="21.75" customHeight="1" x14ac:dyDescent="0.45">
      <c r="U956"/>
      <c r="V956"/>
      <c r="W956"/>
    </row>
    <row r="957" spans="21:23" ht="21.75" customHeight="1" x14ac:dyDescent="0.45">
      <c r="U957"/>
      <c r="V957"/>
      <c r="W957"/>
    </row>
    <row r="958" spans="21:23" ht="21.75" customHeight="1" x14ac:dyDescent="0.45">
      <c r="U958"/>
      <c r="V958"/>
      <c r="W958"/>
    </row>
    <row r="959" spans="21:23" ht="21.75" customHeight="1" x14ac:dyDescent="0.45">
      <c r="U959"/>
      <c r="V959"/>
      <c r="W959"/>
    </row>
    <row r="960" spans="21:23" ht="21.75" customHeight="1" x14ac:dyDescent="0.45">
      <c r="U960"/>
      <c r="V960"/>
      <c r="W960"/>
    </row>
    <row r="961" spans="21:23" ht="21.75" customHeight="1" x14ac:dyDescent="0.45">
      <c r="U961"/>
      <c r="V961"/>
      <c r="W961"/>
    </row>
    <row r="962" spans="21:23" ht="21.75" customHeight="1" x14ac:dyDescent="0.45">
      <c r="U962"/>
      <c r="V962"/>
      <c r="W962"/>
    </row>
    <row r="963" spans="21:23" ht="21.75" customHeight="1" x14ac:dyDescent="0.45">
      <c r="U963"/>
      <c r="V963"/>
      <c r="W963"/>
    </row>
    <row r="964" spans="21:23" ht="21.75" customHeight="1" x14ac:dyDescent="0.45">
      <c r="U964"/>
      <c r="V964"/>
      <c r="W964"/>
    </row>
    <row r="965" spans="21:23" ht="21.75" customHeight="1" x14ac:dyDescent="0.45">
      <c r="U965"/>
      <c r="V965"/>
      <c r="W965"/>
    </row>
    <row r="966" spans="21:23" ht="21.75" customHeight="1" x14ac:dyDescent="0.45">
      <c r="U966"/>
      <c r="V966"/>
      <c r="W966"/>
    </row>
    <row r="967" spans="21:23" ht="21.75" customHeight="1" x14ac:dyDescent="0.45">
      <c r="U967"/>
      <c r="V967"/>
      <c r="W967"/>
    </row>
    <row r="968" spans="21:23" ht="21.75" customHeight="1" x14ac:dyDescent="0.45">
      <c r="U968"/>
      <c r="V968"/>
      <c r="W968"/>
    </row>
    <row r="969" spans="21:23" ht="21.75" customHeight="1" x14ac:dyDescent="0.45">
      <c r="U969"/>
      <c r="V969"/>
      <c r="W969"/>
    </row>
    <row r="970" spans="21:23" ht="21.75" customHeight="1" x14ac:dyDescent="0.45">
      <c r="U970"/>
      <c r="V970"/>
      <c r="W970"/>
    </row>
    <row r="971" spans="21:23" ht="21.75" customHeight="1" x14ac:dyDescent="0.45">
      <c r="U971"/>
      <c r="V971"/>
      <c r="W971"/>
    </row>
    <row r="972" spans="21:23" ht="21.75" customHeight="1" x14ac:dyDescent="0.45">
      <c r="U972"/>
      <c r="V972"/>
      <c r="W972"/>
    </row>
    <row r="973" spans="21:23" ht="21.75" customHeight="1" x14ac:dyDescent="0.45">
      <c r="U973"/>
      <c r="V973"/>
      <c r="W973"/>
    </row>
    <row r="974" spans="21:23" ht="21.75" customHeight="1" x14ac:dyDescent="0.45">
      <c r="U974"/>
      <c r="V974"/>
      <c r="W974"/>
    </row>
    <row r="975" spans="21:23" ht="21.75" customHeight="1" x14ac:dyDescent="0.45">
      <c r="U975"/>
      <c r="V975"/>
      <c r="W975"/>
    </row>
    <row r="976" spans="21:23" ht="21.75" customHeight="1" x14ac:dyDescent="0.45">
      <c r="U976"/>
      <c r="V976"/>
      <c r="W976"/>
    </row>
    <row r="977" spans="21:23" ht="21.75" customHeight="1" x14ac:dyDescent="0.45">
      <c r="U977"/>
      <c r="V977"/>
      <c r="W977"/>
    </row>
    <row r="978" spans="21:23" ht="21.75" customHeight="1" x14ac:dyDescent="0.45">
      <c r="U978"/>
      <c r="V978"/>
      <c r="W978"/>
    </row>
    <row r="979" spans="21:23" ht="21.75" customHeight="1" x14ac:dyDescent="0.45">
      <c r="U979"/>
      <c r="V979"/>
      <c r="W979"/>
    </row>
    <row r="980" spans="21:23" ht="21.75" customHeight="1" x14ac:dyDescent="0.45">
      <c r="U980"/>
      <c r="V980"/>
      <c r="W980"/>
    </row>
    <row r="981" spans="21:23" ht="21.75" customHeight="1" x14ac:dyDescent="0.45">
      <c r="U981"/>
      <c r="V981"/>
      <c r="W981"/>
    </row>
    <row r="982" spans="21:23" ht="21.75" customHeight="1" x14ac:dyDescent="0.45">
      <c r="U982"/>
      <c r="V982"/>
      <c r="W982"/>
    </row>
    <row r="983" spans="21:23" ht="21.75" customHeight="1" x14ac:dyDescent="0.45">
      <c r="U983"/>
      <c r="V983"/>
      <c r="W983"/>
    </row>
    <row r="984" spans="21:23" ht="21.75" customHeight="1" x14ac:dyDescent="0.45">
      <c r="U984"/>
      <c r="V984"/>
      <c r="W984"/>
    </row>
    <row r="985" spans="21:23" ht="21.75" customHeight="1" x14ac:dyDescent="0.45">
      <c r="U985"/>
      <c r="V985"/>
      <c r="W985"/>
    </row>
    <row r="986" spans="21:23" ht="21.75" customHeight="1" x14ac:dyDescent="0.45">
      <c r="U986"/>
      <c r="V986"/>
      <c r="W986"/>
    </row>
    <row r="987" spans="21:23" ht="21.75" customHeight="1" x14ac:dyDescent="0.45">
      <c r="U987"/>
      <c r="V987"/>
      <c r="W987"/>
    </row>
    <row r="988" spans="21:23" ht="21.75" customHeight="1" x14ac:dyDescent="0.45">
      <c r="U988"/>
      <c r="V988"/>
      <c r="W988"/>
    </row>
    <row r="989" spans="21:23" ht="21.75" customHeight="1" x14ac:dyDescent="0.45">
      <c r="U989"/>
      <c r="V989"/>
      <c r="W989"/>
    </row>
    <row r="990" spans="21:23" ht="21.75" customHeight="1" x14ac:dyDescent="0.45">
      <c r="U990"/>
      <c r="V990"/>
      <c r="W990"/>
    </row>
    <row r="991" spans="21:23" ht="21.75" customHeight="1" x14ac:dyDescent="0.45">
      <c r="U991"/>
      <c r="V991"/>
      <c r="W991"/>
    </row>
    <row r="992" spans="21:23" ht="21.75" customHeight="1" x14ac:dyDescent="0.45">
      <c r="U992"/>
      <c r="V992"/>
      <c r="W992"/>
    </row>
    <row r="993" spans="21:23" ht="21.75" customHeight="1" x14ac:dyDescent="0.45">
      <c r="U993"/>
      <c r="V993"/>
      <c r="W993"/>
    </row>
    <row r="994" spans="21:23" ht="21.75" customHeight="1" x14ac:dyDescent="0.45">
      <c r="U994"/>
      <c r="V994"/>
      <c r="W994"/>
    </row>
    <row r="995" spans="21:23" ht="21.75" customHeight="1" x14ac:dyDescent="0.45">
      <c r="U995"/>
      <c r="V995"/>
      <c r="W995"/>
    </row>
    <row r="996" spans="21:23" ht="21.75" customHeight="1" x14ac:dyDescent="0.45">
      <c r="U996"/>
      <c r="V996"/>
      <c r="W996"/>
    </row>
    <row r="997" spans="21:23" ht="21.75" customHeight="1" x14ac:dyDescent="0.45">
      <c r="U997"/>
      <c r="V997"/>
      <c r="W997"/>
    </row>
    <row r="998" spans="21:23" ht="21.75" customHeight="1" x14ac:dyDescent="0.45">
      <c r="U998"/>
      <c r="V998"/>
      <c r="W998"/>
    </row>
    <row r="999" spans="21:23" ht="21.75" customHeight="1" x14ac:dyDescent="0.45">
      <c r="U999"/>
      <c r="V999"/>
      <c r="W999"/>
    </row>
    <row r="1000" spans="21:23" ht="21.75" customHeight="1" x14ac:dyDescent="0.45">
      <c r="U1000"/>
      <c r="V1000"/>
      <c r="W1000"/>
    </row>
    <row r="1001" spans="21:23" ht="21.75" customHeight="1" x14ac:dyDescent="0.45">
      <c r="U1001"/>
      <c r="V1001"/>
      <c r="W1001"/>
    </row>
    <row r="1002" spans="21:23" ht="21.75" customHeight="1" x14ac:dyDescent="0.45">
      <c r="U1002"/>
      <c r="V1002"/>
      <c r="W1002"/>
    </row>
    <row r="1003" spans="21:23" ht="21.75" customHeight="1" x14ac:dyDescent="0.45">
      <c r="U1003"/>
      <c r="V1003"/>
      <c r="W1003"/>
    </row>
    <row r="1004" spans="21:23" ht="21.75" customHeight="1" x14ac:dyDescent="0.45">
      <c r="U1004"/>
      <c r="V1004"/>
      <c r="W1004"/>
    </row>
    <row r="1005" spans="21:23" ht="21.75" customHeight="1" x14ac:dyDescent="0.45">
      <c r="U1005"/>
      <c r="V1005"/>
      <c r="W1005"/>
    </row>
    <row r="1006" spans="21:23" ht="21.75" customHeight="1" x14ac:dyDescent="0.45">
      <c r="U1006"/>
      <c r="V1006"/>
      <c r="W1006"/>
    </row>
    <row r="1007" spans="21:23" ht="21.75" customHeight="1" x14ac:dyDescent="0.45">
      <c r="U1007"/>
      <c r="V1007"/>
      <c r="W1007"/>
    </row>
    <row r="1008" spans="21:23" ht="21.75" customHeight="1" x14ac:dyDescent="0.45">
      <c r="U1008"/>
      <c r="V1008"/>
      <c r="W1008"/>
    </row>
    <row r="1009" spans="21:23" ht="21.75" customHeight="1" x14ac:dyDescent="0.45">
      <c r="U1009"/>
      <c r="V1009"/>
      <c r="W1009"/>
    </row>
    <row r="1010" spans="21:23" ht="21.75" customHeight="1" x14ac:dyDescent="0.45">
      <c r="U1010"/>
      <c r="V1010"/>
      <c r="W1010"/>
    </row>
    <row r="1011" spans="21:23" ht="21.75" customHeight="1" x14ac:dyDescent="0.45">
      <c r="U1011"/>
      <c r="V1011"/>
      <c r="W1011"/>
    </row>
    <row r="1012" spans="21:23" ht="21.75" customHeight="1" x14ac:dyDescent="0.45">
      <c r="U1012"/>
      <c r="V1012"/>
      <c r="W1012"/>
    </row>
    <row r="1013" spans="21:23" ht="21.75" customHeight="1" x14ac:dyDescent="0.45">
      <c r="U1013"/>
      <c r="V1013"/>
      <c r="W1013"/>
    </row>
    <row r="1014" spans="21:23" ht="21.75" customHeight="1" x14ac:dyDescent="0.45">
      <c r="U1014"/>
      <c r="V1014"/>
      <c r="W1014"/>
    </row>
    <row r="1015" spans="21:23" ht="21.75" customHeight="1" x14ac:dyDescent="0.45">
      <c r="U1015"/>
      <c r="V1015"/>
      <c r="W1015"/>
    </row>
    <row r="1016" spans="21:23" ht="21.75" customHeight="1" x14ac:dyDescent="0.45">
      <c r="U1016"/>
      <c r="V1016"/>
      <c r="W1016"/>
    </row>
    <row r="1017" spans="21:23" ht="21.75" customHeight="1" x14ac:dyDescent="0.45">
      <c r="U1017"/>
      <c r="V1017"/>
      <c r="W1017"/>
    </row>
    <row r="1018" spans="21:23" ht="21.75" customHeight="1" x14ac:dyDescent="0.45">
      <c r="U1018"/>
      <c r="V1018"/>
      <c r="W1018"/>
    </row>
    <row r="1019" spans="21:23" ht="21.75" customHeight="1" x14ac:dyDescent="0.45">
      <c r="U1019"/>
      <c r="V1019"/>
      <c r="W1019"/>
    </row>
    <row r="1020" spans="21:23" ht="21.75" customHeight="1" x14ac:dyDescent="0.45">
      <c r="U1020"/>
      <c r="V1020"/>
      <c r="W1020"/>
    </row>
    <row r="1021" spans="21:23" ht="21.75" customHeight="1" x14ac:dyDescent="0.45">
      <c r="U1021"/>
      <c r="V1021"/>
      <c r="W1021"/>
    </row>
    <row r="1022" spans="21:23" ht="21.75" customHeight="1" x14ac:dyDescent="0.45">
      <c r="U1022"/>
      <c r="V1022"/>
      <c r="W1022"/>
    </row>
    <row r="1023" spans="21:23" ht="21.75" customHeight="1" x14ac:dyDescent="0.45">
      <c r="U1023"/>
      <c r="V1023"/>
      <c r="W1023"/>
    </row>
    <row r="1024" spans="21:23" ht="21.75" customHeight="1" x14ac:dyDescent="0.45">
      <c r="U1024"/>
      <c r="V1024"/>
      <c r="W1024"/>
    </row>
    <row r="1025" spans="21:23" ht="21.75" customHeight="1" x14ac:dyDescent="0.45">
      <c r="U1025"/>
      <c r="V1025"/>
      <c r="W1025"/>
    </row>
    <row r="1026" spans="21:23" ht="21.75" customHeight="1" x14ac:dyDescent="0.45">
      <c r="U1026"/>
      <c r="V1026"/>
      <c r="W1026"/>
    </row>
    <row r="1027" spans="21:23" ht="21.75" customHeight="1" x14ac:dyDescent="0.45">
      <c r="U1027"/>
      <c r="V1027"/>
      <c r="W1027"/>
    </row>
    <row r="1028" spans="21:23" ht="21.75" customHeight="1" x14ac:dyDescent="0.45">
      <c r="U1028"/>
      <c r="V1028"/>
      <c r="W1028"/>
    </row>
    <row r="1029" spans="21:23" ht="21.75" customHeight="1" x14ac:dyDescent="0.45">
      <c r="U1029"/>
      <c r="V1029"/>
      <c r="W1029"/>
    </row>
    <row r="1030" spans="21:23" ht="21.75" customHeight="1" x14ac:dyDescent="0.45">
      <c r="U1030"/>
      <c r="V1030"/>
      <c r="W1030"/>
    </row>
    <row r="1031" spans="21:23" ht="21.75" customHeight="1" x14ac:dyDescent="0.45">
      <c r="U1031"/>
      <c r="V1031"/>
      <c r="W1031"/>
    </row>
    <row r="1032" spans="21:23" ht="21.75" customHeight="1" x14ac:dyDescent="0.45">
      <c r="U1032"/>
      <c r="V1032"/>
      <c r="W1032"/>
    </row>
    <row r="1033" spans="21:23" ht="21.75" customHeight="1" x14ac:dyDescent="0.45">
      <c r="U1033"/>
      <c r="V1033"/>
      <c r="W1033"/>
    </row>
    <row r="1034" spans="21:23" ht="21.75" customHeight="1" x14ac:dyDescent="0.45">
      <c r="U1034"/>
      <c r="V1034"/>
      <c r="W1034"/>
    </row>
    <row r="1035" spans="21:23" ht="21.75" customHeight="1" x14ac:dyDescent="0.45">
      <c r="U1035"/>
      <c r="V1035"/>
      <c r="W1035"/>
    </row>
    <row r="1036" spans="21:23" ht="21.75" customHeight="1" x14ac:dyDescent="0.45">
      <c r="U1036"/>
      <c r="V1036"/>
      <c r="W1036"/>
    </row>
    <row r="1037" spans="21:23" ht="21.75" customHeight="1" x14ac:dyDescent="0.45">
      <c r="U1037"/>
      <c r="V1037"/>
      <c r="W1037"/>
    </row>
    <row r="1038" spans="21:23" ht="21.75" customHeight="1" x14ac:dyDescent="0.45">
      <c r="U1038"/>
      <c r="V1038"/>
      <c r="W1038"/>
    </row>
    <row r="1039" spans="21:23" ht="21.75" customHeight="1" x14ac:dyDescent="0.45">
      <c r="U1039"/>
      <c r="V1039"/>
      <c r="W1039"/>
    </row>
    <row r="1040" spans="21:23" ht="21.75" customHeight="1" x14ac:dyDescent="0.45">
      <c r="U1040"/>
      <c r="V1040"/>
      <c r="W1040"/>
    </row>
    <row r="1041" spans="21:23" ht="21.75" customHeight="1" x14ac:dyDescent="0.45">
      <c r="U1041"/>
      <c r="V1041"/>
      <c r="W1041"/>
    </row>
    <row r="1042" spans="21:23" ht="21.75" customHeight="1" x14ac:dyDescent="0.45">
      <c r="U1042"/>
      <c r="V1042"/>
      <c r="W1042"/>
    </row>
    <row r="1043" spans="21:23" ht="21.75" customHeight="1" x14ac:dyDescent="0.45">
      <c r="U1043"/>
      <c r="V1043"/>
      <c r="W1043"/>
    </row>
    <row r="1044" spans="21:23" ht="21.75" customHeight="1" x14ac:dyDescent="0.45">
      <c r="U1044"/>
      <c r="V1044"/>
      <c r="W1044"/>
    </row>
    <row r="1045" spans="21:23" ht="21.75" customHeight="1" x14ac:dyDescent="0.45">
      <c r="U1045"/>
      <c r="V1045"/>
      <c r="W1045"/>
    </row>
    <row r="1046" spans="21:23" ht="21.75" customHeight="1" x14ac:dyDescent="0.45">
      <c r="U1046"/>
      <c r="V1046"/>
      <c r="W1046"/>
    </row>
    <row r="1047" spans="21:23" ht="21.75" customHeight="1" x14ac:dyDescent="0.45">
      <c r="U1047"/>
      <c r="V1047"/>
      <c r="W1047"/>
    </row>
    <row r="1048" spans="21:23" ht="21.75" customHeight="1" x14ac:dyDescent="0.45">
      <c r="U1048"/>
      <c r="V1048"/>
      <c r="W1048"/>
    </row>
    <row r="1049" spans="21:23" ht="21.75" customHeight="1" x14ac:dyDescent="0.45">
      <c r="U1049"/>
      <c r="V1049"/>
      <c r="W1049"/>
    </row>
    <row r="1050" spans="21:23" ht="21.75" customHeight="1" x14ac:dyDescent="0.45">
      <c r="U1050"/>
      <c r="V1050"/>
      <c r="W1050"/>
    </row>
    <row r="1051" spans="21:23" ht="21.75" customHeight="1" x14ac:dyDescent="0.45">
      <c r="U1051"/>
      <c r="V1051"/>
      <c r="W1051"/>
    </row>
    <row r="1052" spans="21:23" ht="21.75" customHeight="1" x14ac:dyDescent="0.45">
      <c r="U1052"/>
      <c r="V1052"/>
      <c r="W1052"/>
    </row>
    <row r="1053" spans="21:23" ht="21.75" customHeight="1" x14ac:dyDescent="0.45">
      <c r="U1053"/>
      <c r="V1053"/>
      <c r="W1053"/>
    </row>
    <row r="1054" spans="21:23" ht="21.75" customHeight="1" x14ac:dyDescent="0.45">
      <c r="U1054"/>
      <c r="V1054"/>
      <c r="W1054"/>
    </row>
    <row r="1055" spans="21:23" ht="21.75" customHeight="1" x14ac:dyDescent="0.45">
      <c r="U1055"/>
      <c r="V1055"/>
      <c r="W1055"/>
    </row>
    <row r="1056" spans="21:23" ht="21.75" customHeight="1" x14ac:dyDescent="0.45">
      <c r="U1056"/>
      <c r="V1056"/>
      <c r="W1056"/>
    </row>
    <row r="1057" spans="21:23" ht="21.75" customHeight="1" x14ac:dyDescent="0.45">
      <c r="U1057"/>
      <c r="V1057"/>
      <c r="W1057"/>
    </row>
    <row r="1058" spans="21:23" ht="21.75" customHeight="1" x14ac:dyDescent="0.45">
      <c r="U1058"/>
      <c r="V1058"/>
      <c r="W1058"/>
    </row>
    <row r="1059" spans="21:23" ht="21.75" customHeight="1" x14ac:dyDescent="0.45">
      <c r="U1059"/>
      <c r="V1059"/>
      <c r="W1059"/>
    </row>
    <row r="1060" spans="21:23" ht="21.75" customHeight="1" x14ac:dyDescent="0.45">
      <c r="U1060"/>
      <c r="V1060"/>
      <c r="W1060"/>
    </row>
    <row r="1061" spans="21:23" ht="21.75" customHeight="1" x14ac:dyDescent="0.45">
      <c r="U1061"/>
      <c r="V1061"/>
      <c r="W1061"/>
    </row>
    <row r="1062" spans="21:23" ht="21.75" customHeight="1" x14ac:dyDescent="0.45">
      <c r="U1062"/>
      <c r="V1062"/>
      <c r="W1062"/>
    </row>
    <row r="1063" spans="21:23" ht="21.75" customHeight="1" x14ac:dyDescent="0.45">
      <c r="U1063"/>
      <c r="V1063"/>
      <c r="W1063"/>
    </row>
    <row r="1064" spans="21:23" ht="21.75" customHeight="1" x14ac:dyDescent="0.45">
      <c r="U1064"/>
      <c r="V1064"/>
      <c r="W1064"/>
    </row>
    <row r="1065" spans="21:23" ht="21.75" customHeight="1" x14ac:dyDescent="0.45">
      <c r="U1065"/>
      <c r="V1065"/>
      <c r="W1065"/>
    </row>
    <row r="1066" spans="21:23" ht="21.75" customHeight="1" x14ac:dyDescent="0.45">
      <c r="U1066"/>
      <c r="V1066"/>
      <c r="W1066"/>
    </row>
    <row r="1067" spans="21:23" ht="21.75" customHeight="1" x14ac:dyDescent="0.45">
      <c r="U1067"/>
      <c r="V1067"/>
      <c r="W1067"/>
    </row>
    <row r="1068" spans="21:23" ht="21.75" customHeight="1" x14ac:dyDescent="0.45">
      <c r="U1068"/>
      <c r="V1068"/>
      <c r="W1068"/>
    </row>
    <row r="1069" spans="21:23" ht="21.75" customHeight="1" x14ac:dyDescent="0.45">
      <c r="U1069"/>
      <c r="V1069"/>
      <c r="W1069"/>
    </row>
    <row r="1070" spans="21:23" ht="21.75" customHeight="1" x14ac:dyDescent="0.45">
      <c r="U1070"/>
      <c r="V1070"/>
      <c r="W1070"/>
    </row>
    <row r="1071" spans="21:23" ht="21.75" customHeight="1" x14ac:dyDescent="0.45">
      <c r="U1071"/>
      <c r="V1071"/>
      <c r="W1071"/>
    </row>
    <row r="1072" spans="21:23" ht="21.75" customHeight="1" x14ac:dyDescent="0.45">
      <c r="U1072"/>
      <c r="V1072"/>
      <c r="W1072"/>
    </row>
    <row r="1073" spans="21:23" ht="21.75" customHeight="1" x14ac:dyDescent="0.45">
      <c r="U1073"/>
      <c r="V1073"/>
      <c r="W1073"/>
    </row>
    <row r="1074" spans="21:23" ht="21.75" customHeight="1" x14ac:dyDescent="0.45">
      <c r="U1074"/>
      <c r="V1074"/>
      <c r="W1074"/>
    </row>
    <row r="1075" spans="21:23" ht="21.75" customHeight="1" x14ac:dyDescent="0.45">
      <c r="U1075"/>
      <c r="V1075"/>
      <c r="W1075"/>
    </row>
    <row r="1076" spans="21:23" ht="21.75" customHeight="1" x14ac:dyDescent="0.45">
      <c r="U1076"/>
      <c r="V1076"/>
      <c r="W1076"/>
    </row>
    <row r="1077" spans="21:23" ht="21.75" customHeight="1" x14ac:dyDescent="0.45">
      <c r="U1077"/>
      <c r="V1077"/>
      <c r="W1077"/>
    </row>
    <row r="1078" spans="21:23" ht="21.75" customHeight="1" x14ac:dyDescent="0.45">
      <c r="U1078"/>
      <c r="V1078"/>
      <c r="W1078"/>
    </row>
    <row r="1079" spans="21:23" ht="21.75" customHeight="1" x14ac:dyDescent="0.45">
      <c r="U1079"/>
      <c r="V1079"/>
      <c r="W1079"/>
    </row>
    <row r="1080" spans="21:23" ht="21.75" customHeight="1" x14ac:dyDescent="0.45">
      <c r="U1080"/>
      <c r="V1080"/>
      <c r="W1080"/>
    </row>
    <row r="1081" spans="21:23" ht="21.75" customHeight="1" x14ac:dyDescent="0.45">
      <c r="U1081"/>
      <c r="V1081"/>
      <c r="W1081"/>
    </row>
    <row r="1082" spans="21:23" ht="21.75" customHeight="1" x14ac:dyDescent="0.45">
      <c r="U1082"/>
      <c r="V1082"/>
      <c r="W1082"/>
    </row>
    <row r="1083" spans="21:23" ht="21.75" customHeight="1" x14ac:dyDescent="0.45">
      <c r="U1083"/>
      <c r="V1083"/>
      <c r="W1083"/>
    </row>
    <row r="1084" spans="21:23" ht="21.75" customHeight="1" x14ac:dyDescent="0.45">
      <c r="U1084"/>
      <c r="V1084"/>
      <c r="W1084"/>
    </row>
    <row r="1085" spans="21:23" ht="21.75" customHeight="1" x14ac:dyDescent="0.45">
      <c r="U1085"/>
      <c r="V1085"/>
      <c r="W1085"/>
    </row>
    <row r="1086" spans="21:23" ht="21.75" customHeight="1" x14ac:dyDescent="0.45">
      <c r="U1086"/>
      <c r="V1086"/>
      <c r="W1086"/>
    </row>
    <row r="1087" spans="21:23" ht="21.75" customHeight="1" x14ac:dyDescent="0.45">
      <c r="U1087"/>
      <c r="V1087"/>
      <c r="W1087"/>
    </row>
    <row r="1088" spans="21:23" ht="21.75" customHeight="1" x14ac:dyDescent="0.45">
      <c r="U1088"/>
      <c r="V1088"/>
      <c r="W1088"/>
    </row>
    <row r="1089" spans="21:23" ht="21.75" customHeight="1" x14ac:dyDescent="0.45">
      <c r="U1089"/>
      <c r="V1089"/>
      <c r="W1089"/>
    </row>
    <row r="1090" spans="21:23" ht="21.75" customHeight="1" x14ac:dyDescent="0.45">
      <c r="U1090"/>
      <c r="V1090"/>
      <c r="W1090"/>
    </row>
    <row r="1091" spans="21:23" ht="21.75" customHeight="1" x14ac:dyDescent="0.45">
      <c r="U1091"/>
      <c r="V1091"/>
      <c r="W1091"/>
    </row>
    <row r="1092" spans="21:23" ht="21.75" customHeight="1" x14ac:dyDescent="0.45">
      <c r="U1092"/>
      <c r="V1092"/>
      <c r="W1092"/>
    </row>
    <row r="1093" spans="21:23" ht="21.75" customHeight="1" x14ac:dyDescent="0.45">
      <c r="U1093"/>
      <c r="V1093"/>
      <c r="W1093"/>
    </row>
    <row r="1094" spans="21:23" ht="21.75" customHeight="1" x14ac:dyDescent="0.45">
      <c r="U1094"/>
      <c r="V1094"/>
      <c r="W1094"/>
    </row>
    <row r="1095" spans="21:23" ht="21.75" customHeight="1" x14ac:dyDescent="0.45">
      <c r="U1095"/>
      <c r="V1095"/>
      <c r="W1095"/>
    </row>
    <row r="1096" spans="21:23" ht="21.75" customHeight="1" x14ac:dyDescent="0.45">
      <c r="U1096"/>
      <c r="V1096"/>
      <c r="W1096"/>
    </row>
    <row r="1097" spans="21:23" ht="21.75" customHeight="1" x14ac:dyDescent="0.45">
      <c r="U1097"/>
      <c r="V1097"/>
      <c r="W1097"/>
    </row>
    <row r="1098" spans="21:23" ht="21.75" customHeight="1" x14ac:dyDescent="0.45">
      <c r="U1098"/>
      <c r="V1098"/>
      <c r="W1098"/>
    </row>
    <row r="1099" spans="21:23" ht="21.75" customHeight="1" x14ac:dyDescent="0.45">
      <c r="U1099"/>
      <c r="V1099"/>
      <c r="W1099"/>
    </row>
    <row r="1100" spans="21:23" ht="21.75" customHeight="1" x14ac:dyDescent="0.45">
      <c r="U1100"/>
      <c r="V1100"/>
      <c r="W1100"/>
    </row>
    <row r="1101" spans="21:23" ht="21.75" customHeight="1" x14ac:dyDescent="0.45">
      <c r="U1101"/>
      <c r="V1101"/>
      <c r="W1101"/>
    </row>
    <row r="1102" spans="21:23" ht="21.75" customHeight="1" x14ac:dyDescent="0.45">
      <c r="U1102"/>
      <c r="V1102"/>
      <c r="W1102"/>
    </row>
    <row r="1103" spans="21:23" ht="21.75" customHeight="1" x14ac:dyDescent="0.45">
      <c r="U1103"/>
      <c r="V1103"/>
      <c r="W1103"/>
    </row>
    <row r="1104" spans="21:23" ht="21.75" customHeight="1" x14ac:dyDescent="0.45">
      <c r="U1104"/>
      <c r="V1104"/>
      <c r="W1104"/>
    </row>
    <row r="1105" spans="21:23" ht="21.75" customHeight="1" x14ac:dyDescent="0.45">
      <c r="U1105"/>
      <c r="V1105"/>
      <c r="W1105"/>
    </row>
    <row r="1106" spans="21:23" ht="21.75" customHeight="1" x14ac:dyDescent="0.45">
      <c r="U1106"/>
      <c r="V1106"/>
      <c r="W1106"/>
    </row>
    <row r="1107" spans="21:23" ht="21.75" customHeight="1" x14ac:dyDescent="0.45">
      <c r="U1107"/>
      <c r="V1107"/>
      <c r="W1107"/>
    </row>
    <row r="1108" spans="21:23" ht="21.75" customHeight="1" x14ac:dyDescent="0.45">
      <c r="U1108"/>
      <c r="V1108"/>
      <c r="W1108"/>
    </row>
    <row r="1109" spans="21:23" ht="21.75" customHeight="1" x14ac:dyDescent="0.45">
      <c r="U1109"/>
      <c r="V1109"/>
      <c r="W1109"/>
    </row>
    <row r="1110" spans="21:23" ht="21.75" customHeight="1" x14ac:dyDescent="0.45">
      <c r="U1110"/>
      <c r="V1110"/>
      <c r="W1110"/>
    </row>
    <row r="1111" spans="21:23" ht="21.75" customHeight="1" x14ac:dyDescent="0.45">
      <c r="U1111"/>
      <c r="V1111"/>
      <c r="W1111"/>
    </row>
    <row r="1112" spans="21:23" ht="21.75" customHeight="1" x14ac:dyDescent="0.45">
      <c r="U1112"/>
      <c r="V1112"/>
      <c r="W1112"/>
    </row>
    <row r="1113" spans="21:23" ht="21.75" customHeight="1" x14ac:dyDescent="0.45">
      <c r="U1113"/>
      <c r="V1113"/>
      <c r="W1113"/>
    </row>
    <row r="1114" spans="21:23" ht="21.75" customHeight="1" x14ac:dyDescent="0.45">
      <c r="U1114"/>
      <c r="V1114"/>
      <c r="W1114"/>
    </row>
    <row r="1115" spans="21:23" ht="21.75" customHeight="1" x14ac:dyDescent="0.45">
      <c r="U1115"/>
      <c r="V1115"/>
      <c r="W1115"/>
    </row>
    <row r="1116" spans="21:23" ht="21.75" customHeight="1" x14ac:dyDescent="0.45">
      <c r="U1116"/>
      <c r="V1116"/>
      <c r="W1116"/>
    </row>
    <row r="1117" spans="21:23" ht="21.75" customHeight="1" x14ac:dyDescent="0.45">
      <c r="U1117"/>
      <c r="V1117"/>
      <c r="W1117"/>
    </row>
    <row r="1118" spans="21:23" ht="21.75" customHeight="1" x14ac:dyDescent="0.45">
      <c r="U1118"/>
      <c r="V1118"/>
      <c r="W1118"/>
    </row>
    <row r="1119" spans="21:23" ht="21.75" customHeight="1" x14ac:dyDescent="0.45">
      <c r="U1119"/>
      <c r="V1119"/>
      <c r="W1119"/>
    </row>
    <row r="1120" spans="21:23" ht="21.75" customHeight="1" x14ac:dyDescent="0.45">
      <c r="U1120"/>
      <c r="V1120"/>
      <c r="W1120"/>
    </row>
    <row r="1121" spans="21:23" ht="21.75" customHeight="1" x14ac:dyDescent="0.45">
      <c r="U1121"/>
      <c r="V1121"/>
      <c r="W1121"/>
    </row>
    <row r="1122" spans="21:23" ht="21.75" customHeight="1" x14ac:dyDescent="0.45">
      <c r="U1122"/>
      <c r="V1122"/>
      <c r="W1122"/>
    </row>
    <row r="1123" spans="21:23" ht="21.75" customHeight="1" x14ac:dyDescent="0.45">
      <c r="U1123"/>
      <c r="V1123"/>
      <c r="W1123"/>
    </row>
    <row r="1124" spans="21:23" ht="21.75" customHeight="1" x14ac:dyDescent="0.45">
      <c r="U1124"/>
      <c r="V1124"/>
      <c r="W1124"/>
    </row>
    <row r="1125" spans="21:23" ht="21.75" customHeight="1" x14ac:dyDescent="0.45">
      <c r="U1125"/>
      <c r="V1125"/>
      <c r="W1125"/>
    </row>
    <row r="1126" spans="21:23" ht="21.75" customHeight="1" x14ac:dyDescent="0.45">
      <c r="U1126"/>
      <c r="V1126"/>
      <c r="W1126"/>
    </row>
    <row r="1127" spans="21:23" ht="21.75" customHeight="1" x14ac:dyDescent="0.45">
      <c r="U1127"/>
      <c r="V1127"/>
      <c r="W1127"/>
    </row>
    <row r="1128" spans="21:23" ht="21.75" customHeight="1" x14ac:dyDescent="0.45">
      <c r="U1128"/>
      <c r="V1128"/>
      <c r="W1128"/>
    </row>
    <row r="1129" spans="21:23" ht="21.75" customHeight="1" x14ac:dyDescent="0.45">
      <c r="U1129"/>
      <c r="V1129"/>
      <c r="W1129"/>
    </row>
    <row r="1130" spans="21:23" ht="21.75" customHeight="1" x14ac:dyDescent="0.45">
      <c r="U1130"/>
      <c r="V1130"/>
      <c r="W1130"/>
    </row>
    <row r="1131" spans="21:23" ht="21.75" customHeight="1" x14ac:dyDescent="0.45">
      <c r="U1131"/>
      <c r="V1131"/>
      <c r="W1131"/>
    </row>
    <row r="1132" spans="21:23" ht="21.75" customHeight="1" x14ac:dyDescent="0.45">
      <c r="U1132"/>
      <c r="V1132"/>
      <c r="W1132"/>
    </row>
    <row r="1133" spans="21:23" ht="21.75" customHeight="1" x14ac:dyDescent="0.45">
      <c r="U1133"/>
      <c r="V1133"/>
      <c r="W1133"/>
    </row>
    <row r="1134" spans="21:23" ht="21.75" customHeight="1" x14ac:dyDescent="0.45">
      <c r="U1134"/>
      <c r="V1134"/>
      <c r="W1134"/>
    </row>
    <row r="1135" spans="21:23" ht="21.75" customHeight="1" x14ac:dyDescent="0.45">
      <c r="U1135"/>
      <c r="V1135"/>
      <c r="W1135"/>
    </row>
    <row r="1136" spans="21:23" ht="21.75" customHeight="1" x14ac:dyDescent="0.45">
      <c r="U1136"/>
      <c r="V1136"/>
      <c r="W1136"/>
    </row>
    <row r="1137" spans="21:23" ht="21.75" customHeight="1" x14ac:dyDescent="0.45">
      <c r="U1137"/>
      <c r="V1137"/>
      <c r="W1137"/>
    </row>
    <row r="1138" spans="21:23" ht="21.75" customHeight="1" x14ac:dyDescent="0.45">
      <c r="U1138"/>
      <c r="V1138"/>
      <c r="W1138"/>
    </row>
    <row r="1139" spans="21:23" ht="21.75" customHeight="1" x14ac:dyDescent="0.45">
      <c r="U1139"/>
      <c r="V1139"/>
      <c r="W1139"/>
    </row>
    <row r="1140" spans="21:23" ht="21.75" customHeight="1" x14ac:dyDescent="0.45">
      <c r="U1140"/>
      <c r="V1140"/>
      <c r="W1140"/>
    </row>
    <row r="1141" spans="21:23" ht="21.75" customHeight="1" x14ac:dyDescent="0.45">
      <c r="U1141"/>
      <c r="V1141"/>
      <c r="W1141"/>
    </row>
    <row r="1142" spans="21:23" ht="21.75" customHeight="1" x14ac:dyDescent="0.45">
      <c r="U1142"/>
      <c r="V1142"/>
      <c r="W1142"/>
    </row>
    <row r="1143" spans="21:23" ht="21.75" customHeight="1" x14ac:dyDescent="0.45">
      <c r="U1143"/>
      <c r="V1143"/>
      <c r="W1143"/>
    </row>
    <row r="1144" spans="21:23" ht="21.75" customHeight="1" x14ac:dyDescent="0.45">
      <c r="U1144"/>
      <c r="V1144"/>
      <c r="W1144"/>
    </row>
    <row r="1145" spans="21:23" ht="21.75" customHeight="1" x14ac:dyDescent="0.45">
      <c r="U1145"/>
      <c r="V1145"/>
      <c r="W1145"/>
    </row>
    <row r="1146" spans="21:23" ht="21.75" customHeight="1" x14ac:dyDescent="0.45">
      <c r="U1146"/>
      <c r="V1146"/>
      <c r="W1146"/>
    </row>
    <row r="1147" spans="21:23" ht="21.75" customHeight="1" x14ac:dyDescent="0.45">
      <c r="U1147"/>
      <c r="V1147"/>
      <c r="W1147"/>
    </row>
    <row r="1148" spans="21:23" ht="21.75" customHeight="1" x14ac:dyDescent="0.45">
      <c r="U1148"/>
      <c r="V1148"/>
      <c r="W1148"/>
    </row>
    <row r="1149" spans="21:23" ht="21.75" customHeight="1" x14ac:dyDescent="0.45">
      <c r="U1149"/>
      <c r="V1149"/>
      <c r="W1149"/>
    </row>
    <row r="1150" spans="21:23" ht="21.75" customHeight="1" x14ac:dyDescent="0.45">
      <c r="U1150"/>
      <c r="V1150"/>
      <c r="W1150"/>
    </row>
    <row r="1151" spans="21:23" ht="21.75" customHeight="1" x14ac:dyDescent="0.45">
      <c r="U1151"/>
      <c r="V1151"/>
      <c r="W1151"/>
    </row>
    <row r="1152" spans="21:23" ht="21.75" customHeight="1" x14ac:dyDescent="0.45">
      <c r="U1152"/>
      <c r="V1152"/>
      <c r="W1152"/>
    </row>
    <row r="1153" spans="21:23" ht="21.75" customHeight="1" x14ac:dyDescent="0.45">
      <c r="U1153"/>
      <c r="V1153"/>
      <c r="W1153"/>
    </row>
    <row r="1154" spans="21:23" ht="21.75" customHeight="1" x14ac:dyDescent="0.45">
      <c r="U1154"/>
      <c r="V1154"/>
      <c r="W1154"/>
    </row>
    <row r="1155" spans="21:23" ht="21.75" customHeight="1" x14ac:dyDescent="0.45">
      <c r="U1155"/>
      <c r="V1155"/>
      <c r="W1155"/>
    </row>
    <row r="1156" spans="21:23" ht="21.75" customHeight="1" x14ac:dyDescent="0.45">
      <c r="U1156"/>
      <c r="V1156"/>
      <c r="W1156"/>
    </row>
    <row r="1157" spans="21:23" ht="21.75" customHeight="1" x14ac:dyDescent="0.45">
      <c r="U1157"/>
      <c r="V1157"/>
      <c r="W1157"/>
    </row>
    <row r="1158" spans="21:23" ht="21.75" customHeight="1" x14ac:dyDescent="0.45">
      <c r="U1158"/>
      <c r="V1158"/>
      <c r="W1158"/>
    </row>
    <row r="1159" spans="21:23" ht="21.75" customHeight="1" x14ac:dyDescent="0.45">
      <c r="U1159"/>
      <c r="V1159"/>
      <c r="W1159"/>
    </row>
    <row r="1160" spans="21:23" ht="21.75" customHeight="1" x14ac:dyDescent="0.45">
      <c r="U1160"/>
      <c r="V1160"/>
      <c r="W1160"/>
    </row>
    <row r="1161" spans="21:23" ht="21.75" customHeight="1" x14ac:dyDescent="0.45">
      <c r="U1161"/>
      <c r="V1161"/>
      <c r="W1161"/>
    </row>
    <row r="1162" spans="21:23" ht="21.75" customHeight="1" x14ac:dyDescent="0.45">
      <c r="U1162"/>
      <c r="V1162"/>
      <c r="W1162"/>
    </row>
    <row r="1163" spans="21:23" ht="21.75" customHeight="1" x14ac:dyDescent="0.45">
      <c r="U1163"/>
      <c r="V1163"/>
      <c r="W1163"/>
    </row>
    <row r="1164" spans="21:23" ht="21.75" customHeight="1" x14ac:dyDescent="0.45">
      <c r="U1164"/>
      <c r="V1164"/>
      <c r="W1164"/>
    </row>
    <row r="1165" spans="21:23" ht="21.75" customHeight="1" x14ac:dyDescent="0.45">
      <c r="U1165"/>
      <c r="V1165"/>
      <c r="W1165"/>
    </row>
    <row r="1166" spans="21:23" ht="21.75" customHeight="1" x14ac:dyDescent="0.45">
      <c r="U1166"/>
      <c r="V1166"/>
      <c r="W1166"/>
    </row>
    <row r="1167" spans="21:23" ht="21.75" customHeight="1" x14ac:dyDescent="0.45">
      <c r="U1167"/>
      <c r="V1167"/>
      <c r="W1167"/>
    </row>
    <row r="1168" spans="21:23" ht="21.75" customHeight="1" x14ac:dyDescent="0.45">
      <c r="U1168"/>
      <c r="V1168"/>
      <c r="W1168"/>
    </row>
    <row r="1169" spans="21:23" ht="21.75" customHeight="1" x14ac:dyDescent="0.45">
      <c r="U1169"/>
      <c r="V1169"/>
      <c r="W1169"/>
    </row>
    <row r="1170" spans="21:23" ht="21.75" customHeight="1" x14ac:dyDescent="0.45">
      <c r="U1170"/>
      <c r="V1170"/>
      <c r="W1170"/>
    </row>
    <row r="1171" spans="21:23" ht="21.75" customHeight="1" x14ac:dyDescent="0.45">
      <c r="U1171"/>
      <c r="V1171"/>
      <c r="W1171"/>
    </row>
    <row r="1172" spans="21:23" ht="21.75" customHeight="1" x14ac:dyDescent="0.45">
      <c r="U1172"/>
      <c r="V1172"/>
      <c r="W1172"/>
    </row>
    <row r="1173" spans="21:23" ht="21.75" customHeight="1" x14ac:dyDescent="0.45">
      <c r="U1173"/>
      <c r="V1173"/>
      <c r="W1173"/>
    </row>
    <row r="1174" spans="21:23" ht="21.75" customHeight="1" x14ac:dyDescent="0.45">
      <c r="U1174"/>
      <c r="V1174"/>
      <c r="W1174"/>
    </row>
    <row r="1175" spans="21:23" ht="21.75" customHeight="1" x14ac:dyDescent="0.45">
      <c r="U1175"/>
      <c r="V1175"/>
      <c r="W1175"/>
    </row>
    <row r="1176" spans="21:23" ht="21.75" customHeight="1" x14ac:dyDescent="0.45">
      <c r="U1176"/>
      <c r="V1176"/>
      <c r="W1176"/>
    </row>
    <row r="1177" spans="21:23" ht="21.75" customHeight="1" x14ac:dyDescent="0.45">
      <c r="U1177"/>
      <c r="V1177"/>
      <c r="W1177"/>
    </row>
    <row r="1178" spans="21:23" ht="21.75" customHeight="1" x14ac:dyDescent="0.45">
      <c r="U1178"/>
      <c r="V1178"/>
      <c r="W1178"/>
    </row>
    <row r="1179" spans="21:23" ht="21.75" customHeight="1" x14ac:dyDescent="0.45">
      <c r="U1179"/>
      <c r="V1179"/>
      <c r="W1179"/>
    </row>
    <row r="1180" spans="21:23" ht="21.75" customHeight="1" x14ac:dyDescent="0.45">
      <c r="U1180"/>
      <c r="V1180"/>
      <c r="W1180"/>
    </row>
    <row r="1181" spans="21:23" ht="21.75" customHeight="1" x14ac:dyDescent="0.45">
      <c r="U1181"/>
      <c r="V1181"/>
      <c r="W1181"/>
    </row>
    <row r="1182" spans="21:23" ht="21.75" customHeight="1" x14ac:dyDescent="0.45">
      <c r="U1182"/>
      <c r="V1182"/>
      <c r="W1182"/>
    </row>
    <row r="1183" spans="21:23" ht="21.75" customHeight="1" x14ac:dyDescent="0.45">
      <c r="U1183"/>
      <c r="V1183"/>
      <c r="W1183"/>
    </row>
    <row r="1184" spans="21:23" ht="21.75" customHeight="1" x14ac:dyDescent="0.45">
      <c r="U1184"/>
      <c r="V1184"/>
      <c r="W1184"/>
    </row>
    <row r="1185" spans="21:23" ht="21.75" customHeight="1" x14ac:dyDescent="0.45">
      <c r="U1185"/>
      <c r="V1185"/>
      <c r="W1185"/>
    </row>
    <row r="1186" spans="21:23" ht="21.75" customHeight="1" x14ac:dyDescent="0.45">
      <c r="U1186"/>
      <c r="V1186"/>
      <c r="W1186"/>
    </row>
    <row r="1187" spans="21:23" ht="21.75" customHeight="1" x14ac:dyDescent="0.45">
      <c r="U1187"/>
      <c r="V1187"/>
      <c r="W1187"/>
    </row>
    <row r="1188" spans="21:23" ht="21.75" customHeight="1" x14ac:dyDescent="0.45">
      <c r="U1188"/>
      <c r="V1188"/>
      <c r="W1188"/>
    </row>
    <row r="1189" spans="21:23" ht="21.75" customHeight="1" x14ac:dyDescent="0.45">
      <c r="U1189"/>
      <c r="V1189"/>
      <c r="W1189"/>
    </row>
    <row r="1190" spans="21:23" ht="21.75" customHeight="1" x14ac:dyDescent="0.45">
      <c r="U1190"/>
      <c r="V1190"/>
      <c r="W1190"/>
    </row>
    <row r="1191" spans="21:23" ht="21.75" customHeight="1" x14ac:dyDescent="0.45">
      <c r="U1191"/>
      <c r="V1191"/>
      <c r="W1191"/>
    </row>
    <row r="1192" spans="21:23" ht="21.75" customHeight="1" x14ac:dyDescent="0.45">
      <c r="U1192"/>
      <c r="V1192"/>
      <c r="W1192"/>
    </row>
    <row r="1193" spans="21:23" ht="21.75" customHeight="1" x14ac:dyDescent="0.45">
      <c r="U1193"/>
      <c r="V1193"/>
      <c r="W1193"/>
    </row>
    <row r="1194" spans="21:23" ht="21.75" customHeight="1" x14ac:dyDescent="0.45">
      <c r="U1194"/>
      <c r="V1194"/>
      <c r="W1194"/>
    </row>
    <row r="1195" spans="21:23" ht="21.75" customHeight="1" x14ac:dyDescent="0.45">
      <c r="U1195"/>
      <c r="V1195"/>
      <c r="W1195"/>
    </row>
    <row r="1196" spans="21:23" ht="21.75" customHeight="1" x14ac:dyDescent="0.45">
      <c r="U1196"/>
      <c r="V1196"/>
      <c r="W1196"/>
    </row>
    <row r="1197" spans="21:23" ht="21.75" customHeight="1" x14ac:dyDescent="0.45">
      <c r="U1197"/>
      <c r="V1197"/>
      <c r="W1197"/>
    </row>
    <row r="1198" spans="21:23" ht="21.75" customHeight="1" x14ac:dyDescent="0.45">
      <c r="U1198"/>
      <c r="V1198"/>
      <c r="W1198"/>
    </row>
    <row r="1199" spans="21:23" ht="21.75" customHeight="1" x14ac:dyDescent="0.45">
      <c r="U1199"/>
      <c r="V1199"/>
      <c r="W1199"/>
    </row>
    <row r="1200" spans="21:23" ht="21.75" customHeight="1" x14ac:dyDescent="0.45">
      <c r="U1200"/>
      <c r="V1200"/>
      <c r="W1200"/>
    </row>
    <row r="1201" spans="21:23" ht="21.75" customHeight="1" x14ac:dyDescent="0.45">
      <c r="U1201"/>
      <c r="V1201"/>
      <c r="W1201"/>
    </row>
    <row r="1202" spans="21:23" ht="21.75" customHeight="1" x14ac:dyDescent="0.45">
      <c r="U1202"/>
      <c r="V1202"/>
      <c r="W1202"/>
    </row>
    <row r="1203" spans="21:23" ht="21.75" customHeight="1" x14ac:dyDescent="0.45">
      <c r="U1203"/>
      <c r="V1203"/>
      <c r="W1203"/>
    </row>
    <row r="1204" spans="21:23" ht="21.75" customHeight="1" x14ac:dyDescent="0.45">
      <c r="U1204"/>
      <c r="V1204"/>
      <c r="W1204"/>
    </row>
    <row r="1205" spans="21:23" ht="21.75" customHeight="1" x14ac:dyDescent="0.45">
      <c r="U1205"/>
      <c r="V1205"/>
      <c r="W1205"/>
    </row>
    <row r="1206" spans="21:23" ht="21.75" customHeight="1" x14ac:dyDescent="0.45">
      <c r="U1206"/>
      <c r="V1206"/>
      <c r="W1206"/>
    </row>
    <row r="1207" spans="21:23" ht="21.75" customHeight="1" x14ac:dyDescent="0.45">
      <c r="U1207"/>
      <c r="V1207"/>
      <c r="W1207"/>
    </row>
    <row r="1208" spans="21:23" ht="21.75" customHeight="1" x14ac:dyDescent="0.45">
      <c r="U1208"/>
      <c r="V1208"/>
      <c r="W1208"/>
    </row>
    <row r="1209" spans="21:23" ht="21.75" customHeight="1" x14ac:dyDescent="0.45">
      <c r="U1209"/>
      <c r="V1209"/>
      <c r="W1209"/>
    </row>
    <row r="1210" spans="21:23" ht="21.75" customHeight="1" x14ac:dyDescent="0.45">
      <c r="U1210"/>
      <c r="V1210"/>
      <c r="W1210"/>
    </row>
    <row r="1211" spans="21:23" ht="21.75" customHeight="1" x14ac:dyDescent="0.45">
      <c r="U1211"/>
      <c r="V1211"/>
      <c r="W1211"/>
    </row>
    <row r="1212" spans="21:23" ht="21.75" customHeight="1" x14ac:dyDescent="0.45">
      <c r="U1212"/>
      <c r="V1212"/>
      <c r="W1212"/>
    </row>
    <row r="1213" spans="21:23" ht="21.75" customHeight="1" x14ac:dyDescent="0.45">
      <c r="U1213"/>
      <c r="V1213"/>
      <c r="W1213"/>
    </row>
    <row r="1214" spans="21:23" ht="21.75" customHeight="1" x14ac:dyDescent="0.45">
      <c r="U1214"/>
      <c r="V1214"/>
      <c r="W1214"/>
    </row>
    <row r="1215" spans="21:23" ht="21.75" customHeight="1" x14ac:dyDescent="0.45">
      <c r="U1215"/>
      <c r="V1215"/>
      <c r="W1215"/>
    </row>
    <row r="1216" spans="21:23" ht="21.75" customHeight="1" x14ac:dyDescent="0.45">
      <c r="U1216"/>
      <c r="V1216"/>
      <c r="W1216"/>
    </row>
    <row r="1217" spans="21:23" ht="21.75" customHeight="1" x14ac:dyDescent="0.45">
      <c r="U1217"/>
      <c r="V1217"/>
      <c r="W1217"/>
    </row>
    <row r="1218" spans="21:23" ht="21.75" customHeight="1" x14ac:dyDescent="0.45">
      <c r="U1218"/>
      <c r="V1218"/>
      <c r="W1218"/>
    </row>
    <row r="1219" spans="21:23" ht="21.75" customHeight="1" x14ac:dyDescent="0.45">
      <c r="U1219"/>
      <c r="V1219"/>
      <c r="W1219"/>
    </row>
    <row r="1220" spans="21:23" ht="21.75" customHeight="1" x14ac:dyDescent="0.45">
      <c r="U1220"/>
      <c r="V1220"/>
      <c r="W1220"/>
    </row>
    <row r="1221" spans="21:23" ht="21.75" customHeight="1" x14ac:dyDescent="0.45">
      <c r="U1221"/>
      <c r="V1221"/>
      <c r="W1221"/>
    </row>
    <row r="1222" spans="21:23" ht="21.75" customHeight="1" x14ac:dyDescent="0.45">
      <c r="U1222"/>
      <c r="V1222"/>
      <c r="W1222"/>
    </row>
    <row r="1223" spans="21:23" ht="21.75" customHeight="1" x14ac:dyDescent="0.45">
      <c r="U1223"/>
      <c r="V1223"/>
      <c r="W1223"/>
    </row>
    <row r="1224" spans="21:23" ht="21.75" customHeight="1" x14ac:dyDescent="0.45">
      <c r="U1224"/>
      <c r="V1224"/>
      <c r="W1224"/>
    </row>
    <row r="1225" spans="21:23" ht="21.75" customHeight="1" x14ac:dyDescent="0.45">
      <c r="U1225"/>
      <c r="V1225"/>
      <c r="W1225"/>
    </row>
    <row r="1226" spans="21:23" ht="21.75" customHeight="1" x14ac:dyDescent="0.45">
      <c r="U1226"/>
      <c r="V1226"/>
      <c r="W1226"/>
    </row>
    <row r="1227" spans="21:23" ht="21.75" customHeight="1" x14ac:dyDescent="0.45">
      <c r="U1227"/>
      <c r="V1227"/>
      <c r="W1227"/>
    </row>
    <row r="1228" spans="21:23" ht="21.75" customHeight="1" x14ac:dyDescent="0.45">
      <c r="U1228"/>
      <c r="V1228"/>
      <c r="W1228"/>
    </row>
    <row r="1229" spans="21:23" ht="21.75" customHeight="1" x14ac:dyDescent="0.45">
      <c r="U1229"/>
      <c r="V1229"/>
      <c r="W1229"/>
    </row>
    <row r="1230" spans="21:23" ht="21.75" customHeight="1" x14ac:dyDescent="0.45">
      <c r="U1230"/>
      <c r="V1230"/>
      <c r="W1230"/>
    </row>
    <row r="1231" spans="21:23" ht="21.75" customHeight="1" x14ac:dyDescent="0.45">
      <c r="U1231"/>
      <c r="V1231"/>
      <c r="W1231"/>
    </row>
    <row r="1232" spans="21:23" ht="21.75" customHeight="1" x14ac:dyDescent="0.45">
      <c r="U1232"/>
      <c r="V1232"/>
      <c r="W1232"/>
    </row>
    <row r="1233" spans="21:23" ht="21.75" customHeight="1" x14ac:dyDescent="0.45">
      <c r="U1233"/>
      <c r="V1233"/>
      <c r="W1233"/>
    </row>
    <row r="1234" spans="21:23" ht="21.75" customHeight="1" x14ac:dyDescent="0.45">
      <c r="U1234"/>
      <c r="V1234"/>
      <c r="W1234"/>
    </row>
    <row r="1235" spans="21:23" ht="21.75" customHeight="1" x14ac:dyDescent="0.45">
      <c r="U1235"/>
      <c r="V1235"/>
      <c r="W1235"/>
    </row>
    <row r="1236" spans="21:23" ht="21.75" customHeight="1" x14ac:dyDescent="0.45">
      <c r="U1236"/>
      <c r="V1236"/>
      <c r="W1236"/>
    </row>
    <row r="1237" spans="21:23" ht="21.75" customHeight="1" x14ac:dyDescent="0.45">
      <c r="U1237"/>
      <c r="V1237"/>
      <c r="W1237"/>
    </row>
    <row r="1238" spans="21:23" ht="21.75" customHeight="1" x14ac:dyDescent="0.45">
      <c r="U1238"/>
      <c r="V1238"/>
      <c r="W1238"/>
    </row>
    <row r="1239" spans="21:23" ht="21.75" customHeight="1" x14ac:dyDescent="0.45">
      <c r="U1239"/>
      <c r="V1239"/>
      <c r="W1239"/>
    </row>
    <row r="1240" spans="21:23" ht="21.75" customHeight="1" x14ac:dyDescent="0.45">
      <c r="U1240"/>
      <c r="V1240"/>
      <c r="W1240"/>
    </row>
    <row r="1241" spans="21:23" ht="21.75" customHeight="1" x14ac:dyDescent="0.45">
      <c r="U1241"/>
      <c r="V1241"/>
      <c r="W1241"/>
    </row>
    <row r="1242" spans="21:23" ht="21.75" customHeight="1" x14ac:dyDescent="0.45">
      <c r="U1242"/>
      <c r="V1242"/>
      <c r="W1242"/>
    </row>
    <row r="1243" spans="21:23" ht="21.75" customHeight="1" x14ac:dyDescent="0.45">
      <c r="U1243"/>
      <c r="V1243"/>
      <c r="W1243"/>
    </row>
    <row r="1244" spans="21:23" ht="21.75" customHeight="1" x14ac:dyDescent="0.45">
      <c r="U1244"/>
      <c r="V1244"/>
      <c r="W1244"/>
    </row>
    <row r="1245" spans="21:23" ht="21.75" customHeight="1" x14ac:dyDescent="0.45">
      <c r="U1245"/>
      <c r="V1245"/>
      <c r="W1245"/>
    </row>
    <row r="1246" spans="21:23" ht="21.75" customHeight="1" x14ac:dyDescent="0.45">
      <c r="U1246"/>
      <c r="V1246"/>
      <c r="W1246"/>
    </row>
    <row r="1247" spans="21:23" ht="21.75" customHeight="1" x14ac:dyDescent="0.45">
      <c r="U1247"/>
      <c r="V1247"/>
      <c r="W1247"/>
    </row>
    <row r="1248" spans="21:23" ht="21.75" customHeight="1" x14ac:dyDescent="0.45">
      <c r="U1248"/>
      <c r="V1248"/>
      <c r="W1248"/>
    </row>
    <row r="1249" spans="21:23" ht="21.75" customHeight="1" x14ac:dyDescent="0.45">
      <c r="U1249"/>
      <c r="V1249"/>
      <c r="W1249"/>
    </row>
    <row r="1250" spans="21:23" ht="21.75" customHeight="1" x14ac:dyDescent="0.45">
      <c r="U1250"/>
      <c r="V1250"/>
      <c r="W1250"/>
    </row>
    <row r="1251" spans="21:23" ht="21.75" customHeight="1" x14ac:dyDescent="0.45">
      <c r="U1251"/>
      <c r="V1251"/>
      <c r="W1251"/>
    </row>
    <row r="1252" spans="21:23" ht="21.75" customHeight="1" x14ac:dyDescent="0.45">
      <c r="U1252"/>
      <c r="V1252"/>
      <c r="W1252"/>
    </row>
    <row r="1253" spans="21:23" ht="21.75" customHeight="1" x14ac:dyDescent="0.45">
      <c r="U1253"/>
      <c r="V1253"/>
      <c r="W1253"/>
    </row>
    <row r="1254" spans="21:23" ht="21.75" customHeight="1" x14ac:dyDescent="0.45">
      <c r="U1254"/>
      <c r="V1254"/>
      <c r="W1254"/>
    </row>
    <row r="1255" spans="21:23" ht="21.75" customHeight="1" x14ac:dyDescent="0.45">
      <c r="U1255"/>
      <c r="V1255"/>
      <c r="W1255"/>
    </row>
    <row r="1256" spans="21:23" ht="21.75" customHeight="1" x14ac:dyDescent="0.45">
      <c r="U1256"/>
      <c r="V1256"/>
      <c r="W1256"/>
    </row>
    <row r="1257" spans="21:23" ht="21.75" customHeight="1" x14ac:dyDescent="0.45">
      <c r="U1257"/>
      <c r="V1257"/>
      <c r="W1257"/>
    </row>
    <row r="1258" spans="21:23" ht="21.75" customHeight="1" x14ac:dyDescent="0.45">
      <c r="U1258"/>
      <c r="V1258"/>
      <c r="W1258"/>
    </row>
    <row r="1259" spans="21:23" ht="21.75" customHeight="1" x14ac:dyDescent="0.45">
      <c r="U1259"/>
      <c r="V1259"/>
      <c r="W1259"/>
    </row>
    <row r="1260" spans="21:23" ht="21.75" customHeight="1" x14ac:dyDescent="0.45">
      <c r="U1260"/>
      <c r="V1260"/>
      <c r="W1260"/>
    </row>
    <row r="1261" spans="21:23" ht="21.75" customHeight="1" x14ac:dyDescent="0.45">
      <c r="U1261"/>
      <c r="V1261"/>
      <c r="W1261"/>
    </row>
    <row r="1262" spans="21:23" ht="21.75" customHeight="1" x14ac:dyDescent="0.45">
      <c r="U1262"/>
      <c r="V1262"/>
      <c r="W1262"/>
    </row>
    <row r="1263" spans="21:23" ht="21.75" customHeight="1" x14ac:dyDescent="0.45">
      <c r="U1263"/>
      <c r="V1263"/>
      <c r="W1263"/>
    </row>
    <row r="1264" spans="21:23" ht="21.75" customHeight="1" x14ac:dyDescent="0.45">
      <c r="U1264"/>
      <c r="V1264"/>
      <c r="W1264"/>
    </row>
    <row r="1265" spans="21:23" ht="21.75" customHeight="1" x14ac:dyDescent="0.45">
      <c r="U1265"/>
      <c r="V1265"/>
      <c r="W1265"/>
    </row>
    <row r="1266" spans="21:23" ht="21.75" customHeight="1" x14ac:dyDescent="0.45">
      <c r="U1266"/>
      <c r="V1266"/>
      <c r="W1266"/>
    </row>
    <row r="1267" spans="21:23" ht="21.75" customHeight="1" x14ac:dyDescent="0.45">
      <c r="U1267"/>
      <c r="V1267"/>
      <c r="W1267"/>
    </row>
    <row r="1268" spans="21:23" ht="21.75" customHeight="1" x14ac:dyDescent="0.45">
      <c r="U1268"/>
      <c r="V1268"/>
      <c r="W1268"/>
    </row>
    <row r="1269" spans="21:23" ht="21.75" customHeight="1" x14ac:dyDescent="0.45">
      <c r="U1269"/>
      <c r="V1269"/>
      <c r="W1269"/>
    </row>
    <row r="1270" spans="21:23" ht="21.75" customHeight="1" x14ac:dyDescent="0.45">
      <c r="U1270"/>
      <c r="V1270"/>
      <c r="W1270"/>
    </row>
    <row r="1271" spans="21:23" ht="21.75" customHeight="1" x14ac:dyDescent="0.45">
      <c r="U1271"/>
      <c r="V1271"/>
      <c r="W1271"/>
    </row>
    <row r="1272" spans="21:23" ht="21.75" customHeight="1" x14ac:dyDescent="0.45">
      <c r="U1272"/>
      <c r="V1272"/>
      <c r="W1272"/>
    </row>
    <row r="1273" spans="21:23" ht="21.75" customHeight="1" x14ac:dyDescent="0.45">
      <c r="U1273"/>
      <c r="V1273"/>
      <c r="W1273"/>
    </row>
    <row r="1274" spans="21:23" ht="21.75" customHeight="1" x14ac:dyDescent="0.45">
      <c r="U1274"/>
      <c r="V1274"/>
      <c r="W1274"/>
    </row>
    <row r="1275" spans="21:23" ht="21.75" customHeight="1" x14ac:dyDescent="0.45">
      <c r="U1275"/>
      <c r="V1275"/>
      <c r="W1275"/>
    </row>
    <row r="1276" spans="21:23" ht="21.75" customHeight="1" x14ac:dyDescent="0.45">
      <c r="U1276"/>
      <c r="V1276"/>
      <c r="W1276"/>
    </row>
    <row r="1277" spans="21:23" ht="21.75" customHeight="1" x14ac:dyDescent="0.45">
      <c r="U1277"/>
      <c r="V1277"/>
      <c r="W1277"/>
    </row>
    <row r="1278" spans="21:23" ht="21.75" customHeight="1" x14ac:dyDescent="0.45">
      <c r="U1278"/>
      <c r="V1278"/>
      <c r="W1278"/>
    </row>
    <row r="1279" spans="21:23" ht="21.75" customHeight="1" x14ac:dyDescent="0.45">
      <c r="U1279"/>
      <c r="V1279"/>
      <c r="W1279"/>
    </row>
    <row r="1280" spans="21:23" ht="21.75" customHeight="1" x14ac:dyDescent="0.45">
      <c r="U1280"/>
      <c r="V1280"/>
      <c r="W1280"/>
    </row>
    <row r="1281" spans="21:23" ht="21.75" customHeight="1" x14ac:dyDescent="0.45">
      <c r="U1281"/>
      <c r="V1281"/>
      <c r="W1281"/>
    </row>
    <row r="1282" spans="21:23" ht="21.75" customHeight="1" x14ac:dyDescent="0.45">
      <c r="U1282"/>
      <c r="V1282"/>
      <c r="W1282"/>
    </row>
    <row r="1283" spans="21:23" ht="21.75" customHeight="1" x14ac:dyDescent="0.45">
      <c r="U1283"/>
      <c r="V1283"/>
      <c r="W1283"/>
    </row>
    <row r="1284" spans="21:23" ht="21.75" customHeight="1" x14ac:dyDescent="0.45">
      <c r="U1284"/>
      <c r="V1284"/>
      <c r="W1284"/>
    </row>
    <row r="1285" spans="21:23" ht="21.75" customHeight="1" x14ac:dyDescent="0.45">
      <c r="U1285"/>
      <c r="V1285"/>
      <c r="W1285"/>
    </row>
    <row r="1286" spans="21:23" ht="21.75" customHeight="1" x14ac:dyDescent="0.45">
      <c r="U1286"/>
      <c r="V1286"/>
      <c r="W1286"/>
    </row>
    <row r="1287" spans="21:23" ht="21.75" customHeight="1" x14ac:dyDescent="0.45">
      <c r="U1287"/>
      <c r="V1287"/>
      <c r="W1287"/>
    </row>
    <row r="1288" spans="21:23" ht="21.75" customHeight="1" x14ac:dyDescent="0.45">
      <c r="U1288"/>
      <c r="V1288"/>
      <c r="W1288"/>
    </row>
    <row r="1289" spans="21:23" ht="21.75" customHeight="1" x14ac:dyDescent="0.45">
      <c r="U1289"/>
      <c r="V1289"/>
      <c r="W1289"/>
    </row>
    <row r="1290" spans="21:23" ht="21.75" customHeight="1" x14ac:dyDescent="0.45">
      <c r="U1290"/>
      <c r="V1290"/>
      <c r="W1290"/>
    </row>
    <row r="1291" spans="21:23" ht="21.75" customHeight="1" x14ac:dyDescent="0.45">
      <c r="U1291"/>
      <c r="V1291"/>
      <c r="W1291"/>
    </row>
    <row r="1292" spans="21:23" ht="21.75" customHeight="1" x14ac:dyDescent="0.45">
      <c r="U1292"/>
      <c r="V1292"/>
      <c r="W1292"/>
    </row>
    <row r="1293" spans="21:23" ht="21.75" customHeight="1" x14ac:dyDescent="0.45">
      <c r="U1293"/>
      <c r="V1293"/>
      <c r="W1293"/>
    </row>
    <row r="1294" spans="21:23" ht="21.75" customHeight="1" x14ac:dyDescent="0.45">
      <c r="U1294"/>
      <c r="V1294"/>
      <c r="W1294"/>
    </row>
    <row r="1295" spans="21:23" ht="21.75" customHeight="1" x14ac:dyDescent="0.45">
      <c r="U1295"/>
      <c r="V1295"/>
      <c r="W1295"/>
    </row>
    <row r="1296" spans="21:23" ht="21.75" customHeight="1" x14ac:dyDescent="0.45">
      <c r="U1296"/>
      <c r="V1296"/>
      <c r="W1296"/>
    </row>
    <row r="1297" spans="21:23" ht="21.75" customHeight="1" x14ac:dyDescent="0.45">
      <c r="U1297"/>
      <c r="V1297"/>
      <c r="W1297"/>
    </row>
    <row r="1298" spans="21:23" ht="21.75" customHeight="1" x14ac:dyDescent="0.45">
      <c r="U1298"/>
      <c r="V1298"/>
      <c r="W1298"/>
    </row>
    <row r="1299" spans="21:23" ht="21.75" customHeight="1" x14ac:dyDescent="0.45">
      <c r="U1299"/>
      <c r="V1299"/>
      <c r="W1299"/>
    </row>
    <row r="1300" spans="21:23" ht="21.75" customHeight="1" x14ac:dyDescent="0.45">
      <c r="U1300"/>
      <c r="V1300"/>
      <c r="W1300"/>
    </row>
    <row r="1301" spans="21:23" ht="21.75" customHeight="1" x14ac:dyDescent="0.45">
      <c r="U1301"/>
      <c r="V1301"/>
      <c r="W1301"/>
    </row>
    <row r="1302" spans="21:23" ht="21.75" customHeight="1" x14ac:dyDescent="0.45">
      <c r="U1302"/>
      <c r="V1302"/>
      <c r="W1302"/>
    </row>
    <row r="1303" spans="21:23" ht="21.75" customHeight="1" x14ac:dyDescent="0.45">
      <c r="U1303"/>
      <c r="V1303"/>
      <c r="W1303"/>
    </row>
    <row r="1304" spans="21:23" ht="21.75" customHeight="1" x14ac:dyDescent="0.45">
      <c r="U1304"/>
      <c r="V1304"/>
      <c r="W1304"/>
    </row>
    <row r="1305" spans="21:23" ht="21.75" customHeight="1" x14ac:dyDescent="0.45">
      <c r="U1305"/>
      <c r="V1305"/>
      <c r="W1305"/>
    </row>
    <row r="1306" spans="21:23" ht="21.75" customHeight="1" x14ac:dyDescent="0.45">
      <c r="U1306"/>
      <c r="V1306"/>
      <c r="W1306"/>
    </row>
    <row r="1307" spans="21:23" ht="21.75" customHeight="1" x14ac:dyDescent="0.45">
      <c r="U1307"/>
      <c r="V1307"/>
      <c r="W1307"/>
    </row>
    <row r="1308" spans="21:23" ht="21.75" customHeight="1" x14ac:dyDescent="0.45">
      <c r="U1308"/>
      <c r="V1308"/>
      <c r="W1308"/>
    </row>
    <row r="1309" spans="21:23" ht="21.75" customHeight="1" x14ac:dyDescent="0.45">
      <c r="U1309"/>
      <c r="V1309"/>
      <c r="W1309"/>
    </row>
    <row r="1310" spans="21:23" ht="21.75" customHeight="1" x14ac:dyDescent="0.45">
      <c r="U1310"/>
      <c r="V1310"/>
      <c r="W1310"/>
    </row>
    <row r="1311" spans="21:23" ht="21.75" customHeight="1" x14ac:dyDescent="0.45">
      <c r="U1311"/>
      <c r="V1311"/>
      <c r="W1311"/>
    </row>
    <row r="1312" spans="21:23" ht="21.75" customHeight="1" x14ac:dyDescent="0.45">
      <c r="U1312"/>
      <c r="V1312"/>
      <c r="W1312"/>
    </row>
    <row r="1313" spans="21:23" ht="21.75" customHeight="1" x14ac:dyDescent="0.45">
      <c r="U1313"/>
      <c r="V1313"/>
      <c r="W1313"/>
    </row>
    <row r="1314" spans="21:23" ht="21.75" customHeight="1" x14ac:dyDescent="0.45">
      <c r="U1314"/>
      <c r="V1314"/>
      <c r="W1314"/>
    </row>
    <row r="1315" spans="21:23" ht="21.75" customHeight="1" x14ac:dyDescent="0.45">
      <c r="U1315"/>
      <c r="V1315"/>
      <c r="W1315"/>
    </row>
    <row r="1316" spans="21:23" ht="21.75" customHeight="1" x14ac:dyDescent="0.45">
      <c r="U1316"/>
      <c r="V1316"/>
      <c r="W1316"/>
    </row>
    <row r="1317" spans="21:23" ht="21.75" customHeight="1" x14ac:dyDescent="0.45">
      <c r="U1317"/>
      <c r="V1317"/>
      <c r="W1317"/>
    </row>
    <row r="1318" spans="21:23" ht="21.75" customHeight="1" x14ac:dyDescent="0.45">
      <c r="U1318"/>
      <c r="V1318"/>
      <c r="W1318"/>
    </row>
    <row r="1319" spans="21:23" ht="21.75" customHeight="1" x14ac:dyDescent="0.45">
      <c r="U1319"/>
      <c r="V1319"/>
      <c r="W1319"/>
    </row>
    <row r="1320" spans="21:23" ht="21.75" customHeight="1" x14ac:dyDescent="0.45">
      <c r="U1320"/>
      <c r="V1320"/>
      <c r="W1320"/>
    </row>
    <row r="1321" spans="21:23" ht="21.75" customHeight="1" x14ac:dyDescent="0.45">
      <c r="U1321"/>
      <c r="V1321"/>
      <c r="W1321"/>
    </row>
    <row r="1322" spans="21:23" ht="21.75" customHeight="1" x14ac:dyDescent="0.45">
      <c r="U1322"/>
      <c r="V1322"/>
      <c r="W1322"/>
    </row>
    <row r="1323" spans="21:23" ht="21.75" customHeight="1" x14ac:dyDescent="0.45">
      <c r="U1323"/>
      <c r="V1323"/>
      <c r="W1323"/>
    </row>
    <row r="1324" spans="21:23" ht="21.75" customHeight="1" x14ac:dyDescent="0.45">
      <c r="U1324"/>
      <c r="V1324"/>
      <c r="W1324"/>
    </row>
    <row r="1325" spans="21:23" ht="21.75" customHeight="1" x14ac:dyDescent="0.45">
      <c r="U1325"/>
      <c r="V1325"/>
      <c r="W1325"/>
    </row>
    <row r="1326" spans="21:23" ht="21.75" customHeight="1" x14ac:dyDescent="0.45">
      <c r="U1326"/>
      <c r="V1326"/>
      <c r="W1326"/>
    </row>
    <row r="1327" spans="21:23" ht="21.75" customHeight="1" x14ac:dyDescent="0.45">
      <c r="U1327"/>
      <c r="V1327"/>
      <c r="W1327"/>
    </row>
    <row r="1328" spans="21:23" ht="21.75" customHeight="1" x14ac:dyDescent="0.45">
      <c r="U1328"/>
      <c r="V1328"/>
      <c r="W1328"/>
    </row>
    <row r="1329" spans="21:23" ht="21.75" customHeight="1" x14ac:dyDescent="0.45">
      <c r="U1329"/>
      <c r="V1329"/>
      <c r="W1329"/>
    </row>
    <row r="1330" spans="21:23" ht="21.75" customHeight="1" x14ac:dyDescent="0.45">
      <c r="U1330"/>
      <c r="V1330"/>
      <c r="W1330"/>
    </row>
    <row r="1331" spans="21:23" ht="21.75" customHeight="1" x14ac:dyDescent="0.45">
      <c r="U1331"/>
      <c r="V1331"/>
      <c r="W1331"/>
    </row>
    <row r="1332" spans="21:23" ht="21.75" customHeight="1" x14ac:dyDescent="0.45">
      <c r="U1332"/>
      <c r="V1332"/>
      <c r="W1332"/>
    </row>
    <row r="1333" spans="21:23" ht="21.75" customHeight="1" x14ac:dyDescent="0.45">
      <c r="U1333"/>
      <c r="V1333"/>
      <c r="W1333"/>
    </row>
    <row r="1334" spans="21:23" ht="21.75" customHeight="1" x14ac:dyDescent="0.45">
      <c r="U1334"/>
      <c r="V1334"/>
      <c r="W1334"/>
    </row>
    <row r="1335" spans="21:23" ht="21.75" customHeight="1" x14ac:dyDescent="0.45">
      <c r="U1335"/>
      <c r="V1335"/>
      <c r="W1335"/>
    </row>
    <row r="1336" spans="21:23" ht="21.75" customHeight="1" x14ac:dyDescent="0.45">
      <c r="U1336"/>
      <c r="V1336"/>
      <c r="W1336"/>
    </row>
    <row r="1337" spans="21:23" ht="21.75" customHeight="1" x14ac:dyDescent="0.45">
      <c r="U1337"/>
      <c r="V1337"/>
      <c r="W1337"/>
    </row>
    <row r="1338" spans="21:23" ht="21.75" customHeight="1" x14ac:dyDescent="0.45">
      <c r="U1338"/>
      <c r="V1338"/>
      <c r="W1338"/>
    </row>
    <row r="1339" spans="21:23" ht="21.75" customHeight="1" x14ac:dyDescent="0.45">
      <c r="U1339"/>
      <c r="V1339"/>
      <c r="W1339"/>
    </row>
    <row r="1340" spans="21:23" ht="21.75" customHeight="1" x14ac:dyDescent="0.45">
      <c r="U1340"/>
      <c r="V1340"/>
      <c r="W1340"/>
    </row>
    <row r="1341" spans="21:23" ht="21.75" customHeight="1" x14ac:dyDescent="0.45">
      <c r="U1341"/>
      <c r="V1341"/>
      <c r="W1341"/>
    </row>
    <row r="1342" spans="21:23" ht="21.75" customHeight="1" x14ac:dyDescent="0.45">
      <c r="U1342"/>
      <c r="V1342"/>
      <c r="W1342"/>
    </row>
    <row r="1343" spans="21:23" ht="21.75" customHeight="1" x14ac:dyDescent="0.45">
      <c r="U1343"/>
      <c r="V1343"/>
      <c r="W1343"/>
    </row>
    <row r="1344" spans="21:23" ht="21.75" customHeight="1" x14ac:dyDescent="0.45">
      <c r="U1344"/>
      <c r="V1344"/>
      <c r="W1344"/>
    </row>
    <row r="1345" spans="21:23" ht="21.75" customHeight="1" x14ac:dyDescent="0.45">
      <c r="U1345"/>
      <c r="V1345"/>
      <c r="W1345"/>
    </row>
    <row r="1346" spans="21:23" ht="21.75" customHeight="1" x14ac:dyDescent="0.45">
      <c r="U1346"/>
      <c r="V1346"/>
      <c r="W1346"/>
    </row>
    <row r="1347" spans="21:23" ht="21.75" customHeight="1" x14ac:dyDescent="0.45">
      <c r="U1347"/>
      <c r="V1347"/>
      <c r="W1347"/>
    </row>
    <row r="1348" spans="21:23" ht="21.75" customHeight="1" x14ac:dyDescent="0.45">
      <c r="U1348"/>
      <c r="V1348"/>
      <c r="W1348"/>
    </row>
    <row r="1349" spans="21:23" ht="21.75" customHeight="1" x14ac:dyDescent="0.45">
      <c r="U1349"/>
      <c r="V1349"/>
      <c r="W1349"/>
    </row>
    <row r="1350" spans="21:23" ht="21.75" customHeight="1" x14ac:dyDescent="0.45">
      <c r="U1350"/>
      <c r="V1350"/>
      <c r="W1350"/>
    </row>
    <row r="1351" spans="21:23" ht="21.75" customHeight="1" x14ac:dyDescent="0.45">
      <c r="U1351"/>
      <c r="V1351"/>
      <c r="W1351"/>
    </row>
    <row r="1352" spans="21:23" ht="21.75" customHeight="1" x14ac:dyDescent="0.45">
      <c r="U1352"/>
      <c r="V1352"/>
      <c r="W1352"/>
    </row>
    <row r="1353" spans="21:23" ht="21.75" customHeight="1" x14ac:dyDescent="0.45">
      <c r="U1353"/>
      <c r="V1353"/>
      <c r="W1353"/>
    </row>
    <row r="1354" spans="21:23" ht="21.75" customHeight="1" x14ac:dyDescent="0.45">
      <c r="U1354"/>
      <c r="V1354"/>
      <c r="W1354"/>
    </row>
    <row r="1355" spans="21:23" ht="21.75" customHeight="1" x14ac:dyDescent="0.45">
      <c r="U1355"/>
      <c r="V1355"/>
      <c r="W1355"/>
    </row>
    <row r="1356" spans="21:23" ht="21.75" customHeight="1" x14ac:dyDescent="0.45">
      <c r="U1356"/>
      <c r="V1356"/>
      <c r="W1356"/>
    </row>
    <row r="1357" spans="21:23" ht="21.75" customHeight="1" x14ac:dyDescent="0.45">
      <c r="U1357"/>
      <c r="V1357"/>
      <c r="W1357"/>
    </row>
    <row r="1358" spans="21:23" ht="21.75" customHeight="1" x14ac:dyDescent="0.45">
      <c r="U1358"/>
      <c r="V1358"/>
      <c r="W1358"/>
    </row>
    <row r="1359" spans="21:23" ht="21.75" customHeight="1" x14ac:dyDescent="0.45">
      <c r="U1359"/>
      <c r="V1359"/>
      <c r="W1359"/>
    </row>
    <row r="1360" spans="21:23" ht="21.75" customHeight="1" x14ac:dyDescent="0.45">
      <c r="U1360"/>
      <c r="V1360"/>
      <c r="W1360"/>
    </row>
    <row r="1361" spans="21:23" ht="21.75" customHeight="1" x14ac:dyDescent="0.45">
      <c r="U1361"/>
      <c r="V1361"/>
      <c r="W1361"/>
    </row>
    <row r="1362" spans="21:23" ht="21.75" customHeight="1" x14ac:dyDescent="0.45">
      <c r="U1362"/>
      <c r="V1362"/>
      <c r="W1362"/>
    </row>
    <row r="1363" spans="21:23" ht="21.75" customHeight="1" x14ac:dyDescent="0.45">
      <c r="U1363"/>
      <c r="V1363"/>
      <c r="W1363"/>
    </row>
    <row r="1364" spans="21:23" ht="21.75" customHeight="1" x14ac:dyDescent="0.45">
      <c r="U1364"/>
      <c r="V1364"/>
      <c r="W1364"/>
    </row>
    <row r="1365" spans="21:23" ht="21.75" customHeight="1" x14ac:dyDescent="0.45">
      <c r="U1365"/>
      <c r="V1365"/>
      <c r="W1365"/>
    </row>
    <row r="1366" spans="21:23" ht="21.75" customHeight="1" x14ac:dyDescent="0.45">
      <c r="U1366"/>
      <c r="V1366"/>
      <c r="W1366"/>
    </row>
    <row r="1367" spans="21:23" ht="21.75" customHeight="1" x14ac:dyDescent="0.45">
      <c r="U1367"/>
      <c r="V1367"/>
      <c r="W1367"/>
    </row>
    <row r="1368" spans="21:23" ht="21.75" customHeight="1" x14ac:dyDescent="0.45">
      <c r="U1368"/>
      <c r="V1368"/>
      <c r="W1368"/>
    </row>
    <row r="1369" spans="21:23" ht="21.75" customHeight="1" x14ac:dyDescent="0.45">
      <c r="U1369"/>
      <c r="V1369"/>
      <c r="W1369"/>
    </row>
    <row r="1370" spans="21:23" ht="21.75" customHeight="1" x14ac:dyDescent="0.45">
      <c r="U1370"/>
      <c r="V1370"/>
      <c r="W1370"/>
    </row>
    <row r="1371" spans="21:23" ht="21.75" customHeight="1" x14ac:dyDescent="0.45">
      <c r="U1371"/>
      <c r="V1371"/>
      <c r="W1371"/>
    </row>
    <row r="1372" spans="21:23" ht="21.75" customHeight="1" x14ac:dyDescent="0.45">
      <c r="U1372"/>
      <c r="V1372"/>
      <c r="W1372"/>
    </row>
    <row r="1373" spans="21:23" ht="21.75" customHeight="1" x14ac:dyDescent="0.45">
      <c r="U1373"/>
      <c r="V1373"/>
      <c r="W1373"/>
    </row>
    <row r="1374" spans="21:23" ht="21.75" customHeight="1" x14ac:dyDescent="0.45">
      <c r="U1374"/>
      <c r="V1374"/>
      <c r="W1374"/>
    </row>
    <row r="1375" spans="21:23" ht="21.75" customHeight="1" x14ac:dyDescent="0.45">
      <c r="U1375"/>
      <c r="V1375"/>
      <c r="W1375"/>
    </row>
    <row r="1376" spans="21:23" ht="21.75" customHeight="1" x14ac:dyDescent="0.45">
      <c r="U1376"/>
      <c r="V1376"/>
      <c r="W1376"/>
    </row>
    <row r="1377" spans="21:23" ht="21.75" customHeight="1" x14ac:dyDescent="0.45">
      <c r="U1377"/>
      <c r="V1377"/>
      <c r="W1377"/>
    </row>
    <row r="1378" spans="21:23" ht="21.75" customHeight="1" x14ac:dyDescent="0.45">
      <c r="U1378"/>
      <c r="V1378"/>
      <c r="W1378"/>
    </row>
    <row r="1379" spans="21:23" ht="21.75" customHeight="1" x14ac:dyDescent="0.45">
      <c r="U1379"/>
      <c r="V1379"/>
      <c r="W1379"/>
    </row>
    <row r="1380" spans="21:23" ht="21.75" customHeight="1" x14ac:dyDescent="0.45">
      <c r="U1380"/>
      <c r="V1380"/>
      <c r="W1380"/>
    </row>
    <row r="1381" spans="21:23" ht="21.75" customHeight="1" x14ac:dyDescent="0.45">
      <c r="U1381"/>
      <c r="V1381"/>
      <c r="W1381"/>
    </row>
    <row r="1382" spans="21:23" ht="21.75" customHeight="1" x14ac:dyDescent="0.45">
      <c r="U1382"/>
      <c r="V1382"/>
      <c r="W1382"/>
    </row>
    <row r="1383" spans="21:23" ht="21.75" customHeight="1" x14ac:dyDescent="0.45">
      <c r="U1383"/>
      <c r="V1383"/>
      <c r="W1383"/>
    </row>
    <row r="1384" spans="21:23" ht="21.75" customHeight="1" x14ac:dyDescent="0.45">
      <c r="U1384"/>
      <c r="V1384"/>
      <c r="W1384"/>
    </row>
    <row r="1385" spans="21:23" ht="21.75" customHeight="1" x14ac:dyDescent="0.45">
      <c r="U1385"/>
      <c r="V1385"/>
      <c r="W1385"/>
    </row>
    <row r="1386" spans="21:23" ht="21.75" customHeight="1" x14ac:dyDescent="0.45">
      <c r="U1386"/>
      <c r="V1386"/>
      <c r="W1386"/>
    </row>
    <row r="1387" spans="21:23" ht="21.75" customHeight="1" x14ac:dyDescent="0.45">
      <c r="U1387"/>
      <c r="V1387"/>
      <c r="W1387"/>
    </row>
    <row r="1388" spans="21:23" ht="21.75" customHeight="1" x14ac:dyDescent="0.45">
      <c r="U1388"/>
      <c r="V1388"/>
      <c r="W1388"/>
    </row>
    <row r="1389" spans="21:23" ht="21.75" customHeight="1" x14ac:dyDescent="0.45">
      <c r="U1389"/>
      <c r="V1389"/>
      <c r="W1389"/>
    </row>
    <row r="1390" spans="21:23" ht="21.75" customHeight="1" x14ac:dyDescent="0.45">
      <c r="U1390"/>
      <c r="V1390"/>
      <c r="W1390"/>
    </row>
    <row r="1391" spans="21:23" ht="21.75" customHeight="1" x14ac:dyDescent="0.45">
      <c r="U1391"/>
      <c r="V1391"/>
      <c r="W1391"/>
    </row>
    <row r="1392" spans="21:23" ht="21.75" customHeight="1" x14ac:dyDescent="0.45">
      <c r="U1392"/>
      <c r="V1392"/>
      <c r="W1392"/>
    </row>
    <row r="1393" spans="21:23" ht="21.75" customHeight="1" x14ac:dyDescent="0.45">
      <c r="U1393"/>
      <c r="V1393"/>
      <c r="W1393"/>
    </row>
    <row r="1394" spans="21:23" ht="21.75" customHeight="1" x14ac:dyDescent="0.45">
      <c r="U1394"/>
      <c r="V1394"/>
      <c r="W1394"/>
    </row>
    <row r="1395" spans="21:23" ht="21.75" customHeight="1" x14ac:dyDescent="0.45">
      <c r="U1395"/>
      <c r="V1395"/>
      <c r="W1395"/>
    </row>
    <row r="1396" spans="21:23" ht="21.75" customHeight="1" x14ac:dyDescent="0.45">
      <c r="U1396"/>
      <c r="V1396"/>
      <c r="W1396"/>
    </row>
    <row r="1397" spans="21:23" ht="21.75" customHeight="1" x14ac:dyDescent="0.45">
      <c r="U1397"/>
      <c r="V1397"/>
      <c r="W1397"/>
    </row>
    <row r="1398" spans="21:23" ht="21.75" customHeight="1" x14ac:dyDescent="0.45">
      <c r="U1398"/>
      <c r="V1398"/>
      <c r="W1398"/>
    </row>
    <row r="1399" spans="21:23" ht="21.75" customHeight="1" x14ac:dyDescent="0.45">
      <c r="U1399"/>
      <c r="V1399"/>
      <c r="W1399"/>
    </row>
    <row r="1400" spans="21:23" ht="21.75" customHeight="1" x14ac:dyDescent="0.45">
      <c r="U1400"/>
      <c r="V1400"/>
      <c r="W1400"/>
    </row>
    <row r="1401" spans="21:23" ht="21.75" customHeight="1" x14ac:dyDescent="0.45">
      <c r="U1401"/>
      <c r="V1401"/>
      <c r="W1401"/>
    </row>
    <row r="1402" spans="21:23" ht="21.75" customHeight="1" x14ac:dyDescent="0.45">
      <c r="U1402"/>
      <c r="V1402"/>
      <c r="W1402"/>
    </row>
    <row r="1403" spans="21:23" ht="21.75" customHeight="1" x14ac:dyDescent="0.45">
      <c r="U1403"/>
      <c r="V1403"/>
      <c r="W1403"/>
    </row>
    <row r="1404" spans="21:23" ht="21.75" customHeight="1" x14ac:dyDescent="0.45">
      <c r="U1404"/>
      <c r="V1404"/>
      <c r="W1404"/>
    </row>
    <row r="1405" spans="21:23" ht="21.75" customHeight="1" x14ac:dyDescent="0.45">
      <c r="U1405"/>
      <c r="V1405"/>
      <c r="W1405"/>
    </row>
    <row r="1406" spans="21:23" ht="21.75" customHeight="1" x14ac:dyDescent="0.45">
      <c r="U1406"/>
      <c r="V1406"/>
      <c r="W1406"/>
    </row>
    <row r="1407" spans="21:23" ht="21.75" customHeight="1" x14ac:dyDescent="0.45">
      <c r="U1407"/>
      <c r="V1407"/>
      <c r="W1407"/>
    </row>
    <row r="1408" spans="21:23" ht="21.75" customHeight="1" x14ac:dyDescent="0.45">
      <c r="U1408"/>
      <c r="V1408"/>
      <c r="W1408"/>
    </row>
    <row r="1409" spans="21:23" ht="21.75" customHeight="1" x14ac:dyDescent="0.45">
      <c r="U1409"/>
      <c r="V1409"/>
      <c r="W1409"/>
    </row>
    <row r="1410" spans="21:23" ht="21.75" customHeight="1" x14ac:dyDescent="0.45">
      <c r="U1410"/>
      <c r="V1410"/>
      <c r="W1410"/>
    </row>
    <row r="1411" spans="21:23" ht="21.75" customHeight="1" x14ac:dyDescent="0.45">
      <c r="U1411"/>
      <c r="V1411"/>
      <c r="W1411"/>
    </row>
    <row r="1412" spans="21:23" ht="21.75" customHeight="1" x14ac:dyDescent="0.45">
      <c r="U1412"/>
      <c r="V1412"/>
      <c r="W1412"/>
    </row>
    <row r="1413" spans="21:23" ht="21.75" customHeight="1" x14ac:dyDescent="0.45">
      <c r="U1413"/>
      <c r="V1413"/>
      <c r="W1413"/>
    </row>
    <row r="1414" spans="21:23" ht="21.75" customHeight="1" x14ac:dyDescent="0.45">
      <c r="U1414"/>
      <c r="V1414"/>
      <c r="W1414"/>
    </row>
    <row r="1415" spans="21:23" ht="21.75" customHeight="1" x14ac:dyDescent="0.45">
      <c r="U1415"/>
      <c r="V1415"/>
      <c r="W1415"/>
    </row>
    <row r="1416" spans="21:23" ht="21.75" customHeight="1" x14ac:dyDescent="0.45">
      <c r="U1416"/>
      <c r="V1416"/>
      <c r="W1416"/>
    </row>
    <row r="1417" spans="21:23" ht="21.75" customHeight="1" x14ac:dyDescent="0.45">
      <c r="U1417"/>
      <c r="V1417"/>
      <c r="W1417"/>
    </row>
    <row r="1418" spans="21:23" ht="21.75" customHeight="1" x14ac:dyDescent="0.45">
      <c r="U1418"/>
      <c r="V1418"/>
      <c r="W1418"/>
    </row>
    <row r="1419" spans="21:23" ht="21.75" customHeight="1" x14ac:dyDescent="0.45">
      <c r="U1419"/>
      <c r="V1419"/>
      <c r="W1419"/>
    </row>
    <row r="1420" spans="21:23" ht="21.75" customHeight="1" x14ac:dyDescent="0.45">
      <c r="U1420"/>
      <c r="V1420"/>
      <c r="W1420"/>
    </row>
    <row r="1421" spans="21:23" ht="21.75" customHeight="1" x14ac:dyDescent="0.45">
      <c r="U1421"/>
      <c r="V1421"/>
      <c r="W1421"/>
    </row>
    <row r="1422" spans="21:23" ht="21.75" customHeight="1" x14ac:dyDescent="0.45">
      <c r="U1422"/>
      <c r="V1422"/>
      <c r="W1422"/>
    </row>
    <row r="1423" spans="21:23" ht="21.75" customHeight="1" x14ac:dyDescent="0.45">
      <c r="U1423"/>
      <c r="V1423"/>
      <c r="W1423"/>
    </row>
    <row r="1424" spans="21:23" ht="21.75" customHeight="1" x14ac:dyDescent="0.45">
      <c r="U1424"/>
      <c r="V1424"/>
      <c r="W1424"/>
    </row>
    <row r="1425" spans="21:23" ht="21.75" customHeight="1" x14ac:dyDescent="0.45">
      <c r="U1425"/>
      <c r="V1425"/>
      <c r="W1425"/>
    </row>
    <row r="1426" spans="21:23" ht="21.75" customHeight="1" x14ac:dyDescent="0.45">
      <c r="U1426"/>
      <c r="V1426"/>
      <c r="W1426"/>
    </row>
    <row r="1427" spans="21:23" ht="21.75" customHeight="1" x14ac:dyDescent="0.45">
      <c r="U1427"/>
      <c r="V1427"/>
      <c r="W1427"/>
    </row>
    <row r="1428" spans="21:23" ht="21.75" customHeight="1" x14ac:dyDescent="0.45">
      <c r="U1428"/>
      <c r="V1428"/>
      <c r="W1428"/>
    </row>
    <row r="1429" spans="21:23" ht="21.75" customHeight="1" x14ac:dyDescent="0.45">
      <c r="U1429"/>
      <c r="V1429"/>
      <c r="W1429"/>
    </row>
    <row r="1430" spans="21:23" ht="21.75" customHeight="1" x14ac:dyDescent="0.45">
      <c r="U1430"/>
      <c r="V1430"/>
      <c r="W1430"/>
    </row>
    <row r="1431" spans="21:23" ht="21.75" customHeight="1" x14ac:dyDescent="0.45">
      <c r="U1431"/>
      <c r="V1431"/>
      <c r="W1431"/>
    </row>
    <row r="1432" spans="21:23" ht="21.75" customHeight="1" x14ac:dyDescent="0.45">
      <c r="U1432"/>
      <c r="V1432"/>
      <c r="W1432"/>
    </row>
    <row r="1433" spans="21:23" ht="21.75" customHeight="1" x14ac:dyDescent="0.45">
      <c r="U1433"/>
      <c r="V1433"/>
      <c r="W1433"/>
    </row>
    <row r="1434" spans="21:23" ht="21.75" customHeight="1" x14ac:dyDescent="0.45">
      <c r="U1434"/>
      <c r="V1434"/>
      <c r="W1434"/>
    </row>
    <row r="1435" spans="21:23" ht="21.75" customHeight="1" x14ac:dyDescent="0.45">
      <c r="U1435"/>
      <c r="V1435"/>
      <c r="W1435"/>
    </row>
    <row r="1436" spans="21:23" ht="21.75" customHeight="1" x14ac:dyDescent="0.45">
      <c r="U1436"/>
      <c r="V1436"/>
      <c r="W1436"/>
    </row>
    <row r="1437" spans="21:23" ht="21.75" customHeight="1" x14ac:dyDescent="0.45">
      <c r="U1437"/>
      <c r="V1437"/>
      <c r="W1437"/>
    </row>
    <row r="1438" spans="21:23" ht="21.75" customHeight="1" x14ac:dyDescent="0.45">
      <c r="U1438"/>
      <c r="V1438"/>
      <c r="W1438"/>
    </row>
    <row r="1439" spans="21:23" ht="21.75" customHeight="1" x14ac:dyDescent="0.45">
      <c r="U1439"/>
      <c r="V1439"/>
      <c r="W1439"/>
    </row>
    <row r="1440" spans="21:23" ht="21.75" customHeight="1" x14ac:dyDescent="0.45">
      <c r="U1440"/>
      <c r="V1440"/>
      <c r="W1440"/>
    </row>
    <row r="1441" spans="21:23" ht="21.75" customHeight="1" x14ac:dyDescent="0.45">
      <c r="U1441"/>
      <c r="V1441"/>
      <c r="W1441"/>
    </row>
    <row r="1442" spans="21:23" ht="21.75" customHeight="1" x14ac:dyDescent="0.45">
      <c r="U1442"/>
      <c r="V1442"/>
      <c r="W1442"/>
    </row>
    <row r="1443" spans="21:23" ht="21.75" customHeight="1" x14ac:dyDescent="0.45">
      <c r="U1443"/>
      <c r="V1443"/>
      <c r="W1443"/>
    </row>
    <row r="1444" spans="21:23" ht="21.75" customHeight="1" x14ac:dyDescent="0.45">
      <c r="U1444"/>
      <c r="V1444"/>
      <c r="W1444"/>
    </row>
    <row r="1445" spans="21:23" ht="21.75" customHeight="1" x14ac:dyDescent="0.45">
      <c r="U1445"/>
      <c r="V1445"/>
      <c r="W1445"/>
    </row>
    <row r="1446" spans="21:23" ht="21.75" customHeight="1" x14ac:dyDescent="0.45">
      <c r="U1446"/>
      <c r="V1446"/>
      <c r="W1446"/>
    </row>
    <row r="1447" spans="21:23" ht="21.75" customHeight="1" x14ac:dyDescent="0.45">
      <c r="U1447"/>
      <c r="V1447"/>
      <c r="W1447"/>
    </row>
    <row r="1448" spans="21:23" ht="21.75" customHeight="1" x14ac:dyDescent="0.45">
      <c r="U1448"/>
      <c r="V1448"/>
      <c r="W1448"/>
    </row>
    <row r="1449" spans="21:23" ht="21.75" customHeight="1" x14ac:dyDescent="0.45">
      <c r="U1449"/>
      <c r="V1449"/>
      <c r="W1449"/>
    </row>
    <row r="1450" spans="21:23" ht="21.75" customHeight="1" x14ac:dyDescent="0.45">
      <c r="U1450"/>
      <c r="V1450"/>
      <c r="W1450"/>
    </row>
    <row r="1451" spans="21:23" ht="21.75" customHeight="1" x14ac:dyDescent="0.45">
      <c r="U1451"/>
      <c r="V1451"/>
      <c r="W1451"/>
    </row>
    <row r="1452" spans="21:23" ht="21.75" customHeight="1" x14ac:dyDescent="0.45">
      <c r="U1452"/>
      <c r="V1452"/>
      <c r="W1452"/>
    </row>
    <row r="1453" spans="21:23" ht="21.75" customHeight="1" x14ac:dyDescent="0.45">
      <c r="U1453"/>
      <c r="V1453"/>
      <c r="W1453"/>
    </row>
    <row r="1454" spans="21:23" ht="21.75" customHeight="1" x14ac:dyDescent="0.45">
      <c r="U1454"/>
      <c r="V1454"/>
      <c r="W1454"/>
    </row>
    <row r="1455" spans="21:23" ht="21.75" customHeight="1" x14ac:dyDescent="0.45">
      <c r="U1455"/>
      <c r="V1455"/>
      <c r="W1455"/>
    </row>
    <row r="1456" spans="21:23" ht="21.75" customHeight="1" x14ac:dyDescent="0.45">
      <c r="U1456"/>
      <c r="V1456"/>
      <c r="W1456"/>
    </row>
    <row r="1457" spans="21:23" ht="21.75" customHeight="1" x14ac:dyDescent="0.45">
      <c r="U1457"/>
      <c r="V1457"/>
      <c r="W1457"/>
    </row>
    <row r="1458" spans="21:23" ht="21.75" customHeight="1" x14ac:dyDescent="0.45">
      <c r="U1458"/>
      <c r="V1458"/>
      <c r="W1458"/>
    </row>
    <row r="1459" spans="21:23" ht="21.75" customHeight="1" x14ac:dyDescent="0.45">
      <c r="U1459"/>
      <c r="V1459"/>
      <c r="W1459"/>
    </row>
    <row r="1460" spans="21:23" ht="21.75" customHeight="1" x14ac:dyDescent="0.45">
      <c r="U1460"/>
      <c r="V1460"/>
      <c r="W1460"/>
    </row>
    <row r="1461" spans="21:23" ht="21.75" customHeight="1" x14ac:dyDescent="0.45">
      <c r="U1461"/>
      <c r="V1461"/>
      <c r="W1461"/>
    </row>
    <row r="1462" spans="21:23" ht="21.75" customHeight="1" x14ac:dyDescent="0.45">
      <c r="U1462"/>
      <c r="V1462"/>
      <c r="W1462"/>
    </row>
    <row r="1463" spans="21:23" ht="21.75" customHeight="1" x14ac:dyDescent="0.45">
      <c r="U1463"/>
      <c r="V1463"/>
      <c r="W1463"/>
    </row>
    <row r="1464" spans="21:23" ht="21.75" customHeight="1" x14ac:dyDescent="0.45">
      <c r="U1464"/>
      <c r="V1464"/>
      <c r="W1464"/>
    </row>
    <row r="1465" spans="21:23" ht="21.75" customHeight="1" x14ac:dyDescent="0.45">
      <c r="U1465"/>
      <c r="V1465"/>
      <c r="W1465"/>
    </row>
    <row r="1466" spans="21:23" ht="21.75" customHeight="1" x14ac:dyDescent="0.45">
      <c r="U1466"/>
      <c r="V1466"/>
      <c r="W1466"/>
    </row>
    <row r="1467" spans="21:23" ht="21.75" customHeight="1" x14ac:dyDescent="0.45">
      <c r="U1467"/>
      <c r="V1467"/>
      <c r="W1467"/>
    </row>
    <row r="1468" spans="21:23" ht="21.75" customHeight="1" x14ac:dyDescent="0.45">
      <c r="U1468"/>
      <c r="V1468"/>
      <c r="W1468"/>
    </row>
    <row r="1469" spans="21:23" ht="21.75" customHeight="1" x14ac:dyDescent="0.45">
      <c r="U1469"/>
      <c r="V1469"/>
      <c r="W1469"/>
    </row>
    <row r="1470" spans="21:23" ht="21.75" customHeight="1" x14ac:dyDescent="0.45">
      <c r="U1470"/>
      <c r="V1470"/>
      <c r="W1470"/>
    </row>
    <row r="1471" spans="21:23" ht="21.75" customHeight="1" x14ac:dyDescent="0.45">
      <c r="U1471"/>
      <c r="V1471"/>
      <c r="W1471"/>
    </row>
    <row r="1472" spans="21:23" ht="21.75" customHeight="1" x14ac:dyDescent="0.45">
      <c r="U1472"/>
      <c r="V1472"/>
      <c r="W1472"/>
    </row>
    <row r="1473" spans="21:23" ht="21.75" customHeight="1" x14ac:dyDescent="0.45">
      <c r="U1473"/>
      <c r="V1473"/>
      <c r="W1473"/>
    </row>
    <row r="1474" spans="21:23" ht="21.75" customHeight="1" x14ac:dyDescent="0.45">
      <c r="U1474"/>
      <c r="V1474"/>
      <c r="W1474"/>
    </row>
    <row r="1475" spans="21:23" ht="21.75" customHeight="1" x14ac:dyDescent="0.45">
      <c r="U1475"/>
      <c r="V1475"/>
      <c r="W1475"/>
    </row>
    <row r="1476" spans="21:23" ht="21.75" customHeight="1" x14ac:dyDescent="0.45">
      <c r="U1476"/>
      <c r="V1476"/>
      <c r="W1476"/>
    </row>
    <row r="1477" spans="21:23" ht="21.75" customHeight="1" x14ac:dyDescent="0.45">
      <c r="U1477"/>
      <c r="V1477"/>
      <c r="W1477"/>
    </row>
    <row r="1478" spans="21:23" ht="21.75" customHeight="1" x14ac:dyDescent="0.45">
      <c r="U1478"/>
      <c r="V1478"/>
      <c r="W1478"/>
    </row>
    <row r="1479" spans="21:23" ht="21.75" customHeight="1" x14ac:dyDescent="0.45">
      <c r="U1479"/>
      <c r="V1479"/>
      <c r="W1479"/>
    </row>
    <row r="1480" spans="21:23" ht="21.75" customHeight="1" x14ac:dyDescent="0.45">
      <c r="U1480"/>
      <c r="V1480"/>
      <c r="W1480"/>
    </row>
    <row r="1481" spans="21:23" ht="21.75" customHeight="1" x14ac:dyDescent="0.45">
      <c r="U1481"/>
      <c r="V1481"/>
      <c r="W1481"/>
    </row>
    <row r="1482" spans="21:23" ht="21.75" customHeight="1" x14ac:dyDescent="0.45">
      <c r="U1482"/>
      <c r="V1482"/>
      <c r="W1482"/>
    </row>
    <row r="1483" spans="21:23" ht="21.75" customHeight="1" x14ac:dyDescent="0.45">
      <c r="U1483"/>
      <c r="V1483"/>
      <c r="W1483"/>
    </row>
    <row r="1484" spans="21:23" ht="21.75" customHeight="1" x14ac:dyDescent="0.45">
      <c r="U1484"/>
      <c r="V1484"/>
      <c r="W1484"/>
    </row>
    <row r="1485" spans="21:23" ht="21.75" customHeight="1" x14ac:dyDescent="0.45">
      <c r="U1485"/>
      <c r="V1485"/>
      <c r="W1485"/>
    </row>
    <row r="1486" spans="21:23" ht="21.75" customHeight="1" x14ac:dyDescent="0.45">
      <c r="U1486"/>
      <c r="V1486"/>
      <c r="W1486"/>
    </row>
    <row r="1487" spans="21:23" ht="21.75" customHeight="1" x14ac:dyDescent="0.45">
      <c r="U1487"/>
      <c r="V1487"/>
      <c r="W1487"/>
    </row>
    <row r="1488" spans="21:23" ht="21.75" customHeight="1" x14ac:dyDescent="0.45">
      <c r="U1488"/>
      <c r="V1488"/>
      <c r="W1488"/>
    </row>
    <row r="1489" spans="21:23" ht="21.75" customHeight="1" x14ac:dyDescent="0.45">
      <c r="U1489"/>
      <c r="V1489"/>
      <c r="W1489"/>
    </row>
    <row r="1490" spans="21:23" ht="21.75" customHeight="1" x14ac:dyDescent="0.45">
      <c r="U1490"/>
      <c r="V1490"/>
      <c r="W1490"/>
    </row>
    <row r="1491" spans="21:23" ht="21.75" customHeight="1" x14ac:dyDescent="0.45">
      <c r="U1491"/>
      <c r="V1491"/>
      <c r="W1491"/>
    </row>
    <row r="1492" spans="21:23" ht="21.75" customHeight="1" x14ac:dyDescent="0.45">
      <c r="U1492"/>
      <c r="V1492"/>
      <c r="W1492"/>
    </row>
    <row r="1493" spans="21:23" ht="21.75" customHeight="1" x14ac:dyDescent="0.45">
      <c r="U1493"/>
      <c r="V1493"/>
      <c r="W1493"/>
    </row>
    <row r="1494" spans="21:23" ht="21.75" customHeight="1" x14ac:dyDescent="0.45">
      <c r="U1494"/>
      <c r="V1494"/>
      <c r="W1494"/>
    </row>
    <row r="1495" spans="21:23" ht="21.75" customHeight="1" x14ac:dyDescent="0.45">
      <c r="U1495"/>
      <c r="V1495"/>
      <c r="W1495"/>
    </row>
    <row r="1496" spans="21:23" ht="21.75" customHeight="1" x14ac:dyDescent="0.45">
      <c r="U1496"/>
      <c r="V1496"/>
      <c r="W1496"/>
    </row>
    <row r="1497" spans="21:23" ht="21.75" customHeight="1" x14ac:dyDescent="0.45">
      <c r="U1497"/>
      <c r="V1497"/>
      <c r="W1497"/>
    </row>
    <row r="1498" spans="21:23" ht="21.75" customHeight="1" x14ac:dyDescent="0.45">
      <c r="U1498"/>
      <c r="V1498"/>
      <c r="W1498"/>
    </row>
    <row r="1499" spans="21:23" ht="21.75" customHeight="1" x14ac:dyDescent="0.45">
      <c r="U1499"/>
      <c r="V1499"/>
      <c r="W1499"/>
    </row>
    <row r="1500" spans="21:23" ht="21.75" customHeight="1" x14ac:dyDescent="0.45">
      <c r="U1500"/>
      <c r="V1500"/>
      <c r="W1500"/>
    </row>
    <row r="1501" spans="21:23" ht="21.75" customHeight="1" x14ac:dyDescent="0.45">
      <c r="U1501"/>
      <c r="V1501"/>
      <c r="W1501"/>
    </row>
    <row r="1502" spans="21:23" ht="21.75" customHeight="1" x14ac:dyDescent="0.45">
      <c r="U1502"/>
      <c r="V1502"/>
      <c r="W1502"/>
    </row>
    <row r="1503" spans="21:23" ht="21.75" customHeight="1" x14ac:dyDescent="0.45">
      <c r="U1503"/>
      <c r="V1503"/>
      <c r="W1503"/>
    </row>
    <row r="1504" spans="21:23" ht="21.75" customHeight="1" x14ac:dyDescent="0.45">
      <c r="U1504"/>
      <c r="V1504"/>
      <c r="W1504"/>
    </row>
    <row r="1505" spans="21:23" ht="21.75" customHeight="1" x14ac:dyDescent="0.45">
      <c r="U1505"/>
      <c r="V1505"/>
      <c r="W1505"/>
    </row>
    <row r="1506" spans="21:23" ht="21.75" customHeight="1" x14ac:dyDescent="0.45">
      <c r="U1506"/>
      <c r="V1506"/>
      <c r="W1506"/>
    </row>
    <row r="1507" spans="21:23" ht="21.75" customHeight="1" x14ac:dyDescent="0.45">
      <c r="U1507"/>
      <c r="V1507"/>
      <c r="W1507"/>
    </row>
    <row r="1508" spans="21:23" ht="21.75" customHeight="1" x14ac:dyDescent="0.45">
      <c r="U1508"/>
      <c r="V1508"/>
      <c r="W1508"/>
    </row>
    <row r="1509" spans="21:23" ht="21.75" customHeight="1" x14ac:dyDescent="0.45">
      <c r="U1509"/>
      <c r="V1509"/>
      <c r="W1509"/>
    </row>
    <row r="1510" spans="21:23" ht="21.75" customHeight="1" x14ac:dyDescent="0.45">
      <c r="U1510"/>
      <c r="V1510"/>
      <c r="W1510"/>
    </row>
    <row r="1511" spans="21:23" ht="21.75" customHeight="1" x14ac:dyDescent="0.45">
      <c r="U1511"/>
      <c r="V1511"/>
      <c r="W1511"/>
    </row>
    <row r="1512" spans="21:23" ht="21.75" customHeight="1" x14ac:dyDescent="0.45">
      <c r="U1512"/>
      <c r="V1512"/>
      <c r="W1512"/>
    </row>
    <row r="1513" spans="21:23" ht="21.75" customHeight="1" x14ac:dyDescent="0.45">
      <c r="U1513"/>
      <c r="V1513"/>
      <c r="W1513"/>
    </row>
    <row r="1514" spans="21:23" ht="21.75" customHeight="1" x14ac:dyDescent="0.45">
      <c r="U1514"/>
      <c r="V1514"/>
      <c r="W1514"/>
    </row>
    <row r="1515" spans="21:23" ht="21.75" customHeight="1" x14ac:dyDescent="0.45">
      <c r="U1515"/>
      <c r="V1515"/>
      <c r="W1515"/>
    </row>
    <row r="1516" spans="21:23" ht="21.75" customHeight="1" x14ac:dyDescent="0.45">
      <c r="U1516"/>
      <c r="V1516"/>
      <c r="W1516"/>
    </row>
    <row r="1517" spans="21:23" ht="21.75" customHeight="1" x14ac:dyDescent="0.45">
      <c r="U1517"/>
      <c r="V1517"/>
      <c r="W1517"/>
    </row>
    <row r="1518" spans="21:23" ht="21.75" customHeight="1" x14ac:dyDescent="0.45">
      <c r="U1518"/>
      <c r="V1518"/>
      <c r="W1518"/>
    </row>
    <row r="1519" spans="21:23" ht="21.75" customHeight="1" x14ac:dyDescent="0.45">
      <c r="U1519"/>
      <c r="V1519"/>
      <c r="W1519"/>
    </row>
    <row r="1520" spans="21:23" ht="21.75" customHeight="1" x14ac:dyDescent="0.45">
      <c r="U1520"/>
      <c r="V1520"/>
      <c r="W1520"/>
    </row>
    <row r="1521" spans="21:23" ht="21.75" customHeight="1" x14ac:dyDescent="0.45">
      <c r="U1521"/>
      <c r="V1521"/>
      <c r="W1521"/>
    </row>
    <row r="1522" spans="21:23" ht="21.75" customHeight="1" x14ac:dyDescent="0.45">
      <c r="U1522"/>
      <c r="V1522"/>
      <c r="W1522"/>
    </row>
    <row r="1523" spans="21:23" ht="21.75" customHeight="1" x14ac:dyDescent="0.45">
      <c r="U1523"/>
      <c r="V1523"/>
      <c r="W1523"/>
    </row>
    <row r="1524" spans="21:23" ht="21.75" customHeight="1" x14ac:dyDescent="0.45">
      <c r="U1524"/>
      <c r="V1524"/>
      <c r="W1524"/>
    </row>
    <row r="1525" spans="21:23" ht="21.75" customHeight="1" x14ac:dyDescent="0.45">
      <c r="U1525"/>
      <c r="V1525"/>
      <c r="W1525"/>
    </row>
    <row r="1526" spans="21:23" ht="21.75" customHeight="1" x14ac:dyDescent="0.45">
      <c r="U1526"/>
      <c r="V1526"/>
      <c r="W1526"/>
    </row>
    <row r="1527" spans="21:23" ht="21.75" customHeight="1" x14ac:dyDescent="0.45">
      <c r="U1527"/>
      <c r="V1527"/>
      <c r="W1527"/>
    </row>
    <row r="1528" spans="21:23" ht="21.75" customHeight="1" x14ac:dyDescent="0.45">
      <c r="U1528"/>
      <c r="V1528"/>
      <c r="W1528"/>
    </row>
    <row r="1529" spans="21:23" ht="21.75" customHeight="1" x14ac:dyDescent="0.45">
      <c r="U1529"/>
      <c r="V1529"/>
      <c r="W1529"/>
    </row>
    <row r="1530" spans="21:23" ht="21.75" customHeight="1" x14ac:dyDescent="0.45">
      <c r="U1530"/>
      <c r="V1530"/>
      <c r="W1530"/>
    </row>
    <row r="1531" spans="21:23" ht="21.75" customHeight="1" x14ac:dyDescent="0.45">
      <c r="U1531"/>
      <c r="V1531"/>
      <c r="W1531"/>
    </row>
    <row r="1532" spans="21:23" ht="21.75" customHeight="1" x14ac:dyDescent="0.45">
      <c r="U1532"/>
      <c r="V1532"/>
      <c r="W1532"/>
    </row>
    <row r="1533" spans="21:23" ht="21.75" customHeight="1" x14ac:dyDescent="0.45">
      <c r="U1533"/>
      <c r="V1533"/>
      <c r="W1533"/>
    </row>
    <row r="1534" spans="21:23" ht="21.75" customHeight="1" x14ac:dyDescent="0.45">
      <c r="U1534"/>
      <c r="V1534"/>
      <c r="W1534"/>
    </row>
    <row r="1535" spans="21:23" ht="21.75" customHeight="1" x14ac:dyDescent="0.45">
      <c r="U1535"/>
      <c r="V1535"/>
      <c r="W1535"/>
    </row>
    <row r="1536" spans="21:23" ht="21.75" customHeight="1" x14ac:dyDescent="0.45">
      <c r="U1536"/>
      <c r="V1536"/>
      <c r="W1536"/>
    </row>
    <row r="1537" spans="21:23" ht="21.75" customHeight="1" x14ac:dyDescent="0.45">
      <c r="U1537"/>
      <c r="V1537"/>
      <c r="W1537"/>
    </row>
    <row r="1538" spans="21:23" ht="21.75" customHeight="1" x14ac:dyDescent="0.45">
      <c r="U1538"/>
      <c r="V1538"/>
      <c r="W1538"/>
    </row>
    <row r="1539" spans="21:23" ht="21.75" customHeight="1" x14ac:dyDescent="0.45">
      <c r="U1539"/>
      <c r="V1539"/>
      <c r="W1539"/>
    </row>
    <row r="1540" spans="21:23" ht="21.75" customHeight="1" x14ac:dyDescent="0.45">
      <c r="U1540"/>
      <c r="V1540"/>
      <c r="W1540"/>
    </row>
    <row r="1541" spans="21:23" ht="21.75" customHeight="1" x14ac:dyDescent="0.45">
      <c r="U1541"/>
      <c r="V1541"/>
      <c r="W1541"/>
    </row>
    <row r="1542" spans="21:23" ht="21.75" customHeight="1" x14ac:dyDescent="0.45">
      <c r="U1542"/>
      <c r="V1542"/>
      <c r="W1542"/>
    </row>
    <row r="1543" spans="21:23" ht="21.75" customHeight="1" x14ac:dyDescent="0.45">
      <c r="U1543"/>
      <c r="V1543"/>
      <c r="W1543"/>
    </row>
    <row r="1544" spans="21:23" ht="21.75" customHeight="1" x14ac:dyDescent="0.45">
      <c r="U1544"/>
      <c r="V1544"/>
      <c r="W1544"/>
    </row>
    <row r="1545" spans="21:23" ht="21.75" customHeight="1" x14ac:dyDescent="0.45">
      <c r="U1545"/>
      <c r="V1545"/>
      <c r="W1545"/>
    </row>
    <row r="1546" spans="21:23" ht="21.75" customHeight="1" x14ac:dyDescent="0.45">
      <c r="U1546"/>
      <c r="V1546"/>
      <c r="W1546"/>
    </row>
    <row r="1547" spans="21:23" ht="21.75" customHeight="1" x14ac:dyDescent="0.45">
      <c r="U1547"/>
      <c r="V1547"/>
      <c r="W1547"/>
    </row>
    <row r="1548" spans="21:23" ht="21.75" customHeight="1" x14ac:dyDescent="0.45">
      <c r="U1548"/>
      <c r="V1548"/>
      <c r="W1548"/>
    </row>
    <row r="1549" spans="21:23" ht="21.75" customHeight="1" x14ac:dyDescent="0.45">
      <c r="U1549"/>
      <c r="V1549"/>
      <c r="W1549"/>
    </row>
    <row r="1550" spans="21:23" ht="21.75" customHeight="1" x14ac:dyDescent="0.45">
      <c r="U1550"/>
      <c r="V1550"/>
      <c r="W1550"/>
    </row>
    <row r="1551" spans="21:23" ht="21.75" customHeight="1" x14ac:dyDescent="0.45">
      <c r="U1551"/>
      <c r="V1551"/>
      <c r="W1551"/>
    </row>
    <row r="1552" spans="21:23" ht="21.75" customHeight="1" x14ac:dyDescent="0.45">
      <c r="U1552"/>
      <c r="V1552"/>
      <c r="W1552"/>
    </row>
    <row r="1553" spans="21:23" ht="21.75" customHeight="1" x14ac:dyDescent="0.45">
      <c r="U1553"/>
      <c r="V1553"/>
      <c r="W1553"/>
    </row>
    <row r="1554" spans="21:23" ht="21.75" customHeight="1" x14ac:dyDescent="0.45">
      <c r="U1554"/>
      <c r="V1554"/>
      <c r="W1554"/>
    </row>
    <row r="1555" spans="21:23" ht="21.75" customHeight="1" x14ac:dyDescent="0.45">
      <c r="U1555"/>
      <c r="V1555"/>
      <c r="W1555"/>
    </row>
    <row r="1556" spans="21:23" ht="21.75" customHeight="1" x14ac:dyDescent="0.45">
      <c r="U1556"/>
      <c r="V1556"/>
      <c r="W1556"/>
    </row>
    <row r="1557" spans="21:23" ht="21.75" customHeight="1" x14ac:dyDescent="0.45">
      <c r="U1557"/>
      <c r="V1557"/>
      <c r="W1557"/>
    </row>
    <row r="1558" spans="21:23" ht="21.75" customHeight="1" x14ac:dyDescent="0.45">
      <c r="U1558"/>
      <c r="V1558"/>
      <c r="W1558"/>
    </row>
    <row r="1559" spans="21:23" ht="21.75" customHeight="1" x14ac:dyDescent="0.45">
      <c r="U1559"/>
      <c r="V1559"/>
      <c r="W1559"/>
    </row>
    <row r="1560" spans="21:23" ht="21.75" customHeight="1" x14ac:dyDescent="0.45">
      <c r="U1560"/>
      <c r="V1560"/>
      <c r="W1560"/>
    </row>
    <row r="1561" spans="21:23" ht="21.75" customHeight="1" x14ac:dyDescent="0.45">
      <c r="U1561"/>
      <c r="V1561"/>
      <c r="W1561"/>
    </row>
    <row r="1562" spans="21:23" ht="21.75" customHeight="1" x14ac:dyDescent="0.45">
      <c r="U1562"/>
      <c r="V1562"/>
      <c r="W1562"/>
    </row>
    <row r="1563" spans="21:23" ht="21.75" customHeight="1" x14ac:dyDescent="0.45">
      <c r="U1563"/>
      <c r="V1563"/>
      <c r="W1563"/>
    </row>
    <row r="1564" spans="21:23" ht="21.75" customHeight="1" x14ac:dyDescent="0.45">
      <c r="U1564"/>
      <c r="V1564"/>
      <c r="W1564"/>
    </row>
    <row r="1565" spans="21:23" ht="21.75" customHeight="1" x14ac:dyDescent="0.45">
      <c r="U1565"/>
      <c r="V1565"/>
      <c r="W1565"/>
    </row>
    <row r="1566" spans="21:23" ht="21.75" customHeight="1" x14ac:dyDescent="0.45">
      <c r="U1566"/>
      <c r="V1566"/>
      <c r="W1566"/>
    </row>
    <row r="1567" spans="21:23" ht="21.75" customHeight="1" x14ac:dyDescent="0.45">
      <c r="U1567"/>
      <c r="V1567"/>
      <c r="W1567"/>
    </row>
    <row r="1568" spans="21:23" ht="21.75" customHeight="1" x14ac:dyDescent="0.45">
      <c r="U1568"/>
      <c r="V1568"/>
      <c r="W1568"/>
    </row>
    <row r="1569" spans="21:23" ht="21.75" customHeight="1" x14ac:dyDescent="0.45">
      <c r="U1569"/>
      <c r="V1569"/>
      <c r="W1569"/>
    </row>
    <row r="1570" spans="21:23" ht="21.75" customHeight="1" x14ac:dyDescent="0.45">
      <c r="U1570"/>
      <c r="V1570"/>
      <c r="W1570"/>
    </row>
    <row r="1571" spans="21:23" ht="21.75" customHeight="1" x14ac:dyDescent="0.45">
      <c r="U1571"/>
      <c r="V1571"/>
      <c r="W1571"/>
    </row>
    <row r="1572" spans="21:23" ht="21.75" customHeight="1" x14ac:dyDescent="0.45">
      <c r="U1572"/>
      <c r="V1572"/>
      <c r="W1572"/>
    </row>
    <row r="1573" spans="21:23" ht="21.75" customHeight="1" x14ac:dyDescent="0.45">
      <c r="U1573"/>
      <c r="V1573"/>
      <c r="W1573"/>
    </row>
    <row r="1574" spans="21:23" ht="21.75" customHeight="1" x14ac:dyDescent="0.45">
      <c r="U1574"/>
      <c r="V1574"/>
      <c r="W1574"/>
    </row>
    <row r="1575" spans="21:23" ht="21.75" customHeight="1" x14ac:dyDescent="0.45">
      <c r="U1575"/>
      <c r="V1575"/>
      <c r="W1575"/>
    </row>
    <row r="1576" spans="21:23" ht="21.75" customHeight="1" x14ac:dyDescent="0.45">
      <c r="U1576"/>
      <c r="V1576"/>
      <c r="W1576"/>
    </row>
    <row r="1577" spans="21:23" ht="21.75" customHeight="1" x14ac:dyDescent="0.45">
      <c r="U1577"/>
      <c r="V1577"/>
      <c r="W1577"/>
    </row>
    <row r="1578" spans="21:23" ht="21.75" customHeight="1" x14ac:dyDescent="0.45">
      <c r="U1578"/>
      <c r="V1578"/>
      <c r="W1578"/>
    </row>
    <row r="1579" spans="21:23" ht="21.75" customHeight="1" x14ac:dyDescent="0.45">
      <c r="U1579"/>
      <c r="V1579"/>
      <c r="W1579"/>
    </row>
    <row r="1580" spans="21:23" ht="21.75" customHeight="1" x14ac:dyDescent="0.45">
      <c r="U1580"/>
      <c r="V1580"/>
      <c r="W1580"/>
    </row>
    <row r="1581" spans="21:23" ht="21.75" customHeight="1" x14ac:dyDescent="0.45">
      <c r="U1581"/>
      <c r="V1581"/>
      <c r="W1581"/>
    </row>
    <row r="1582" spans="21:23" ht="21.75" customHeight="1" x14ac:dyDescent="0.45">
      <c r="U1582"/>
      <c r="V1582"/>
      <c r="W1582"/>
    </row>
    <row r="1583" spans="21:23" ht="21.75" customHeight="1" x14ac:dyDescent="0.45">
      <c r="U1583"/>
      <c r="V1583"/>
      <c r="W1583"/>
    </row>
    <row r="1584" spans="21:23" ht="21.75" customHeight="1" x14ac:dyDescent="0.45">
      <c r="U1584"/>
      <c r="V1584"/>
      <c r="W1584"/>
    </row>
    <row r="1585" spans="21:23" ht="21.75" customHeight="1" x14ac:dyDescent="0.45">
      <c r="U1585"/>
      <c r="V1585"/>
      <c r="W1585"/>
    </row>
    <row r="1586" spans="21:23" ht="21.75" customHeight="1" x14ac:dyDescent="0.45">
      <c r="U1586"/>
      <c r="V1586"/>
      <c r="W1586"/>
    </row>
    <row r="1587" spans="21:23" ht="21.75" customHeight="1" x14ac:dyDescent="0.45">
      <c r="U1587"/>
      <c r="V1587"/>
      <c r="W1587"/>
    </row>
    <row r="1588" spans="21:23" ht="21.75" customHeight="1" x14ac:dyDescent="0.45">
      <c r="U1588"/>
      <c r="V1588"/>
      <c r="W1588"/>
    </row>
    <row r="1589" spans="21:23" ht="21.75" customHeight="1" x14ac:dyDescent="0.45">
      <c r="U1589"/>
      <c r="V1589"/>
      <c r="W1589"/>
    </row>
    <row r="1590" spans="21:23" ht="21.75" customHeight="1" x14ac:dyDescent="0.45">
      <c r="U1590"/>
      <c r="V1590"/>
      <c r="W1590"/>
    </row>
    <row r="1591" spans="21:23" ht="21.75" customHeight="1" x14ac:dyDescent="0.45">
      <c r="U1591"/>
      <c r="V1591"/>
      <c r="W1591"/>
    </row>
    <row r="1592" spans="21:23" ht="21.75" customHeight="1" x14ac:dyDescent="0.45">
      <c r="U1592"/>
      <c r="V1592"/>
      <c r="W1592"/>
    </row>
    <row r="1593" spans="21:23" ht="21.75" customHeight="1" x14ac:dyDescent="0.45">
      <c r="U1593"/>
      <c r="V1593"/>
      <c r="W1593"/>
    </row>
    <row r="1594" spans="21:23" ht="21.75" customHeight="1" x14ac:dyDescent="0.45">
      <c r="U1594"/>
      <c r="V1594"/>
      <c r="W1594"/>
    </row>
    <row r="1595" spans="21:23" ht="21.75" customHeight="1" x14ac:dyDescent="0.45">
      <c r="U1595"/>
      <c r="V1595"/>
      <c r="W1595"/>
    </row>
    <row r="1596" spans="21:23" ht="21.75" customHeight="1" x14ac:dyDescent="0.45">
      <c r="U1596"/>
      <c r="V1596"/>
      <c r="W1596"/>
    </row>
    <row r="1597" spans="21:23" ht="21.75" customHeight="1" x14ac:dyDescent="0.45">
      <c r="U1597"/>
      <c r="V1597"/>
      <c r="W1597"/>
    </row>
    <row r="1598" spans="21:23" ht="21.75" customHeight="1" x14ac:dyDescent="0.45">
      <c r="U1598"/>
      <c r="V1598"/>
      <c r="W1598"/>
    </row>
    <row r="1599" spans="21:23" ht="21.75" customHeight="1" x14ac:dyDescent="0.45">
      <c r="U1599"/>
      <c r="V1599"/>
      <c r="W1599"/>
    </row>
    <row r="1600" spans="21:23" ht="21.75" customHeight="1" x14ac:dyDescent="0.45">
      <c r="U1600"/>
      <c r="V1600"/>
      <c r="W1600"/>
    </row>
    <row r="1601" spans="21:23" ht="21.75" customHeight="1" x14ac:dyDescent="0.45">
      <c r="U1601"/>
      <c r="V1601"/>
      <c r="W1601"/>
    </row>
    <row r="1602" spans="21:23" ht="21.75" customHeight="1" x14ac:dyDescent="0.45">
      <c r="U1602"/>
      <c r="V1602"/>
      <c r="W1602"/>
    </row>
    <row r="1603" spans="21:23" ht="21.75" customHeight="1" x14ac:dyDescent="0.45">
      <c r="U1603"/>
      <c r="V1603"/>
      <c r="W1603"/>
    </row>
    <row r="1604" spans="21:23" ht="21.75" customHeight="1" x14ac:dyDescent="0.45">
      <c r="U1604"/>
      <c r="V1604"/>
      <c r="W1604"/>
    </row>
    <row r="1605" spans="21:23" ht="21.75" customHeight="1" x14ac:dyDescent="0.45">
      <c r="U1605"/>
      <c r="V1605"/>
      <c r="W1605"/>
    </row>
    <row r="1606" spans="21:23" ht="21.75" customHeight="1" x14ac:dyDescent="0.45">
      <c r="U1606"/>
      <c r="V1606"/>
      <c r="W1606"/>
    </row>
    <row r="1607" spans="21:23" ht="21.75" customHeight="1" x14ac:dyDescent="0.45">
      <c r="U1607"/>
      <c r="V1607"/>
      <c r="W1607"/>
    </row>
    <row r="1608" spans="21:23" ht="21.75" customHeight="1" x14ac:dyDescent="0.45">
      <c r="U1608"/>
      <c r="V1608"/>
      <c r="W1608"/>
    </row>
    <row r="1609" spans="21:23" ht="21.75" customHeight="1" x14ac:dyDescent="0.45">
      <c r="U1609"/>
      <c r="V1609"/>
      <c r="W1609"/>
    </row>
    <row r="1610" spans="21:23" ht="21.75" customHeight="1" x14ac:dyDescent="0.45">
      <c r="U1610"/>
      <c r="V1610"/>
      <c r="W1610"/>
    </row>
    <row r="1611" spans="21:23" ht="21.75" customHeight="1" x14ac:dyDescent="0.45">
      <c r="U1611"/>
      <c r="V1611"/>
      <c r="W1611"/>
    </row>
    <row r="1612" spans="21:23" ht="21.75" customHeight="1" x14ac:dyDescent="0.45">
      <c r="U1612"/>
      <c r="V1612"/>
      <c r="W1612"/>
    </row>
    <row r="1613" spans="21:23" ht="21.75" customHeight="1" x14ac:dyDescent="0.45">
      <c r="U1613"/>
      <c r="V1613"/>
      <c r="W1613"/>
    </row>
    <row r="1614" spans="21:23" ht="21.75" customHeight="1" x14ac:dyDescent="0.45">
      <c r="U1614"/>
      <c r="V1614"/>
      <c r="W1614"/>
    </row>
    <row r="1615" spans="21:23" ht="21.75" customHeight="1" x14ac:dyDescent="0.45">
      <c r="U1615"/>
      <c r="V1615"/>
      <c r="W1615"/>
    </row>
    <row r="1616" spans="21:23" ht="21.75" customHeight="1" x14ac:dyDescent="0.45">
      <c r="U1616"/>
      <c r="V1616"/>
      <c r="W1616"/>
    </row>
    <row r="1617" spans="21:23" ht="21.75" customHeight="1" x14ac:dyDescent="0.45">
      <c r="U1617"/>
      <c r="V1617"/>
      <c r="W1617"/>
    </row>
    <row r="1618" spans="21:23" ht="21.75" customHeight="1" x14ac:dyDescent="0.45">
      <c r="U1618"/>
      <c r="V1618"/>
      <c r="W1618"/>
    </row>
    <row r="1619" spans="21:23" ht="21.75" customHeight="1" x14ac:dyDescent="0.45">
      <c r="U1619"/>
      <c r="V1619"/>
      <c r="W1619"/>
    </row>
    <row r="1620" spans="21:23" ht="21.75" customHeight="1" x14ac:dyDescent="0.45">
      <c r="U1620"/>
      <c r="V1620"/>
      <c r="W1620"/>
    </row>
    <row r="1621" spans="21:23" ht="21.75" customHeight="1" x14ac:dyDescent="0.45">
      <c r="U1621"/>
      <c r="V1621"/>
      <c r="W1621"/>
    </row>
    <row r="1622" spans="21:23" ht="21.75" customHeight="1" x14ac:dyDescent="0.45">
      <c r="U1622"/>
      <c r="V1622"/>
      <c r="W1622"/>
    </row>
    <row r="1623" spans="21:23" ht="21.75" customHeight="1" x14ac:dyDescent="0.45">
      <c r="U1623"/>
      <c r="V1623"/>
      <c r="W1623"/>
    </row>
    <row r="1624" spans="21:23" ht="21.75" customHeight="1" x14ac:dyDescent="0.45">
      <c r="U1624"/>
      <c r="V1624"/>
      <c r="W1624"/>
    </row>
    <row r="1625" spans="21:23" ht="21.75" customHeight="1" x14ac:dyDescent="0.45">
      <c r="U1625"/>
      <c r="V1625"/>
      <c r="W1625"/>
    </row>
    <row r="1626" spans="21:23" ht="21.75" customHeight="1" x14ac:dyDescent="0.45">
      <c r="U1626"/>
      <c r="V1626"/>
      <c r="W1626"/>
    </row>
    <row r="1627" spans="21:23" ht="21.75" customHeight="1" x14ac:dyDescent="0.45">
      <c r="U1627"/>
      <c r="V1627"/>
      <c r="W1627"/>
    </row>
    <row r="1628" spans="21:23" ht="21.75" customHeight="1" x14ac:dyDescent="0.45">
      <c r="U1628"/>
      <c r="V1628"/>
      <c r="W1628"/>
    </row>
    <row r="1629" spans="21:23" ht="21.75" customHeight="1" x14ac:dyDescent="0.45">
      <c r="U1629"/>
      <c r="V1629"/>
      <c r="W1629"/>
    </row>
    <row r="1630" spans="21:23" ht="21.75" customHeight="1" x14ac:dyDescent="0.45">
      <c r="U1630"/>
      <c r="V1630"/>
      <c r="W1630"/>
    </row>
    <row r="1631" spans="21:23" ht="21.75" customHeight="1" x14ac:dyDescent="0.45">
      <c r="U1631"/>
      <c r="V1631"/>
      <c r="W1631"/>
    </row>
    <row r="1632" spans="21:23" ht="21.75" customHeight="1" x14ac:dyDescent="0.45">
      <c r="U1632"/>
      <c r="V1632"/>
      <c r="W1632"/>
    </row>
    <row r="1633" spans="21:23" ht="21.75" customHeight="1" x14ac:dyDescent="0.45">
      <c r="U1633"/>
      <c r="V1633"/>
      <c r="W1633"/>
    </row>
    <row r="1634" spans="21:23" ht="21.75" customHeight="1" x14ac:dyDescent="0.45">
      <c r="U1634"/>
      <c r="V1634"/>
      <c r="W1634"/>
    </row>
    <row r="1635" spans="21:23" ht="21.75" customHeight="1" x14ac:dyDescent="0.45">
      <c r="U1635"/>
      <c r="V1635"/>
      <c r="W1635"/>
    </row>
    <row r="1636" spans="21:23" ht="21.75" customHeight="1" x14ac:dyDescent="0.45">
      <c r="U1636"/>
      <c r="V1636"/>
      <c r="W1636"/>
    </row>
    <row r="1637" spans="21:23" ht="21.75" customHeight="1" x14ac:dyDescent="0.45">
      <c r="U1637"/>
      <c r="V1637"/>
      <c r="W1637"/>
    </row>
    <row r="1638" spans="21:23" ht="21.75" customHeight="1" x14ac:dyDescent="0.45">
      <c r="U1638"/>
      <c r="V1638"/>
      <c r="W1638"/>
    </row>
    <row r="1639" spans="21:23" ht="21.75" customHeight="1" x14ac:dyDescent="0.45">
      <c r="U1639"/>
      <c r="V1639"/>
      <c r="W1639"/>
    </row>
    <row r="1640" spans="21:23" ht="21.75" customHeight="1" x14ac:dyDescent="0.45">
      <c r="U1640"/>
      <c r="V1640"/>
      <c r="W1640"/>
    </row>
    <row r="1641" spans="21:23" ht="21.75" customHeight="1" x14ac:dyDescent="0.45">
      <c r="U1641"/>
      <c r="V1641"/>
      <c r="W1641"/>
    </row>
    <row r="1642" spans="21:23" ht="21.75" customHeight="1" x14ac:dyDescent="0.45">
      <c r="U1642"/>
      <c r="V1642"/>
      <c r="W1642"/>
    </row>
    <row r="1643" spans="21:23" ht="21.75" customHeight="1" x14ac:dyDescent="0.45">
      <c r="U1643"/>
      <c r="V1643"/>
      <c r="W1643"/>
    </row>
    <row r="1644" spans="21:23" ht="21.75" customHeight="1" x14ac:dyDescent="0.45">
      <c r="U1644"/>
      <c r="V1644"/>
      <c r="W1644"/>
    </row>
    <row r="1645" spans="21:23" ht="21.75" customHeight="1" x14ac:dyDescent="0.45">
      <c r="U1645"/>
      <c r="V1645"/>
      <c r="W1645"/>
    </row>
    <row r="1646" spans="21:23" ht="21.75" customHeight="1" x14ac:dyDescent="0.45">
      <c r="U1646"/>
      <c r="V1646"/>
      <c r="W1646"/>
    </row>
    <row r="1647" spans="21:23" ht="21.75" customHeight="1" x14ac:dyDescent="0.45">
      <c r="U1647"/>
      <c r="V1647"/>
      <c r="W1647"/>
    </row>
    <row r="1648" spans="21:23" ht="21.75" customHeight="1" x14ac:dyDescent="0.45">
      <c r="U1648"/>
      <c r="V1648"/>
      <c r="W1648"/>
    </row>
    <row r="1649" spans="21:23" ht="21.75" customHeight="1" x14ac:dyDescent="0.45">
      <c r="U1649"/>
      <c r="V1649"/>
      <c r="W1649"/>
    </row>
    <row r="1650" spans="21:23" ht="21.75" customHeight="1" x14ac:dyDescent="0.45">
      <c r="U1650"/>
      <c r="V1650"/>
      <c r="W1650"/>
    </row>
    <row r="1651" spans="21:23" ht="21.75" customHeight="1" x14ac:dyDescent="0.45">
      <c r="U1651"/>
      <c r="V1651"/>
      <c r="W1651"/>
    </row>
    <row r="1652" spans="21:23" ht="21.75" customHeight="1" x14ac:dyDescent="0.45">
      <c r="U1652"/>
      <c r="V1652"/>
      <c r="W1652"/>
    </row>
    <row r="1653" spans="21:23" ht="21.75" customHeight="1" x14ac:dyDescent="0.45">
      <c r="U1653"/>
      <c r="V1653"/>
      <c r="W1653"/>
    </row>
    <row r="1654" spans="21:23" ht="21.75" customHeight="1" x14ac:dyDescent="0.45">
      <c r="U1654"/>
      <c r="V1654"/>
      <c r="W1654"/>
    </row>
    <row r="1655" spans="21:23" ht="21.75" customHeight="1" x14ac:dyDescent="0.45">
      <c r="U1655"/>
      <c r="V1655"/>
      <c r="W1655"/>
    </row>
    <row r="1656" spans="21:23" ht="21.75" customHeight="1" x14ac:dyDescent="0.45">
      <c r="U1656"/>
      <c r="V1656"/>
      <c r="W1656"/>
    </row>
    <row r="1657" spans="21:23" ht="21.75" customHeight="1" x14ac:dyDescent="0.45">
      <c r="U1657"/>
      <c r="V1657"/>
      <c r="W1657"/>
    </row>
    <row r="1658" spans="21:23" ht="21.75" customHeight="1" x14ac:dyDescent="0.45">
      <c r="U1658"/>
      <c r="V1658"/>
      <c r="W1658"/>
    </row>
    <row r="1659" spans="21:23" ht="21.75" customHeight="1" x14ac:dyDescent="0.45">
      <c r="U1659"/>
      <c r="V1659"/>
      <c r="W1659"/>
    </row>
    <row r="1660" spans="21:23" ht="21.75" customHeight="1" x14ac:dyDescent="0.45">
      <c r="U1660"/>
      <c r="V1660"/>
      <c r="W1660"/>
    </row>
    <row r="1661" spans="21:23" ht="21.75" customHeight="1" x14ac:dyDescent="0.45">
      <c r="U1661"/>
      <c r="V1661"/>
      <c r="W1661"/>
    </row>
    <row r="1662" spans="21:23" ht="21.75" customHeight="1" x14ac:dyDescent="0.45">
      <c r="U1662"/>
      <c r="V1662"/>
      <c r="W1662"/>
    </row>
    <row r="1663" spans="21:23" ht="21.75" customHeight="1" x14ac:dyDescent="0.45">
      <c r="U1663"/>
      <c r="V1663"/>
      <c r="W1663"/>
    </row>
    <row r="1664" spans="21:23" ht="21.75" customHeight="1" x14ac:dyDescent="0.45">
      <c r="U1664"/>
      <c r="V1664"/>
      <c r="W1664"/>
    </row>
    <row r="1665" spans="21:23" ht="21.75" customHeight="1" x14ac:dyDescent="0.45">
      <c r="U1665"/>
      <c r="V1665"/>
      <c r="W1665"/>
    </row>
    <row r="1666" spans="21:23" ht="21.75" customHeight="1" x14ac:dyDescent="0.45">
      <c r="U1666"/>
      <c r="V1666"/>
      <c r="W1666"/>
    </row>
    <row r="1667" spans="21:23" ht="21.75" customHeight="1" x14ac:dyDescent="0.45">
      <c r="U1667"/>
      <c r="V1667"/>
      <c r="W1667"/>
    </row>
    <row r="1668" spans="21:23" ht="21.75" customHeight="1" x14ac:dyDescent="0.45">
      <c r="U1668"/>
      <c r="V1668"/>
      <c r="W1668"/>
    </row>
    <row r="1669" spans="21:23" ht="21.75" customHeight="1" x14ac:dyDescent="0.45">
      <c r="U1669"/>
      <c r="V1669"/>
      <c r="W1669"/>
    </row>
    <row r="1670" spans="21:23" ht="21.75" customHeight="1" x14ac:dyDescent="0.45">
      <c r="U1670"/>
      <c r="V1670"/>
      <c r="W1670"/>
    </row>
    <row r="1671" spans="21:23" ht="21.75" customHeight="1" x14ac:dyDescent="0.45">
      <c r="U1671"/>
      <c r="V1671"/>
      <c r="W1671"/>
    </row>
    <row r="1672" spans="21:23" ht="21.75" customHeight="1" x14ac:dyDescent="0.45">
      <c r="U1672"/>
      <c r="V1672"/>
      <c r="W1672"/>
    </row>
    <row r="1673" spans="21:23" ht="21.75" customHeight="1" x14ac:dyDescent="0.45">
      <c r="U1673"/>
      <c r="V1673"/>
      <c r="W1673"/>
    </row>
    <row r="1674" spans="21:23" ht="21.75" customHeight="1" x14ac:dyDescent="0.45">
      <c r="U1674"/>
      <c r="V1674"/>
      <c r="W1674"/>
    </row>
    <row r="1675" spans="21:23" ht="21.75" customHeight="1" x14ac:dyDescent="0.45">
      <c r="U1675"/>
      <c r="V1675"/>
      <c r="W1675"/>
    </row>
    <row r="1676" spans="21:23" ht="21.75" customHeight="1" x14ac:dyDescent="0.45">
      <c r="U1676"/>
      <c r="V1676"/>
      <c r="W1676"/>
    </row>
    <row r="1677" spans="21:23" ht="21.75" customHeight="1" x14ac:dyDescent="0.45">
      <c r="U1677"/>
      <c r="V1677"/>
      <c r="W1677"/>
    </row>
    <row r="1678" spans="21:23" ht="21.75" customHeight="1" x14ac:dyDescent="0.45">
      <c r="U1678"/>
      <c r="V1678"/>
      <c r="W1678"/>
    </row>
    <row r="1679" spans="21:23" ht="21.75" customHeight="1" x14ac:dyDescent="0.45">
      <c r="U1679"/>
      <c r="V1679"/>
      <c r="W1679"/>
    </row>
    <row r="1680" spans="21:23" ht="21.75" customHeight="1" x14ac:dyDescent="0.45">
      <c r="U1680"/>
      <c r="V1680"/>
      <c r="W1680"/>
    </row>
    <row r="1681" spans="21:23" ht="21.75" customHeight="1" x14ac:dyDescent="0.45">
      <c r="U1681"/>
      <c r="V1681"/>
      <c r="W1681"/>
    </row>
    <row r="1682" spans="21:23" ht="21.75" customHeight="1" x14ac:dyDescent="0.45">
      <c r="U1682"/>
      <c r="V1682"/>
      <c r="W1682"/>
    </row>
    <row r="1683" spans="21:23" ht="21.75" customHeight="1" x14ac:dyDescent="0.45">
      <c r="U1683"/>
      <c r="V1683"/>
      <c r="W1683"/>
    </row>
    <row r="1684" spans="21:23" ht="21.75" customHeight="1" x14ac:dyDescent="0.45">
      <c r="U1684"/>
      <c r="V1684"/>
      <c r="W1684"/>
    </row>
    <row r="1685" spans="21:23" ht="21.75" customHeight="1" x14ac:dyDescent="0.45">
      <c r="U1685"/>
      <c r="V1685"/>
      <c r="W1685"/>
    </row>
    <row r="1686" spans="21:23" ht="21.75" customHeight="1" x14ac:dyDescent="0.45">
      <c r="U1686"/>
      <c r="V1686"/>
      <c r="W1686"/>
    </row>
    <row r="1687" spans="21:23" ht="21.75" customHeight="1" x14ac:dyDescent="0.45">
      <c r="U1687"/>
      <c r="V1687"/>
      <c r="W1687"/>
    </row>
    <row r="1688" spans="21:23" ht="21.75" customHeight="1" x14ac:dyDescent="0.45">
      <c r="U1688"/>
      <c r="V1688"/>
      <c r="W1688"/>
    </row>
    <row r="1689" spans="21:23" ht="21.75" customHeight="1" x14ac:dyDescent="0.45">
      <c r="U1689"/>
      <c r="V1689"/>
      <c r="W1689"/>
    </row>
    <row r="1690" spans="21:23" ht="21.75" customHeight="1" x14ac:dyDescent="0.45">
      <c r="U1690"/>
      <c r="V1690"/>
      <c r="W1690"/>
    </row>
    <row r="1691" spans="21:23" ht="21.75" customHeight="1" x14ac:dyDescent="0.45">
      <c r="U1691"/>
      <c r="V1691"/>
      <c r="W1691"/>
    </row>
    <row r="1692" spans="21:23" ht="21.75" customHeight="1" x14ac:dyDescent="0.45">
      <c r="U1692"/>
      <c r="V1692"/>
      <c r="W1692"/>
    </row>
    <row r="1693" spans="21:23" ht="21.75" customHeight="1" x14ac:dyDescent="0.45">
      <c r="U1693"/>
      <c r="V1693"/>
      <c r="W1693"/>
    </row>
    <row r="1694" spans="21:23" ht="21.75" customHeight="1" x14ac:dyDescent="0.45">
      <c r="U1694"/>
      <c r="V1694"/>
      <c r="W1694"/>
    </row>
    <row r="1695" spans="21:23" ht="21.75" customHeight="1" x14ac:dyDescent="0.45">
      <c r="U1695"/>
      <c r="V1695"/>
      <c r="W1695"/>
    </row>
    <row r="1696" spans="21:23" ht="21.75" customHeight="1" x14ac:dyDescent="0.45">
      <c r="U1696"/>
      <c r="V1696"/>
      <c r="W1696"/>
    </row>
    <row r="1697" spans="21:23" ht="21.75" customHeight="1" x14ac:dyDescent="0.45">
      <c r="U1697"/>
      <c r="V1697"/>
      <c r="W1697"/>
    </row>
    <row r="1698" spans="21:23" ht="21.75" customHeight="1" x14ac:dyDescent="0.45">
      <c r="U1698"/>
      <c r="V1698"/>
      <c r="W1698"/>
    </row>
    <row r="1699" spans="21:23" ht="21.75" customHeight="1" x14ac:dyDescent="0.45">
      <c r="U1699"/>
      <c r="V1699"/>
      <c r="W1699"/>
    </row>
    <row r="1700" spans="21:23" ht="21.75" customHeight="1" x14ac:dyDescent="0.45">
      <c r="U1700"/>
      <c r="V1700"/>
      <c r="W1700"/>
    </row>
    <row r="1701" spans="21:23" ht="21.75" customHeight="1" x14ac:dyDescent="0.45">
      <c r="U1701"/>
      <c r="V1701"/>
      <c r="W1701"/>
    </row>
    <row r="1702" spans="21:23" ht="21.75" customHeight="1" x14ac:dyDescent="0.45">
      <c r="U1702"/>
      <c r="V1702"/>
      <c r="W1702"/>
    </row>
    <row r="1703" spans="21:23" ht="21.75" customHeight="1" x14ac:dyDescent="0.45">
      <c r="U1703"/>
      <c r="V1703"/>
      <c r="W1703"/>
    </row>
    <row r="1704" spans="21:23" ht="21.75" customHeight="1" x14ac:dyDescent="0.45">
      <c r="U1704"/>
      <c r="V1704"/>
      <c r="W1704"/>
    </row>
    <row r="1705" spans="21:23" ht="21.75" customHeight="1" x14ac:dyDescent="0.45">
      <c r="U1705"/>
      <c r="V1705"/>
      <c r="W1705"/>
    </row>
    <row r="1706" spans="21:23" ht="21.75" customHeight="1" x14ac:dyDescent="0.45">
      <c r="U1706"/>
      <c r="V1706"/>
      <c r="W1706"/>
    </row>
    <row r="1707" spans="21:23" ht="21.75" customHeight="1" x14ac:dyDescent="0.45">
      <c r="U1707"/>
      <c r="V1707"/>
      <c r="W1707"/>
    </row>
    <row r="1708" spans="21:23" ht="21.75" customHeight="1" x14ac:dyDescent="0.45">
      <c r="U1708"/>
      <c r="V1708"/>
      <c r="W1708"/>
    </row>
    <row r="1709" spans="21:23" ht="21.75" customHeight="1" x14ac:dyDescent="0.45">
      <c r="U1709"/>
      <c r="V1709"/>
      <c r="W1709"/>
    </row>
    <row r="1710" spans="21:23" ht="21.75" customHeight="1" x14ac:dyDescent="0.45">
      <c r="U1710"/>
      <c r="V1710"/>
      <c r="W1710"/>
    </row>
    <row r="1711" spans="21:23" ht="21.75" customHeight="1" x14ac:dyDescent="0.45">
      <c r="U1711"/>
      <c r="V1711"/>
      <c r="W1711"/>
    </row>
    <row r="1712" spans="21:23" ht="21.75" customHeight="1" x14ac:dyDescent="0.45">
      <c r="U1712"/>
      <c r="V1712"/>
      <c r="W1712"/>
    </row>
    <row r="1713" spans="21:23" ht="21.75" customHeight="1" x14ac:dyDescent="0.45">
      <c r="U1713"/>
      <c r="V1713"/>
      <c r="W1713"/>
    </row>
    <row r="1714" spans="21:23" ht="21.75" customHeight="1" x14ac:dyDescent="0.45">
      <c r="U1714"/>
      <c r="V1714"/>
      <c r="W1714"/>
    </row>
    <row r="1715" spans="21:23" ht="21.75" customHeight="1" x14ac:dyDescent="0.45">
      <c r="U1715"/>
      <c r="V1715"/>
      <c r="W1715"/>
    </row>
    <row r="1716" spans="21:23" ht="21.75" customHeight="1" x14ac:dyDescent="0.45">
      <c r="U1716"/>
      <c r="V1716"/>
      <c r="W1716"/>
    </row>
    <row r="1717" spans="21:23" ht="21.75" customHeight="1" x14ac:dyDescent="0.45">
      <c r="U1717"/>
      <c r="V1717"/>
      <c r="W1717"/>
    </row>
    <row r="1718" spans="21:23" ht="21.75" customHeight="1" x14ac:dyDescent="0.45">
      <c r="U1718"/>
      <c r="V1718"/>
      <c r="W1718"/>
    </row>
    <row r="1719" spans="21:23" ht="21.75" customHeight="1" x14ac:dyDescent="0.45">
      <c r="U1719"/>
      <c r="V1719"/>
      <c r="W1719"/>
    </row>
    <row r="1720" spans="21:23" ht="21.75" customHeight="1" x14ac:dyDescent="0.45">
      <c r="U1720"/>
      <c r="V1720"/>
      <c r="W1720"/>
    </row>
    <row r="1721" spans="21:23" ht="21.75" customHeight="1" x14ac:dyDescent="0.45">
      <c r="U1721"/>
      <c r="V1721"/>
      <c r="W1721"/>
    </row>
    <row r="1722" spans="21:23" ht="21.75" customHeight="1" x14ac:dyDescent="0.45">
      <c r="U1722"/>
      <c r="V1722"/>
      <c r="W1722"/>
    </row>
    <row r="1723" spans="21:23" ht="21.75" customHeight="1" x14ac:dyDescent="0.45">
      <c r="U1723"/>
      <c r="V1723"/>
      <c r="W1723"/>
    </row>
    <row r="1724" spans="21:23" ht="21.75" customHeight="1" x14ac:dyDescent="0.45">
      <c r="U1724"/>
      <c r="V1724"/>
      <c r="W1724"/>
    </row>
    <row r="1725" spans="21:23" ht="21.75" customHeight="1" x14ac:dyDescent="0.45">
      <c r="U1725"/>
      <c r="V1725"/>
      <c r="W1725"/>
    </row>
    <row r="1726" spans="21:23" ht="21.75" customHeight="1" x14ac:dyDescent="0.45">
      <c r="U1726"/>
      <c r="V1726"/>
      <c r="W1726"/>
    </row>
    <row r="1727" spans="21:23" ht="21.75" customHeight="1" x14ac:dyDescent="0.45">
      <c r="U1727"/>
      <c r="V1727"/>
      <c r="W1727"/>
    </row>
    <row r="1728" spans="21:23" ht="21.75" customHeight="1" x14ac:dyDescent="0.45">
      <c r="U1728"/>
      <c r="V1728"/>
      <c r="W1728"/>
    </row>
    <row r="1729" spans="21:23" ht="21.75" customHeight="1" x14ac:dyDescent="0.45">
      <c r="U1729"/>
      <c r="V1729"/>
      <c r="W1729"/>
    </row>
    <row r="1730" spans="21:23" ht="21.75" customHeight="1" x14ac:dyDescent="0.45">
      <c r="U1730"/>
      <c r="V1730"/>
      <c r="W1730"/>
    </row>
    <row r="1731" spans="21:23" ht="21.75" customHeight="1" x14ac:dyDescent="0.45">
      <c r="U1731"/>
      <c r="V1731"/>
      <c r="W1731"/>
    </row>
    <row r="1732" spans="21:23" ht="21.75" customHeight="1" x14ac:dyDescent="0.45">
      <c r="U1732"/>
      <c r="V1732"/>
      <c r="W1732"/>
    </row>
    <row r="1733" spans="21:23" ht="21.75" customHeight="1" x14ac:dyDescent="0.45">
      <c r="U1733"/>
      <c r="V1733"/>
      <c r="W1733"/>
    </row>
    <row r="1734" spans="21:23" ht="21.75" customHeight="1" x14ac:dyDescent="0.45">
      <c r="U1734"/>
      <c r="V1734"/>
      <c r="W1734"/>
    </row>
    <row r="1735" spans="21:23" ht="21.75" customHeight="1" x14ac:dyDescent="0.45">
      <c r="U1735"/>
      <c r="V1735"/>
      <c r="W1735"/>
    </row>
    <row r="1736" spans="21:23" ht="21.75" customHeight="1" x14ac:dyDescent="0.45">
      <c r="U1736"/>
      <c r="V1736"/>
      <c r="W1736"/>
    </row>
    <row r="1737" spans="21:23" ht="21.75" customHeight="1" x14ac:dyDescent="0.45">
      <c r="U1737"/>
      <c r="V1737"/>
      <c r="W1737"/>
    </row>
    <row r="1738" spans="21:23" ht="21.75" customHeight="1" x14ac:dyDescent="0.45">
      <c r="U1738"/>
      <c r="V1738"/>
      <c r="W1738"/>
    </row>
    <row r="1739" spans="21:23" ht="21.75" customHeight="1" x14ac:dyDescent="0.45">
      <c r="U1739"/>
      <c r="V1739"/>
      <c r="W1739"/>
    </row>
    <row r="1740" spans="21:23" ht="21.75" customHeight="1" x14ac:dyDescent="0.45">
      <c r="U1740"/>
      <c r="V1740"/>
      <c r="W1740"/>
    </row>
    <row r="1741" spans="21:23" ht="21.75" customHeight="1" x14ac:dyDescent="0.45">
      <c r="U1741"/>
      <c r="V1741"/>
      <c r="W1741"/>
    </row>
    <row r="1742" spans="21:23" ht="21.75" customHeight="1" x14ac:dyDescent="0.45">
      <c r="U1742"/>
      <c r="V1742"/>
      <c r="W1742"/>
    </row>
    <row r="1743" spans="21:23" ht="21.75" customHeight="1" x14ac:dyDescent="0.45">
      <c r="U1743"/>
      <c r="V1743"/>
      <c r="W1743"/>
    </row>
    <row r="1744" spans="21:23" ht="21.75" customHeight="1" x14ac:dyDescent="0.45">
      <c r="U1744"/>
      <c r="V1744"/>
      <c r="W1744"/>
    </row>
    <row r="1745" spans="21:23" ht="21.75" customHeight="1" x14ac:dyDescent="0.45">
      <c r="U1745"/>
      <c r="V1745"/>
      <c r="W1745"/>
    </row>
    <row r="1746" spans="21:23" ht="21.75" customHeight="1" x14ac:dyDescent="0.45">
      <c r="U1746"/>
      <c r="V1746"/>
      <c r="W1746"/>
    </row>
    <row r="1747" spans="21:23" ht="21.75" customHeight="1" x14ac:dyDescent="0.45">
      <c r="U1747"/>
      <c r="V1747"/>
      <c r="W1747"/>
    </row>
    <row r="1748" spans="21:23" ht="21.75" customHeight="1" x14ac:dyDescent="0.45">
      <c r="U1748"/>
      <c r="V1748"/>
      <c r="W1748"/>
    </row>
    <row r="1749" spans="21:23" ht="21.75" customHeight="1" x14ac:dyDescent="0.45">
      <c r="U1749"/>
      <c r="V1749"/>
      <c r="W1749"/>
    </row>
    <row r="1750" spans="21:23" ht="21.75" customHeight="1" x14ac:dyDescent="0.45">
      <c r="U1750"/>
      <c r="V1750"/>
      <c r="W1750"/>
    </row>
    <row r="1751" spans="21:23" ht="21.75" customHeight="1" x14ac:dyDescent="0.45">
      <c r="U1751"/>
      <c r="V1751"/>
      <c r="W1751"/>
    </row>
    <row r="1752" spans="21:23" ht="21.75" customHeight="1" x14ac:dyDescent="0.45">
      <c r="U1752"/>
      <c r="V1752"/>
      <c r="W1752"/>
    </row>
    <row r="1753" spans="21:23" ht="21.75" customHeight="1" x14ac:dyDescent="0.45">
      <c r="U1753"/>
      <c r="V1753"/>
      <c r="W1753"/>
    </row>
    <row r="1754" spans="21:23" ht="21.75" customHeight="1" x14ac:dyDescent="0.45">
      <c r="U1754"/>
      <c r="V1754"/>
      <c r="W1754"/>
    </row>
    <row r="1755" spans="21:23" ht="21.75" customHeight="1" x14ac:dyDescent="0.45">
      <c r="U1755"/>
      <c r="V1755"/>
      <c r="W1755"/>
    </row>
    <row r="1756" spans="21:23" ht="21.75" customHeight="1" x14ac:dyDescent="0.45">
      <c r="U1756"/>
      <c r="V1756"/>
      <c r="W1756"/>
    </row>
    <row r="1757" spans="21:23" ht="21.75" customHeight="1" x14ac:dyDescent="0.45">
      <c r="U1757"/>
      <c r="V1757"/>
      <c r="W1757"/>
    </row>
    <row r="1758" spans="21:23" ht="21.75" customHeight="1" x14ac:dyDescent="0.45">
      <c r="U1758"/>
      <c r="V1758"/>
      <c r="W1758"/>
    </row>
    <row r="1759" spans="21:23" ht="21.75" customHeight="1" x14ac:dyDescent="0.45">
      <c r="U1759"/>
      <c r="V1759"/>
      <c r="W1759"/>
    </row>
    <row r="1760" spans="21:23" ht="21.75" customHeight="1" x14ac:dyDescent="0.45">
      <c r="U1760"/>
      <c r="V1760"/>
      <c r="W1760"/>
    </row>
    <row r="1761" spans="21:23" ht="21.75" customHeight="1" x14ac:dyDescent="0.45">
      <c r="U1761"/>
      <c r="V1761"/>
      <c r="W1761"/>
    </row>
    <row r="1762" spans="21:23" ht="21.75" customHeight="1" x14ac:dyDescent="0.45">
      <c r="U1762"/>
      <c r="V1762"/>
      <c r="W1762"/>
    </row>
    <row r="1763" spans="21:23" ht="21.75" customHeight="1" x14ac:dyDescent="0.45">
      <c r="U1763"/>
      <c r="V1763"/>
      <c r="W1763"/>
    </row>
    <row r="1764" spans="21:23" ht="21.75" customHeight="1" x14ac:dyDescent="0.45">
      <c r="U1764"/>
      <c r="V1764"/>
      <c r="W1764"/>
    </row>
    <row r="1765" spans="21:23" ht="21.75" customHeight="1" x14ac:dyDescent="0.45">
      <c r="U1765"/>
      <c r="V1765"/>
      <c r="W1765"/>
    </row>
    <row r="1766" spans="21:23" ht="21.75" customHeight="1" x14ac:dyDescent="0.45">
      <c r="U1766"/>
      <c r="V1766"/>
      <c r="W1766"/>
    </row>
    <row r="1767" spans="21:23" ht="21.75" customHeight="1" x14ac:dyDescent="0.45">
      <c r="U1767"/>
      <c r="V1767"/>
      <c r="W1767"/>
    </row>
    <row r="1768" spans="21:23" ht="21.75" customHeight="1" x14ac:dyDescent="0.45">
      <c r="U1768"/>
      <c r="V1768"/>
      <c r="W1768"/>
    </row>
    <row r="1769" spans="21:23" ht="21.75" customHeight="1" x14ac:dyDescent="0.45">
      <c r="U1769"/>
      <c r="V1769"/>
      <c r="W1769"/>
    </row>
    <row r="1770" spans="21:23" ht="21.75" customHeight="1" x14ac:dyDescent="0.45">
      <c r="U1770"/>
      <c r="V1770"/>
      <c r="W1770"/>
    </row>
    <row r="1771" spans="21:23" ht="21.75" customHeight="1" x14ac:dyDescent="0.45">
      <c r="U1771"/>
      <c r="V1771"/>
      <c r="W1771"/>
    </row>
    <row r="1772" spans="21:23" ht="21.75" customHeight="1" x14ac:dyDescent="0.45">
      <c r="U1772"/>
      <c r="V1772"/>
      <c r="W1772"/>
    </row>
    <row r="1773" spans="21:23" ht="21.75" customHeight="1" x14ac:dyDescent="0.45">
      <c r="U1773"/>
      <c r="V1773"/>
      <c r="W1773"/>
    </row>
    <row r="1774" spans="21:23" ht="21.75" customHeight="1" x14ac:dyDescent="0.45">
      <c r="U1774"/>
      <c r="V1774"/>
      <c r="W1774"/>
    </row>
    <row r="1775" spans="21:23" ht="21.75" customHeight="1" x14ac:dyDescent="0.45">
      <c r="U1775"/>
      <c r="V1775"/>
      <c r="W1775"/>
    </row>
    <row r="1776" spans="21:23" ht="21.75" customHeight="1" x14ac:dyDescent="0.45">
      <c r="U1776"/>
      <c r="V1776"/>
      <c r="W1776"/>
    </row>
    <row r="1777" spans="21:23" ht="21.75" customHeight="1" x14ac:dyDescent="0.45">
      <c r="U1777"/>
      <c r="V1777"/>
      <c r="W1777"/>
    </row>
    <row r="1778" spans="21:23" ht="21.75" customHeight="1" x14ac:dyDescent="0.45">
      <c r="U1778"/>
      <c r="V1778"/>
      <c r="W1778"/>
    </row>
    <row r="1779" spans="21:23" ht="21.75" customHeight="1" x14ac:dyDescent="0.45">
      <c r="U1779"/>
      <c r="V1779"/>
      <c r="W1779"/>
    </row>
    <row r="1780" spans="21:23" ht="21.75" customHeight="1" x14ac:dyDescent="0.45">
      <c r="U1780"/>
      <c r="V1780"/>
      <c r="W1780"/>
    </row>
    <row r="1781" spans="21:23" ht="21.75" customHeight="1" x14ac:dyDescent="0.45">
      <c r="U1781"/>
      <c r="V1781"/>
      <c r="W1781"/>
    </row>
    <row r="1782" spans="21:23" ht="21.75" customHeight="1" x14ac:dyDescent="0.45">
      <c r="U1782"/>
      <c r="V1782"/>
      <c r="W1782"/>
    </row>
    <row r="1783" spans="21:23" ht="21.75" customHeight="1" x14ac:dyDescent="0.45">
      <c r="U1783"/>
      <c r="V1783"/>
      <c r="W1783"/>
    </row>
    <row r="1784" spans="21:23" ht="21.75" customHeight="1" x14ac:dyDescent="0.45">
      <c r="U1784"/>
      <c r="V1784"/>
      <c r="W1784"/>
    </row>
    <row r="1785" spans="21:23" ht="21.75" customHeight="1" x14ac:dyDescent="0.45">
      <c r="U1785"/>
      <c r="V1785"/>
      <c r="W1785"/>
    </row>
    <row r="1786" spans="21:23" ht="21.75" customHeight="1" x14ac:dyDescent="0.45">
      <c r="U1786"/>
      <c r="V1786"/>
      <c r="W1786"/>
    </row>
    <row r="1787" spans="21:23" ht="21.75" customHeight="1" x14ac:dyDescent="0.45">
      <c r="U1787"/>
      <c r="V1787"/>
      <c r="W1787"/>
    </row>
    <row r="1788" spans="21:23" ht="21.75" customHeight="1" x14ac:dyDescent="0.45">
      <c r="U1788"/>
      <c r="V1788"/>
      <c r="W1788"/>
    </row>
    <row r="1789" spans="21:23" ht="21.75" customHeight="1" x14ac:dyDescent="0.45">
      <c r="U1789"/>
      <c r="V1789"/>
      <c r="W1789"/>
    </row>
    <row r="1790" spans="21:23" ht="21.75" customHeight="1" x14ac:dyDescent="0.45">
      <c r="U1790"/>
      <c r="V1790"/>
      <c r="W1790"/>
    </row>
    <row r="1791" spans="21:23" ht="21.75" customHeight="1" x14ac:dyDescent="0.45">
      <c r="U1791"/>
      <c r="V1791"/>
      <c r="W1791"/>
    </row>
    <row r="1792" spans="21:23" ht="21.75" customHeight="1" x14ac:dyDescent="0.45">
      <c r="U1792"/>
      <c r="V1792"/>
      <c r="W1792"/>
    </row>
    <row r="1793" spans="21:23" ht="21.75" customHeight="1" x14ac:dyDescent="0.45">
      <c r="U1793"/>
      <c r="V1793"/>
      <c r="W1793"/>
    </row>
    <row r="1794" spans="21:23" ht="21.75" customHeight="1" x14ac:dyDescent="0.45">
      <c r="U1794"/>
      <c r="V1794"/>
      <c r="W1794"/>
    </row>
    <row r="1795" spans="21:23" ht="21.75" customHeight="1" x14ac:dyDescent="0.45">
      <c r="U1795"/>
      <c r="V1795"/>
      <c r="W1795"/>
    </row>
    <row r="1796" spans="21:23" ht="21.75" customHeight="1" x14ac:dyDescent="0.45">
      <c r="U1796"/>
      <c r="V1796"/>
      <c r="W1796"/>
    </row>
    <row r="1797" spans="21:23" ht="21.75" customHeight="1" x14ac:dyDescent="0.45">
      <c r="U1797"/>
      <c r="V1797"/>
      <c r="W1797"/>
    </row>
    <row r="1798" spans="21:23" ht="21.75" customHeight="1" x14ac:dyDescent="0.45">
      <c r="U1798"/>
      <c r="V1798"/>
      <c r="W1798"/>
    </row>
    <row r="1799" spans="21:23" ht="21.75" customHeight="1" x14ac:dyDescent="0.45">
      <c r="U1799"/>
      <c r="V1799"/>
      <c r="W1799"/>
    </row>
    <row r="1800" spans="21:23" ht="21.75" customHeight="1" x14ac:dyDescent="0.45">
      <c r="U1800"/>
      <c r="V1800"/>
      <c r="W1800"/>
    </row>
    <row r="1801" spans="21:23" ht="21.75" customHeight="1" x14ac:dyDescent="0.45">
      <c r="U1801"/>
      <c r="V1801"/>
      <c r="W1801"/>
    </row>
    <row r="1802" spans="21:23" ht="21.75" customHeight="1" x14ac:dyDescent="0.45">
      <c r="U1802"/>
      <c r="V1802"/>
      <c r="W1802"/>
    </row>
    <row r="1803" spans="21:23" ht="21.75" customHeight="1" x14ac:dyDescent="0.45">
      <c r="U1803"/>
      <c r="V1803"/>
      <c r="W1803"/>
    </row>
    <row r="1804" spans="21:23" ht="21.75" customHeight="1" x14ac:dyDescent="0.45">
      <c r="U1804"/>
      <c r="V1804"/>
      <c r="W1804"/>
    </row>
    <row r="1805" spans="21:23" ht="21.75" customHeight="1" x14ac:dyDescent="0.45">
      <c r="U1805"/>
      <c r="V1805"/>
      <c r="W1805"/>
    </row>
    <row r="1806" spans="21:23" ht="21.75" customHeight="1" x14ac:dyDescent="0.45">
      <c r="U1806"/>
      <c r="V1806"/>
      <c r="W1806"/>
    </row>
    <row r="1807" spans="21:23" ht="21.75" customHeight="1" x14ac:dyDescent="0.45">
      <c r="U1807"/>
      <c r="V1807"/>
      <c r="W1807"/>
    </row>
    <row r="1808" spans="21:23" ht="21.75" customHeight="1" x14ac:dyDescent="0.45">
      <c r="U1808"/>
      <c r="V1808"/>
      <c r="W1808"/>
    </row>
    <row r="1809" spans="21:23" ht="21.75" customHeight="1" x14ac:dyDescent="0.45">
      <c r="U1809"/>
      <c r="V1809"/>
      <c r="W1809"/>
    </row>
    <row r="1810" spans="21:23" ht="21.75" customHeight="1" x14ac:dyDescent="0.45">
      <c r="U1810"/>
      <c r="V1810"/>
      <c r="W1810"/>
    </row>
    <row r="1811" spans="21:23" ht="21.75" customHeight="1" x14ac:dyDescent="0.45">
      <c r="U1811"/>
      <c r="V1811"/>
      <c r="W1811"/>
    </row>
    <row r="1812" spans="21:23" ht="21.75" customHeight="1" x14ac:dyDescent="0.45">
      <c r="U1812"/>
      <c r="V1812"/>
      <c r="W1812"/>
    </row>
    <row r="1813" spans="21:23" ht="21.75" customHeight="1" x14ac:dyDescent="0.45">
      <c r="U1813"/>
      <c r="V1813"/>
      <c r="W1813"/>
    </row>
    <row r="1814" spans="21:23" ht="21.75" customHeight="1" x14ac:dyDescent="0.45">
      <c r="U1814"/>
      <c r="V1814"/>
      <c r="W1814"/>
    </row>
    <row r="1815" spans="21:23" ht="21.75" customHeight="1" x14ac:dyDescent="0.45">
      <c r="U1815"/>
      <c r="V1815"/>
      <c r="W1815"/>
    </row>
    <row r="1816" spans="21:23" ht="21.75" customHeight="1" x14ac:dyDescent="0.45">
      <c r="U1816"/>
      <c r="V1816"/>
      <c r="W1816"/>
    </row>
    <row r="1817" spans="21:23" ht="21.75" customHeight="1" x14ac:dyDescent="0.45">
      <c r="U1817"/>
      <c r="V1817"/>
      <c r="W1817"/>
    </row>
    <row r="1818" spans="21:23" ht="21.75" customHeight="1" x14ac:dyDescent="0.45">
      <c r="U1818"/>
      <c r="V1818"/>
      <c r="W1818"/>
    </row>
    <row r="1819" spans="21:23" ht="21.75" customHeight="1" x14ac:dyDescent="0.45">
      <c r="U1819"/>
      <c r="V1819"/>
      <c r="W1819"/>
    </row>
    <row r="1820" spans="21:23" ht="21.75" customHeight="1" x14ac:dyDescent="0.45">
      <c r="U1820"/>
      <c r="V1820"/>
      <c r="W1820"/>
    </row>
    <row r="1821" spans="21:23" ht="21.75" customHeight="1" x14ac:dyDescent="0.45">
      <c r="U1821"/>
      <c r="V1821"/>
      <c r="W1821"/>
    </row>
    <row r="1822" spans="21:23" ht="21.75" customHeight="1" x14ac:dyDescent="0.45">
      <c r="U1822"/>
      <c r="V1822"/>
      <c r="W1822"/>
    </row>
    <row r="1823" spans="21:23" ht="21.75" customHeight="1" x14ac:dyDescent="0.45">
      <c r="U1823"/>
      <c r="V1823"/>
      <c r="W1823"/>
    </row>
    <row r="1824" spans="21:23" ht="21.75" customHeight="1" x14ac:dyDescent="0.45">
      <c r="U1824"/>
      <c r="V1824"/>
      <c r="W1824"/>
    </row>
    <row r="1825" spans="21:23" ht="21.75" customHeight="1" x14ac:dyDescent="0.45">
      <c r="U1825"/>
      <c r="V1825"/>
      <c r="W1825"/>
    </row>
    <row r="1826" spans="21:23" ht="21.75" customHeight="1" x14ac:dyDescent="0.45">
      <c r="U1826"/>
      <c r="V1826"/>
      <c r="W1826"/>
    </row>
    <row r="1827" spans="21:23" ht="21.75" customHeight="1" x14ac:dyDescent="0.45">
      <c r="U1827"/>
      <c r="V1827"/>
      <c r="W1827"/>
    </row>
    <row r="1828" spans="21:23" ht="21.75" customHeight="1" x14ac:dyDescent="0.45">
      <c r="U1828"/>
      <c r="V1828"/>
      <c r="W1828"/>
    </row>
    <row r="1829" spans="21:23" ht="21.75" customHeight="1" x14ac:dyDescent="0.45">
      <c r="U1829"/>
      <c r="V1829"/>
      <c r="W1829"/>
    </row>
    <row r="1830" spans="21:23" ht="21.75" customHeight="1" x14ac:dyDescent="0.45">
      <c r="U1830"/>
      <c r="V1830"/>
      <c r="W1830"/>
    </row>
    <row r="1831" spans="21:23" ht="21.75" customHeight="1" x14ac:dyDescent="0.45">
      <c r="U1831"/>
      <c r="V1831"/>
      <c r="W1831"/>
    </row>
    <row r="1832" spans="21:23" ht="21.75" customHeight="1" x14ac:dyDescent="0.45">
      <c r="U1832"/>
      <c r="V1832"/>
      <c r="W1832"/>
    </row>
    <row r="1833" spans="21:23" ht="21.75" customHeight="1" x14ac:dyDescent="0.45">
      <c r="U1833"/>
      <c r="V1833"/>
      <c r="W1833"/>
    </row>
    <row r="1834" spans="21:23" ht="21.75" customHeight="1" x14ac:dyDescent="0.45">
      <c r="U1834"/>
      <c r="V1834"/>
      <c r="W1834"/>
    </row>
    <row r="1835" spans="21:23" ht="21.75" customHeight="1" x14ac:dyDescent="0.45">
      <c r="U1835"/>
      <c r="V1835"/>
      <c r="W1835"/>
    </row>
    <row r="1836" spans="21:23" ht="21.75" customHeight="1" x14ac:dyDescent="0.45">
      <c r="U1836"/>
      <c r="V1836"/>
      <c r="W1836"/>
    </row>
    <row r="1837" spans="21:23" ht="21.75" customHeight="1" x14ac:dyDescent="0.45">
      <c r="U1837"/>
      <c r="V1837"/>
      <c r="W1837"/>
    </row>
    <row r="1838" spans="21:23" ht="21.75" customHeight="1" x14ac:dyDescent="0.45">
      <c r="U1838"/>
      <c r="V1838"/>
      <c r="W1838"/>
    </row>
    <row r="1839" spans="21:23" ht="21.75" customHeight="1" x14ac:dyDescent="0.45">
      <c r="U1839"/>
      <c r="V1839"/>
      <c r="W1839"/>
    </row>
    <row r="1840" spans="21:23" ht="21.75" customHeight="1" x14ac:dyDescent="0.45">
      <c r="U1840"/>
      <c r="V1840"/>
      <c r="W1840"/>
    </row>
    <row r="1841" spans="21:23" ht="21.75" customHeight="1" x14ac:dyDescent="0.45">
      <c r="U1841"/>
      <c r="V1841"/>
      <c r="W1841"/>
    </row>
    <row r="1842" spans="21:23" ht="21.75" customHeight="1" x14ac:dyDescent="0.45">
      <c r="U1842"/>
      <c r="V1842"/>
      <c r="W1842"/>
    </row>
    <row r="1843" spans="21:23" ht="21.75" customHeight="1" x14ac:dyDescent="0.45">
      <c r="U1843"/>
      <c r="V1843"/>
      <c r="W1843"/>
    </row>
    <row r="1844" spans="21:23" ht="21.75" customHeight="1" x14ac:dyDescent="0.45">
      <c r="U1844"/>
      <c r="V1844"/>
      <c r="W1844"/>
    </row>
    <row r="1845" spans="21:23" ht="21.75" customHeight="1" x14ac:dyDescent="0.45">
      <c r="U1845"/>
      <c r="V1845"/>
      <c r="W1845"/>
    </row>
    <row r="1846" spans="21:23" ht="21.75" customHeight="1" x14ac:dyDescent="0.45">
      <c r="U1846"/>
      <c r="V1846"/>
      <c r="W1846"/>
    </row>
    <row r="1847" spans="21:23" ht="21.75" customHeight="1" x14ac:dyDescent="0.45">
      <c r="U1847"/>
      <c r="V1847"/>
      <c r="W1847"/>
    </row>
    <row r="1848" spans="21:23" ht="21.75" customHeight="1" x14ac:dyDescent="0.45">
      <c r="U1848"/>
      <c r="V1848"/>
      <c r="W1848"/>
    </row>
    <row r="1849" spans="21:23" ht="21.75" customHeight="1" x14ac:dyDescent="0.45">
      <c r="U1849"/>
      <c r="V1849"/>
      <c r="W1849"/>
    </row>
    <row r="1850" spans="21:23" ht="21.75" customHeight="1" x14ac:dyDescent="0.45">
      <c r="U1850"/>
      <c r="V1850"/>
      <c r="W1850"/>
    </row>
    <row r="1851" spans="21:23" ht="21.75" customHeight="1" x14ac:dyDescent="0.45">
      <c r="U1851"/>
      <c r="V1851"/>
      <c r="W1851"/>
    </row>
    <row r="1852" spans="21:23" ht="21.75" customHeight="1" x14ac:dyDescent="0.45">
      <c r="U1852"/>
      <c r="V1852"/>
      <c r="W1852"/>
    </row>
    <row r="1853" spans="21:23" ht="21.75" customHeight="1" x14ac:dyDescent="0.45">
      <c r="U1853"/>
      <c r="V1853"/>
      <c r="W1853"/>
    </row>
    <row r="1854" spans="21:23" ht="21.75" customHeight="1" x14ac:dyDescent="0.45">
      <c r="U1854"/>
      <c r="V1854"/>
      <c r="W1854"/>
    </row>
    <row r="1855" spans="21:23" ht="21.75" customHeight="1" x14ac:dyDescent="0.45">
      <c r="U1855"/>
      <c r="V1855"/>
      <c r="W1855"/>
    </row>
    <row r="1856" spans="21:23" ht="21.75" customHeight="1" x14ac:dyDescent="0.45">
      <c r="U1856"/>
      <c r="V1856"/>
      <c r="W1856"/>
    </row>
    <row r="1857" spans="21:23" ht="21.75" customHeight="1" x14ac:dyDescent="0.45">
      <c r="U1857"/>
      <c r="V1857"/>
      <c r="W1857"/>
    </row>
    <row r="1858" spans="21:23" ht="21.75" customHeight="1" x14ac:dyDescent="0.45">
      <c r="U1858"/>
      <c r="V1858"/>
      <c r="W1858"/>
    </row>
    <row r="1859" spans="21:23" ht="21.75" customHeight="1" x14ac:dyDescent="0.45">
      <c r="U1859"/>
      <c r="V1859"/>
      <c r="W1859"/>
    </row>
    <row r="1860" spans="21:23" ht="21.75" customHeight="1" x14ac:dyDescent="0.45">
      <c r="U1860"/>
      <c r="V1860"/>
      <c r="W1860"/>
    </row>
    <row r="1861" spans="21:23" ht="21.75" customHeight="1" x14ac:dyDescent="0.45">
      <c r="U1861"/>
      <c r="V1861"/>
      <c r="W1861"/>
    </row>
    <row r="1862" spans="21:23" ht="21.75" customHeight="1" x14ac:dyDescent="0.45">
      <c r="U1862"/>
      <c r="V1862"/>
      <c r="W1862"/>
    </row>
    <row r="1863" spans="21:23" ht="21.75" customHeight="1" x14ac:dyDescent="0.45">
      <c r="U1863"/>
      <c r="V1863"/>
      <c r="W1863"/>
    </row>
    <row r="1864" spans="21:23" ht="21.75" customHeight="1" x14ac:dyDescent="0.45">
      <c r="U1864"/>
      <c r="V1864"/>
      <c r="W1864"/>
    </row>
    <row r="1865" spans="21:23" ht="21.75" customHeight="1" x14ac:dyDescent="0.45">
      <c r="U1865"/>
      <c r="V1865"/>
      <c r="W1865"/>
    </row>
    <row r="1866" spans="21:23" ht="21.75" customHeight="1" x14ac:dyDescent="0.45">
      <c r="U1866"/>
      <c r="V1866"/>
      <c r="W1866"/>
    </row>
    <row r="1867" spans="21:23" ht="21.75" customHeight="1" x14ac:dyDescent="0.45">
      <c r="U1867"/>
      <c r="V1867"/>
      <c r="W1867"/>
    </row>
    <row r="1868" spans="21:23" ht="21.75" customHeight="1" x14ac:dyDescent="0.45">
      <c r="U1868"/>
      <c r="V1868"/>
      <c r="W1868"/>
    </row>
    <row r="1869" spans="21:23" ht="21.75" customHeight="1" x14ac:dyDescent="0.45">
      <c r="U1869"/>
      <c r="V1869"/>
      <c r="W1869"/>
    </row>
    <row r="1870" spans="21:23" ht="21.75" customHeight="1" x14ac:dyDescent="0.45">
      <c r="U1870"/>
      <c r="V1870"/>
      <c r="W1870"/>
    </row>
    <row r="1871" spans="21:23" ht="21.75" customHeight="1" x14ac:dyDescent="0.45">
      <c r="U1871"/>
      <c r="V1871"/>
      <c r="W1871"/>
    </row>
    <row r="1872" spans="21:23" ht="21.75" customHeight="1" x14ac:dyDescent="0.45">
      <c r="U1872"/>
      <c r="V1872"/>
      <c r="W1872"/>
    </row>
    <row r="1873" spans="21:23" ht="21.75" customHeight="1" x14ac:dyDescent="0.45">
      <c r="U1873"/>
      <c r="V1873"/>
      <c r="W1873"/>
    </row>
    <row r="1874" spans="21:23" ht="21.75" customHeight="1" x14ac:dyDescent="0.45">
      <c r="U1874"/>
      <c r="V1874"/>
      <c r="W1874"/>
    </row>
    <row r="1875" spans="21:23" ht="21.75" customHeight="1" x14ac:dyDescent="0.45">
      <c r="U1875"/>
      <c r="V1875"/>
      <c r="W1875"/>
    </row>
    <row r="1876" spans="21:23" ht="21.75" customHeight="1" x14ac:dyDescent="0.45">
      <c r="U1876"/>
      <c r="V1876"/>
      <c r="W1876"/>
    </row>
    <row r="1877" spans="21:23" ht="21.75" customHeight="1" x14ac:dyDescent="0.45">
      <c r="U1877"/>
      <c r="V1877"/>
      <c r="W1877"/>
    </row>
    <row r="1878" spans="21:23" ht="21.75" customHeight="1" x14ac:dyDescent="0.45">
      <c r="U1878"/>
      <c r="V1878"/>
      <c r="W1878"/>
    </row>
    <row r="1879" spans="21:23" ht="21.75" customHeight="1" x14ac:dyDescent="0.45">
      <c r="U1879"/>
      <c r="V1879"/>
      <c r="W1879"/>
    </row>
    <row r="1880" spans="21:23" ht="21.75" customHeight="1" x14ac:dyDescent="0.45">
      <c r="U1880"/>
      <c r="V1880"/>
      <c r="W1880"/>
    </row>
    <row r="1881" spans="21:23" ht="21.75" customHeight="1" x14ac:dyDescent="0.45">
      <c r="U1881"/>
      <c r="V1881"/>
      <c r="W1881"/>
    </row>
    <row r="1882" spans="21:23" ht="21.75" customHeight="1" x14ac:dyDescent="0.45">
      <c r="U1882"/>
      <c r="V1882"/>
      <c r="W1882"/>
    </row>
    <row r="1883" spans="21:23" ht="21.75" customHeight="1" x14ac:dyDescent="0.45">
      <c r="U1883"/>
      <c r="V1883"/>
      <c r="W1883"/>
    </row>
    <row r="1884" spans="21:23" ht="21.75" customHeight="1" x14ac:dyDescent="0.45">
      <c r="U1884"/>
      <c r="V1884"/>
      <c r="W1884"/>
    </row>
    <row r="1885" spans="21:23" ht="21.75" customHeight="1" x14ac:dyDescent="0.45">
      <c r="U1885"/>
      <c r="V1885"/>
      <c r="W1885"/>
    </row>
    <row r="1886" spans="21:23" ht="21.75" customHeight="1" x14ac:dyDescent="0.45">
      <c r="U1886"/>
      <c r="V1886"/>
      <c r="W1886"/>
    </row>
    <row r="1887" spans="21:23" ht="21.75" customHeight="1" x14ac:dyDescent="0.45">
      <c r="U1887"/>
      <c r="V1887"/>
      <c r="W1887"/>
    </row>
    <row r="1888" spans="21:23" ht="21.75" customHeight="1" x14ac:dyDescent="0.45">
      <c r="U1888"/>
      <c r="V1888"/>
      <c r="W1888"/>
    </row>
    <row r="1889" spans="21:23" ht="21.75" customHeight="1" x14ac:dyDescent="0.45">
      <c r="U1889"/>
      <c r="V1889"/>
      <c r="W1889"/>
    </row>
    <row r="1890" spans="21:23" ht="21.75" customHeight="1" x14ac:dyDescent="0.45">
      <c r="U1890"/>
      <c r="V1890"/>
      <c r="W1890"/>
    </row>
    <row r="1891" spans="21:23" ht="21.75" customHeight="1" x14ac:dyDescent="0.45">
      <c r="U1891"/>
      <c r="V1891"/>
      <c r="W1891"/>
    </row>
    <row r="1892" spans="21:23" ht="21.75" customHeight="1" x14ac:dyDescent="0.45">
      <c r="U1892"/>
      <c r="V1892"/>
      <c r="W1892"/>
    </row>
    <row r="1893" spans="21:23" ht="21.75" customHeight="1" x14ac:dyDescent="0.45">
      <c r="U1893"/>
      <c r="V1893"/>
      <c r="W1893"/>
    </row>
    <row r="1894" spans="21:23" ht="21.75" customHeight="1" x14ac:dyDescent="0.45">
      <c r="U1894"/>
      <c r="V1894"/>
      <c r="W1894"/>
    </row>
    <row r="1895" spans="21:23" ht="21.75" customHeight="1" x14ac:dyDescent="0.45">
      <c r="U1895"/>
      <c r="V1895"/>
      <c r="W1895"/>
    </row>
    <row r="1896" spans="21:23" ht="21.75" customHeight="1" x14ac:dyDescent="0.45">
      <c r="U1896"/>
      <c r="V1896"/>
      <c r="W1896"/>
    </row>
    <row r="1897" spans="21:23" ht="21.75" customHeight="1" x14ac:dyDescent="0.45">
      <c r="U1897"/>
      <c r="V1897"/>
      <c r="W1897"/>
    </row>
    <row r="1898" spans="21:23" ht="21.75" customHeight="1" x14ac:dyDescent="0.45">
      <c r="U1898"/>
      <c r="V1898"/>
      <c r="W1898"/>
    </row>
    <row r="1899" spans="21:23" ht="21.75" customHeight="1" x14ac:dyDescent="0.45">
      <c r="U1899"/>
      <c r="V1899"/>
      <c r="W1899"/>
    </row>
    <row r="1900" spans="21:23" ht="21.75" customHeight="1" x14ac:dyDescent="0.45">
      <c r="U1900"/>
      <c r="V1900"/>
      <c r="W1900"/>
    </row>
    <row r="1901" spans="21:23" ht="21.75" customHeight="1" x14ac:dyDescent="0.45">
      <c r="U1901"/>
      <c r="V1901"/>
      <c r="W1901"/>
    </row>
    <row r="1902" spans="21:23" ht="21.75" customHeight="1" x14ac:dyDescent="0.45">
      <c r="U1902"/>
      <c r="V1902"/>
      <c r="W1902"/>
    </row>
    <row r="1903" spans="21:23" ht="21.75" customHeight="1" x14ac:dyDescent="0.45">
      <c r="U1903"/>
      <c r="V1903"/>
      <c r="W1903"/>
    </row>
    <row r="1904" spans="21:23" ht="21.75" customHeight="1" x14ac:dyDescent="0.45">
      <c r="U1904"/>
      <c r="V1904"/>
      <c r="W1904"/>
    </row>
    <row r="1905" spans="21:23" ht="21.75" customHeight="1" x14ac:dyDescent="0.45">
      <c r="U1905"/>
      <c r="V1905"/>
      <c r="W1905"/>
    </row>
    <row r="1906" spans="21:23" ht="21.75" customHeight="1" x14ac:dyDescent="0.45">
      <c r="U1906"/>
      <c r="V1906"/>
      <c r="W1906"/>
    </row>
    <row r="1907" spans="21:23" ht="21.75" customHeight="1" x14ac:dyDescent="0.45">
      <c r="U1907"/>
      <c r="V1907"/>
      <c r="W1907"/>
    </row>
    <row r="1908" spans="21:23" ht="21.75" customHeight="1" x14ac:dyDescent="0.45">
      <c r="U1908"/>
      <c r="V1908"/>
      <c r="W1908"/>
    </row>
    <row r="1909" spans="21:23" ht="21.75" customHeight="1" x14ac:dyDescent="0.45">
      <c r="U1909"/>
      <c r="V1909"/>
      <c r="W1909"/>
    </row>
    <row r="1910" spans="21:23" ht="21.75" customHeight="1" x14ac:dyDescent="0.45">
      <c r="U1910"/>
      <c r="V1910"/>
      <c r="W1910"/>
    </row>
    <row r="1911" spans="21:23" ht="21.75" customHeight="1" x14ac:dyDescent="0.45">
      <c r="U1911"/>
      <c r="V1911"/>
      <c r="W1911"/>
    </row>
    <row r="1912" spans="21:23" ht="21.75" customHeight="1" x14ac:dyDescent="0.45">
      <c r="U1912"/>
      <c r="V1912"/>
      <c r="W1912"/>
    </row>
    <row r="1913" spans="21:23" ht="21.75" customHeight="1" x14ac:dyDescent="0.45">
      <c r="U1913"/>
      <c r="V1913"/>
      <c r="W1913"/>
    </row>
    <row r="1914" spans="21:23" ht="21.75" customHeight="1" x14ac:dyDescent="0.45">
      <c r="U1914"/>
      <c r="V1914"/>
      <c r="W1914"/>
    </row>
    <row r="1915" spans="21:23" ht="21.75" customHeight="1" x14ac:dyDescent="0.45">
      <c r="U1915"/>
      <c r="V1915"/>
      <c r="W1915"/>
    </row>
    <row r="1916" spans="21:23" ht="21.75" customHeight="1" x14ac:dyDescent="0.45">
      <c r="U1916"/>
      <c r="V1916"/>
      <c r="W1916"/>
    </row>
    <row r="1917" spans="21:23" ht="21.75" customHeight="1" x14ac:dyDescent="0.45">
      <c r="U1917"/>
      <c r="V1917"/>
      <c r="W1917"/>
    </row>
    <row r="1918" spans="21:23" ht="21.75" customHeight="1" x14ac:dyDescent="0.45">
      <c r="U1918"/>
      <c r="V1918"/>
      <c r="W1918"/>
    </row>
    <row r="1919" spans="21:23" ht="21.75" customHeight="1" x14ac:dyDescent="0.45">
      <c r="U1919"/>
      <c r="V1919"/>
      <c r="W1919"/>
    </row>
    <row r="1920" spans="21:23" ht="21.75" customHeight="1" x14ac:dyDescent="0.45">
      <c r="U1920"/>
      <c r="V1920"/>
      <c r="W1920"/>
    </row>
    <row r="1921" spans="21:23" ht="21.75" customHeight="1" x14ac:dyDescent="0.45">
      <c r="U1921"/>
      <c r="V1921"/>
      <c r="W1921"/>
    </row>
    <row r="1922" spans="21:23" ht="21.75" customHeight="1" x14ac:dyDescent="0.45">
      <c r="U1922"/>
      <c r="V1922"/>
      <c r="W1922"/>
    </row>
    <row r="1923" spans="21:23" ht="21.75" customHeight="1" x14ac:dyDescent="0.45">
      <c r="U1923"/>
      <c r="V1923"/>
      <c r="W1923"/>
    </row>
    <row r="1924" spans="21:23" ht="21.75" customHeight="1" x14ac:dyDescent="0.45">
      <c r="U1924"/>
      <c r="V1924"/>
      <c r="W1924"/>
    </row>
    <row r="1925" spans="21:23" ht="21.75" customHeight="1" x14ac:dyDescent="0.45">
      <c r="U1925"/>
      <c r="V1925"/>
      <c r="W1925"/>
    </row>
    <row r="1926" spans="21:23" ht="21.75" customHeight="1" x14ac:dyDescent="0.45">
      <c r="U1926"/>
      <c r="V1926"/>
      <c r="W1926"/>
    </row>
    <row r="1927" spans="21:23" ht="21.75" customHeight="1" x14ac:dyDescent="0.45">
      <c r="U1927"/>
      <c r="V1927"/>
      <c r="W1927"/>
    </row>
    <row r="1928" spans="21:23" ht="21.75" customHeight="1" x14ac:dyDescent="0.45">
      <c r="U1928"/>
      <c r="V1928"/>
      <c r="W1928"/>
    </row>
    <row r="1929" spans="21:23" ht="21.75" customHeight="1" x14ac:dyDescent="0.45">
      <c r="U1929"/>
      <c r="V1929"/>
      <c r="W1929"/>
    </row>
    <row r="1930" spans="21:23" ht="21.75" customHeight="1" x14ac:dyDescent="0.45">
      <c r="U1930"/>
      <c r="V1930"/>
      <c r="W1930"/>
    </row>
    <row r="1931" spans="21:23" ht="21.75" customHeight="1" x14ac:dyDescent="0.45">
      <c r="U1931"/>
      <c r="V1931"/>
      <c r="W1931"/>
    </row>
    <row r="1932" spans="21:23" ht="21.75" customHeight="1" x14ac:dyDescent="0.45">
      <c r="U1932"/>
      <c r="V1932"/>
      <c r="W1932"/>
    </row>
    <row r="1933" spans="21:23" ht="21.75" customHeight="1" x14ac:dyDescent="0.45">
      <c r="U1933"/>
      <c r="V1933"/>
      <c r="W1933"/>
    </row>
    <row r="1934" spans="21:23" ht="21.75" customHeight="1" x14ac:dyDescent="0.45">
      <c r="U1934"/>
      <c r="V1934"/>
      <c r="W1934"/>
    </row>
    <row r="1935" spans="21:23" ht="21.75" customHeight="1" x14ac:dyDescent="0.45">
      <c r="U1935"/>
      <c r="V1935"/>
      <c r="W1935"/>
    </row>
    <row r="1936" spans="21:23" ht="21.75" customHeight="1" x14ac:dyDescent="0.45">
      <c r="U1936"/>
      <c r="V1936"/>
      <c r="W1936"/>
    </row>
    <row r="1937" spans="21:23" ht="21.75" customHeight="1" x14ac:dyDescent="0.45">
      <c r="U1937"/>
      <c r="V1937"/>
      <c r="W1937"/>
    </row>
    <row r="1938" spans="21:23" ht="21.75" customHeight="1" x14ac:dyDescent="0.45">
      <c r="U1938"/>
      <c r="V1938"/>
      <c r="W1938"/>
    </row>
    <row r="1939" spans="21:23" ht="21.75" customHeight="1" x14ac:dyDescent="0.45">
      <c r="U1939"/>
      <c r="V1939"/>
      <c r="W1939"/>
    </row>
    <row r="1940" spans="21:23" ht="21.75" customHeight="1" x14ac:dyDescent="0.45">
      <c r="U1940"/>
      <c r="V1940"/>
      <c r="W1940"/>
    </row>
    <row r="1941" spans="21:23" ht="21.75" customHeight="1" x14ac:dyDescent="0.45">
      <c r="U1941"/>
      <c r="V1941"/>
      <c r="W1941"/>
    </row>
    <row r="1942" spans="21:23" ht="21.75" customHeight="1" x14ac:dyDescent="0.45">
      <c r="U1942"/>
      <c r="V1942"/>
      <c r="W1942"/>
    </row>
    <row r="1943" spans="21:23" ht="21.75" customHeight="1" x14ac:dyDescent="0.45">
      <c r="U1943"/>
      <c r="V1943"/>
      <c r="W1943"/>
    </row>
    <row r="1944" spans="21:23" ht="21.75" customHeight="1" x14ac:dyDescent="0.45">
      <c r="U1944"/>
      <c r="V1944"/>
      <c r="W1944"/>
    </row>
    <row r="1945" spans="21:23" ht="21.75" customHeight="1" x14ac:dyDescent="0.45">
      <c r="U1945"/>
      <c r="V1945"/>
      <c r="W1945"/>
    </row>
    <row r="1946" spans="21:23" ht="21.75" customHeight="1" x14ac:dyDescent="0.45">
      <c r="U1946"/>
      <c r="V1946"/>
      <c r="W1946"/>
    </row>
    <row r="1947" spans="21:23" ht="21.75" customHeight="1" x14ac:dyDescent="0.45">
      <c r="U1947"/>
      <c r="V1947"/>
      <c r="W1947"/>
    </row>
    <row r="1948" spans="21:23" ht="21.75" customHeight="1" x14ac:dyDescent="0.45">
      <c r="U1948"/>
      <c r="V1948"/>
      <c r="W1948"/>
    </row>
    <row r="1949" spans="21:23" ht="21.75" customHeight="1" x14ac:dyDescent="0.45">
      <c r="U1949"/>
      <c r="V1949"/>
      <c r="W1949"/>
    </row>
    <row r="1950" spans="21:23" ht="21.75" customHeight="1" x14ac:dyDescent="0.45">
      <c r="U1950"/>
      <c r="V1950"/>
      <c r="W1950"/>
    </row>
    <row r="1951" spans="21:23" ht="21.75" customHeight="1" x14ac:dyDescent="0.45">
      <c r="U1951"/>
      <c r="V1951"/>
      <c r="W1951"/>
    </row>
    <row r="1952" spans="21:23" ht="21.75" customHeight="1" x14ac:dyDescent="0.45">
      <c r="U1952"/>
      <c r="V1952"/>
      <c r="W1952"/>
    </row>
    <row r="1953" spans="21:23" ht="21.75" customHeight="1" x14ac:dyDescent="0.45">
      <c r="U1953"/>
      <c r="V1953"/>
      <c r="W1953"/>
    </row>
    <row r="1954" spans="21:23" ht="21.75" customHeight="1" x14ac:dyDescent="0.45">
      <c r="U1954"/>
      <c r="V1954"/>
      <c r="W1954"/>
    </row>
    <row r="1955" spans="21:23" ht="21.75" customHeight="1" x14ac:dyDescent="0.45">
      <c r="U1955"/>
      <c r="V1955"/>
      <c r="W1955"/>
    </row>
    <row r="1956" spans="21:23" ht="21.75" customHeight="1" x14ac:dyDescent="0.45">
      <c r="U1956"/>
      <c r="V1956"/>
      <c r="W1956"/>
    </row>
    <row r="1957" spans="21:23" ht="21.75" customHeight="1" x14ac:dyDescent="0.45">
      <c r="U1957"/>
      <c r="V1957"/>
      <c r="W1957"/>
    </row>
    <row r="1958" spans="21:23" ht="21.75" customHeight="1" x14ac:dyDescent="0.45">
      <c r="U1958"/>
      <c r="V1958"/>
      <c r="W1958"/>
    </row>
    <row r="1959" spans="21:23" ht="21.75" customHeight="1" x14ac:dyDescent="0.45">
      <c r="U1959"/>
      <c r="V1959"/>
      <c r="W1959"/>
    </row>
    <row r="1960" spans="21:23" ht="21.75" customHeight="1" x14ac:dyDescent="0.45">
      <c r="U1960"/>
      <c r="V1960"/>
      <c r="W1960"/>
    </row>
    <row r="1961" spans="21:23" ht="21.75" customHeight="1" x14ac:dyDescent="0.45">
      <c r="U1961"/>
      <c r="V1961"/>
      <c r="W1961"/>
    </row>
    <row r="1962" spans="21:23" ht="21.75" customHeight="1" x14ac:dyDescent="0.45">
      <c r="U1962"/>
      <c r="V1962"/>
      <c r="W1962"/>
    </row>
    <row r="1963" spans="21:23" ht="21.75" customHeight="1" x14ac:dyDescent="0.45">
      <c r="U1963"/>
      <c r="V1963"/>
      <c r="W1963"/>
    </row>
    <row r="1964" spans="21:23" ht="21.75" customHeight="1" x14ac:dyDescent="0.45">
      <c r="U1964"/>
      <c r="V1964"/>
      <c r="W1964"/>
    </row>
    <row r="1965" spans="21:23" ht="21.75" customHeight="1" x14ac:dyDescent="0.45">
      <c r="U1965"/>
      <c r="V1965"/>
      <c r="W1965"/>
    </row>
    <row r="1966" spans="21:23" ht="21.75" customHeight="1" x14ac:dyDescent="0.45">
      <c r="U1966"/>
      <c r="V1966"/>
      <c r="W1966"/>
    </row>
    <row r="1967" spans="21:23" ht="21.75" customHeight="1" x14ac:dyDescent="0.45">
      <c r="U1967"/>
      <c r="V1967"/>
      <c r="W1967"/>
    </row>
    <row r="1968" spans="21:23" ht="21.75" customHeight="1" x14ac:dyDescent="0.45">
      <c r="U1968"/>
      <c r="V1968"/>
      <c r="W1968"/>
    </row>
    <row r="1969" spans="21:23" ht="21.75" customHeight="1" x14ac:dyDescent="0.45">
      <c r="U1969"/>
      <c r="V1969"/>
      <c r="W1969"/>
    </row>
    <row r="1970" spans="21:23" ht="21.75" customHeight="1" x14ac:dyDescent="0.45">
      <c r="U1970"/>
      <c r="V1970"/>
      <c r="W1970"/>
    </row>
    <row r="1971" spans="21:23" ht="21.75" customHeight="1" x14ac:dyDescent="0.45">
      <c r="U1971"/>
      <c r="V1971"/>
      <c r="W1971"/>
    </row>
    <row r="1972" spans="21:23" ht="21.75" customHeight="1" x14ac:dyDescent="0.45">
      <c r="U1972"/>
      <c r="V1972"/>
      <c r="W1972"/>
    </row>
    <row r="1973" spans="21:23" ht="21.75" customHeight="1" x14ac:dyDescent="0.45">
      <c r="U1973"/>
      <c r="V1973"/>
      <c r="W1973"/>
    </row>
    <row r="1974" spans="21:23" ht="21.75" customHeight="1" x14ac:dyDescent="0.45">
      <c r="U1974"/>
      <c r="V1974"/>
      <c r="W1974"/>
    </row>
    <row r="1975" spans="21:23" ht="21.75" customHeight="1" x14ac:dyDescent="0.45">
      <c r="U1975"/>
      <c r="V1975"/>
      <c r="W1975"/>
    </row>
    <row r="1976" spans="21:23" ht="21.75" customHeight="1" x14ac:dyDescent="0.45">
      <c r="U1976"/>
      <c r="V1976"/>
      <c r="W1976"/>
    </row>
    <row r="1977" spans="21:23" ht="21.75" customHeight="1" x14ac:dyDescent="0.45">
      <c r="U1977"/>
      <c r="V1977"/>
      <c r="W1977"/>
    </row>
    <row r="1978" spans="21:23" ht="21.75" customHeight="1" x14ac:dyDescent="0.45">
      <c r="U1978"/>
      <c r="V1978"/>
      <c r="W1978"/>
    </row>
    <row r="1979" spans="21:23" ht="21.75" customHeight="1" x14ac:dyDescent="0.45">
      <c r="U1979"/>
      <c r="V1979"/>
      <c r="W1979"/>
    </row>
    <row r="1980" spans="21:23" ht="21.75" customHeight="1" x14ac:dyDescent="0.45">
      <c r="U1980"/>
      <c r="V1980"/>
      <c r="W1980"/>
    </row>
    <row r="1981" spans="21:23" ht="21.75" customHeight="1" x14ac:dyDescent="0.45">
      <c r="U1981"/>
      <c r="V1981"/>
      <c r="W1981"/>
    </row>
    <row r="1982" spans="21:23" ht="21.75" customHeight="1" x14ac:dyDescent="0.45">
      <c r="U1982"/>
      <c r="V1982"/>
      <c r="W1982"/>
    </row>
    <row r="1983" spans="21:23" ht="21.75" customHeight="1" x14ac:dyDescent="0.45">
      <c r="U1983"/>
      <c r="V1983"/>
      <c r="W1983"/>
    </row>
    <row r="1984" spans="21:23" ht="21.75" customHeight="1" x14ac:dyDescent="0.45">
      <c r="U1984"/>
      <c r="V1984"/>
      <c r="W1984"/>
    </row>
    <row r="1985" spans="21:23" ht="21.75" customHeight="1" x14ac:dyDescent="0.45">
      <c r="U1985"/>
      <c r="V1985"/>
      <c r="W1985"/>
    </row>
    <row r="1986" spans="21:23" ht="21.75" customHeight="1" x14ac:dyDescent="0.45">
      <c r="U1986"/>
      <c r="V1986"/>
      <c r="W1986"/>
    </row>
    <row r="1987" spans="21:23" ht="21.75" customHeight="1" x14ac:dyDescent="0.45">
      <c r="U1987"/>
      <c r="V1987"/>
      <c r="W1987"/>
    </row>
    <row r="1988" spans="21:23" ht="21.75" customHeight="1" x14ac:dyDescent="0.45">
      <c r="U1988"/>
      <c r="V1988"/>
      <c r="W1988"/>
    </row>
    <row r="1989" spans="21:23" ht="21.75" customHeight="1" x14ac:dyDescent="0.45">
      <c r="U1989"/>
      <c r="V1989"/>
      <c r="W1989"/>
    </row>
    <row r="1990" spans="21:23" ht="21.75" customHeight="1" x14ac:dyDescent="0.45">
      <c r="U1990"/>
      <c r="V1990"/>
      <c r="W1990"/>
    </row>
    <row r="1991" spans="21:23" ht="21.75" customHeight="1" x14ac:dyDescent="0.45">
      <c r="U1991"/>
      <c r="V1991"/>
      <c r="W1991"/>
    </row>
    <row r="1992" spans="21:23" ht="21.75" customHeight="1" x14ac:dyDescent="0.45">
      <c r="U1992"/>
      <c r="V1992"/>
      <c r="W1992"/>
    </row>
    <row r="1993" spans="21:23" ht="21.75" customHeight="1" x14ac:dyDescent="0.45">
      <c r="U1993"/>
      <c r="V1993"/>
      <c r="W1993"/>
    </row>
    <row r="1994" spans="21:23" ht="21.75" customHeight="1" x14ac:dyDescent="0.45">
      <c r="U1994"/>
      <c r="V1994"/>
      <c r="W1994"/>
    </row>
    <row r="1995" spans="21:23" ht="21.75" customHeight="1" x14ac:dyDescent="0.45">
      <c r="U1995"/>
      <c r="V1995"/>
      <c r="W1995"/>
    </row>
    <row r="1996" spans="21:23" ht="21.75" customHeight="1" x14ac:dyDescent="0.45">
      <c r="U1996"/>
      <c r="V1996"/>
      <c r="W1996"/>
    </row>
    <row r="1997" spans="21:23" ht="21.75" customHeight="1" x14ac:dyDescent="0.45">
      <c r="U1997"/>
      <c r="V1997"/>
      <c r="W1997"/>
    </row>
    <row r="1998" spans="21:23" ht="21.75" customHeight="1" x14ac:dyDescent="0.45">
      <c r="U1998"/>
      <c r="V1998"/>
      <c r="W1998"/>
    </row>
    <row r="1999" spans="21:23" ht="21.75" customHeight="1" x14ac:dyDescent="0.45">
      <c r="U1999"/>
      <c r="V1999"/>
      <c r="W1999"/>
    </row>
    <row r="2000" spans="21:23" ht="21.75" customHeight="1" x14ac:dyDescent="0.45">
      <c r="U2000"/>
      <c r="V2000"/>
      <c r="W2000"/>
    </row>
    <row r="2001" spans="21:23" ht="21.75" customHeight="1" x14ac:dyDescent="0.45">
      <c r="U2001"/>
      <c r="V2001"/>
      <c r="W2001"/>
    </row>
    <row r="2002" spans="21:23" ht="21.75" customHeight="1" x14ac:dyDescent="0.45">
      <c r="U2002"/>
      <c r="V2002"/>
      <c r="W2002"/>
    </row>
    <row r="2003" spans="21:23" ht="21.75" customHeight="1" x14ac:dyDescent="0.45">
      <c r="U2003"/>
      <c r="V2003"/>
      <c r="W2003"/>
    </row>
    <row r="2004" spans="21:23" ht="21.75" customHeight="1" x14ac:dyDescent="0.45">
      <c r="U2004"/>
      <c r="V2004"/>
      <c r="W2004"/>
    </row>
    <row r="2005" spans="21:23" ht="21.75" customHeight="1" x14ac:dyDescent="0.45">
      <c r="U2005"/>
      <c r="V2005"/>
      <c r="W2005"/>
    </row>
    <row r="2006" spans="21:23" ht="21.75" customHeight="1" x14ac:dyDescent="0.45">
      <c r="U2006"/>
      <c r="V2006"/>
      <c r="W2006"/>
    </row>
    <row r="2007" spans="21:23" ht="21.75" customHeight="1" x14ac:dyDescent="0.45">
      <c r="U2007"/>
      <c r="V2007"/>
      <c r="W2007"/>
    </row>
    <row r="2008" spans="21:23" ht="21.75" customHeight="1" x14ac:dyDescent="0.45">
      <c r="U2008"/>
      <c r="V2008"/>
      <c r="W2008"/>
    </row>
    <row r="2009" spans="21:23" ht="21.75" customHeight="1" x14ac:dyDescent="0.45">
      <c r="U2009"/>
      <c r="V2009"/>
      <c r="W2009"/>
    </row>
    <row r="2010" spans="21:23" ht="21.75" customHeight="1" x14ac:dyDescent="0.45">
      <c r="U2010"/>
      <c r="V2010"/>
      <c r="W2010"/>
    </row>
    <row r="2011" spans="21:23" ht="21.75" customHeight="1" x14ac:dyDescent="0.45">
      <c r="U2011"/>
      <c r="V2011"/>
      <c r="W2011"/>
    </row>
    <row r="2012" spans="21:23" ht="21.75" customHeight="1" x14ac:dyDescent="0.45">
      <c r="U2012"/>
      <c r="V2012"/>
      <c r="W2012"/>
    </row>
    <row r="2013" spans="21:23" ht="21.75" customHeight="1" x14ac:dyDescent="0.45">
      <c r="U2013"/>
      <c r="V2013"/>
      <c r="W2013"/>
    </row>
    <row r="2014" spans="21:23" ht="21.75" customHeight="1" x14ac:dyDescent="0.45">
      <c r="U2014"/>
      <c r="V2014"/>
      <c r="W2014"/>
    </row>
    <row r="2015" spans="21:23" ht="21.75" customHeight="1" x14ac:dyDescent="0.45">
      <c r="U2015"/>
      <c r="V2015"/>
      <c r="W2015"/>
    </row>
    <row r="2016" spans="21:23" ht="21.75" customHeight="1" x14ac:dyDescent="0.45">
      <c r="U2016"/>
      <c r="V2016"/>
      <c r="W2016"/>
    </row>
    <row r="2017" spans="21:23" ht="21.75" customHeight="1" x14ac:dyDescent="0.45">
      <c r="U2017"/>
      <c r="V2017"/>
      <c r="W2017"/>
    </row>
    <row r="2018" spans="21:23" ht="21.75" customHeight="1" x14ac:dyDescent="0.45">
      <c r="U2018"/>
      <c r="V2018"/>
      <c r="W2018"/>
    </row>
    <row r="2019" spans="21:23" ht="21.75" customHeight="1" x14ac:dyDescent="0.45">
      <c r="U2019"/>
      <c r="V2019"/>
      <c r="W2019"/>
    </row>
    <row r="2020" spans="21:23" ht="21.75" customHeight="1" x14ac:dyDescent="0.45">
      <c r="U2020"/>
      <c r="V2020"/>
      <c r="W2020"/>
    </row>
    <row r="2021" spans="21:23" ht="21.75" customHeight="1" x14ac:dyDescent="0.45">
      <c r="U2021"/>
      <c r="V2021"/>
      <c r="W2021"/>
    </row>
    <row r="2022" spans="21:23" ht="21.75" customHeight="1" x14ac:dyDescent="0.45">
      <c r="U2022"/>
      <c r="V2022"/>
      <c r="W2022"/>
    </row>
    <row r="2023" spans="21:23" ht="21.75" customHeight="1" x14ac:dyDescent="0.45">
      <c r="U2023"/>
      <c r="V2023"/>
      <c r="W2023"/>
    </row>
    <row r="2024" spans="21:23" ht="21.75" customHeight="1" x14ac:dyDescent="0.45">
      <c r="U2024"/>
      <c r="V2024"/>
      <c r="W2024"/>
    </row>
    <row r="2025" spans="21:23" ht="21.75" customHeight="1" x14ac:dyDescent="0.45">
      <c r="U2025"/>
      <c r="V2025"/>
      <c r="W2025"/>
    </row>
    <row r="2026" spans="21:23" ht="21.75" customHeight="1" x14ac:dyDescent="0.45">
      <c r="U2026"/>
      <c r="V2026"/>
      <c r="W2026"/>
    </row>
    <row r="2027" spans="21:23" ht="21.75" customHeight="1" x14ac:dyDescent="0.45">
      <c r="U2027"/>
      <c r="V2027"/>
      <c r="W2027"/>
    </row>
    <row r="2028" spans="21:23" ht="21.75" customHeight="1" x14ac:dyDescent="0.45">
      <c r="U2028"/>
      <c r="V2028"/>
      <c r="W2028"/>
    </row>
    <row r="2029" spans="21:23" ht="21.75" customHeight="1" x14ac:dyDescent="0.45">
      <c r="U2029"/>
      <c r="V2029"/>
      <c r="W2029"/>
    </row>
    <row r="2030" spans="21:23" ht="21.75" customHeight="1" x14ac:dyDescent="0.45">
      <c r="U2030"/>
      <c r="V2030"/>
      <c r="W2030"/>
    </row>
    <row r="2031" spans="21:23" ht="21.75" customHeight="1" x14ac:dyDescent="0.45">
      <c r="U2031"/>
      <c r="V2031"/>
      <c r="W2031"/>
    </row>
    <row r="2032" spans="21:23" ht="21.75" customHeight="1" x14ac:dyDescent="0.45">
      <c r="U2032"/>
      <c r="V2032"/>
      <c r="W2032"/>
    </row>
    <row r="2033" spans="21:23" ht="21.75" customHeight="1" x14ac:dyDescent="0.45">
      <c r="U2033"/>
      <c r="V2033"/>
      <c r="W2033"/>
    </row>
    <row r="2034" spans="21:23" ht="21.75" customHeight="1" x14ac:dyDescent="0.45">
      <c r="U2034"/>
      <c r="V2034"/>
      <c r="W2034"/>
    </row>
    <row r="2035" spans="21:23" ht="21.75" customHeight="1" x14ac:dyDescent="0.45">
      <c r="U2035"/>
      <c r="V2035"/>
      <c r="W2035"/>
    </row>
    <row r="2036" spans="21:23" ht="21.75" customHeight="1" x14ac:dyDescent="0.45">
      <c r="U2036"/>
      <c r="V2036"/>
      <c r="W2036"/>
    </row>
    <row r="2037" spans="21:23" ht="21.75" customHeight="1" x14ac:dyDescent="0.45">
      <c r="U2037"/>
      <c r="V2037"/>
      <c r="W2037"/>
    </row>
    <row r="2038" spans="21:23" ht="21.75" customHeight="1" x14ac:dyDescent="0.45">
      <c r="U2038"/>
      <c r="V2038"/>
      <c r="W2038"/>
    </row>
    <row r="2039" spans="21:23" ht="21.75" customHeight="1" x14ac:dyDescent="0.45">
      <c r="U2039"/>
      <c r="V2039"/>
      <c r="W2039"/>
    </row>
    <row r="2040" spans="21:23" ht="21.75" customHeight="1" x14ac:dyDescent="0.45">
      <c r="U2040"/>
      <c r="V2040"/>
      <c r="W2040"/>
    </row>
    <row r="2041" spans="21:23" ht="21.75" customHeight="1" x14ac:dyDescent="0.45">
      <c r="U2041"/>
      <c r="V2041"/>
      <c r="W2041"/>
    </row>
    <row r="2042" spans="21:23" ht="21.75" customHeight="1" x14ac:dyDescent="0.45">
      <c r="U2042"/>
      <c r="V2042"/>
      <c r="W2042"/>
    </row>
    <row r="2043" spans="21:23" ht="21.75" customHeight="1" x14ac:dyDescent="0.45">
      <c r="U2043"/>
      <c r="V2043"/>
      <c r="W2043"/>
    </row>
    <row r="2044" spans="21:23" ht="21.75" customHeight="1" x14ac:dyDescent="0.45">
      <c r="U2044"/>
      <c r="V2044"/>
      <c r="W2044"/>
    </row>
    <row r="2045" spans="21:23" ht="21.75" customHeight="1" x14ac:dyDescent="0.45">
      <c r="U2045"/>
      <c r="V2045"/>
      <c r="W2045"/>
    </row>
    <row r="2046" spans="21:23" ht="21.75" customHeight="1" x14ac:dyDescent="0.45">
      <c r="U2046"/>
      <c r="V2046"/>
      <c r="W2046"/>
    </row>
    <row r="2047" spans="21:23" ht="21.75" customHeight="1" x14ac:dyDescent="0.45">
      <c r="U2047"/>
      <c r="V2047"/>
      <c r="W2047"/>
    </row>
    <row r="2048" spans="21:23" ht="21.75" customHeight="1" x14ac:dyDescent="0.45">
      <c r="U2048"/>
      <c r="V2048"/>
      <c r="W2048"/>
    </row>
    <row r="2049" spans="21:23" ht="21.75" customHeight="1" x14ac:dyDescent="0.45">
      <c r="U2049"/>
      <c r="V2049"/>
      <c r="W2049"/>
    </row>
    <row r="2050" spans="21:23" ht="21.75" customHeight="1" x14ac:dyDescent="0.45">
      <c r="U2050"/>
      <c r="V2050"/>
      <c r="W2050"/>
    </row>
    <row r="2051" spans="21:23" ht="21.75" customHeight="1" x14ac:dyDescent="0.45">
      <c r="U2051"/>
      <c r="V2051"/>
      <c r="W2051"/>
    </row>
    <row r="2052" spans="21:23" ht="21.75" customHeight="1" x14ac:dyDescent="0.45">
      <c r="U2052"/>
      <c r="V2052"/>
      <c r="W2052"/>
    </row>
    <row r="2053" spans="21:23" ht="21.75" customHeight="1" x14ac:dyDescent="0.45">
      <c r="U2053"/>
      <c r="V2053"/>
      <c r="W2053"/>
    </row>
    <row r="2054" spans="21:23" ht="21.75" customHeight="1" x14ac:dyDescent="0.45">
      <c r="U2054"/>
      <c r="V2054"/>
      <c r="W2054"/>
    </row>
    <row r="2055" spans="21:23" ht="21.75" customHeight="1" x14ac:dyDescent="0.45">
      <c r="U2055"/>
      <c r="V2055"/>
      <c r="W2055"/>
    </row>
    <row r="2056" spans="21:23" ht="21.75" customHeight="1" x14ac:dyDescent="0.45">
      <c r="U2056"/>
      <c r="V2056"/>
      <c r="W2056"/>
    </row>
    <row r="2057" spans="21:23" ht="21.75" customHeight="1" x14ac:dyDescent="0.45">
      <c r="U2057"/>
      <c r="V2057"/>
      <c r="W2057"/>
    </row>
    <row r="2058" spans="21:23" ht="21.75" customHeight="1" x14ac:dyDescent="0.45">
      <c r="U2058"/>
      <c r="V2058"/>
      <c r="W2058"/>
    </row>
    <row r="2059" spans="21:23" ht="21.75" customHeight="1" x14ac:dyDescent="0.45">
      <c r="U2059"/>
      <c r="V2059"/>
      <c r="W2059"/>
    </row>
    <row r="2060" spans="21:23" ht="21.75" customHeight="1" x14ac:dyDescent="0.45">
      <c r="U2060"/>
      <c r="V2060"/>
      <c r="W2060"/>
    </row>
    <row r="2061" spans="21:23" ht="21.75" customHeight="1" x14ac:dyDescent="0.45">
      <c r="U2061"/>
      <c r="V2061"/>
      <c r="W2061"/>
    </row>
    <row r="2062" spans="21:23" ht="21.75" customHeight="1" x14ac:dyDescent="0.45">
      <c r="U2062"/>
      <c r="V2062"/>
      <c r="W2062"/>
    </row>
    <row r="2063" spans="21:23" ht="21.75" customHeight="1" x14ac:dyDescent="0.45">
      <c r="U2063"/>
      <c r="V2063"/>
      <c r="W2063"/>
    </row>
    <row r="2064" spans="21:23" ht="21.75" customHeight="1" x14ac:dyDescent="0.45">
      <c r="U2064"/>
      <c r="V2064"/>
      <c r="W2064"/>
    </row>
    <row r="2065" spans="21:23" ht="21.75" customHeight="1" x14ac:dyDescent="0.45">
      <c r="U2065"/>
      <c r="V2065"/>
      <c r="W2065"/>
    </row>
    <row r="2066" spans="21:23" ht="21.75" customHeight="1" x14ac:dyDescent="0.45">
      <c r="U2066"/>
      <c r="V2066"/>
      <c r="W2066"/>
    </row>
    <row r="2067" spans="21:23" ht="21.75" customHeight="1" x14ac:dyDescent="0.45">
      <c r="U2067"/>
      <c r="V2067"/>
      <c r="W2067"/>
    </row>
    <row r="2068" spans="21:23" ht="21.75" customHeight="1" x14ac:dyDescent="0.45">
      <c r="U2068"/>
      <c r="V2068"/>
      <c r="W2068"/>
    </row>
    <row r="2069" spans="21:23" ht="21.75" customHeight="1" x14ac:dyDescent="0.45">
      <c r="U2069"/>
      <c r="V2069"/>
      <c r="W2069"/>
    </row>
    <row r="2070" spans="21:23" ht="21.75" customHeight="1" x14ac:dyDescent="0.45">
      <c r="U2070"/>
      <c r="V2070"/>
      <c r="W2070"/>
    </row>
    <row r="2071" spans="21:23" ht="21.75" customHeight="1" x14ac:dyDescent="0.45">
      <c r="U2071"/>
      <c r="V2071"/>
      <c r="W2071"/>
    </row>
    <row r="2072" spans="21:23" ht="21.75" customHeight="1" x14ac:dyDescent="0.45">
      <c r="U2072"/>
      <c r="V2072"/>
      <c r="W2072"/>
    </row>
    <row r="2073" spans="21:23" ht="21.75" customHeight="1" x14ac:dyDescent="0.45">
      <c r="U2073"/>
      <c r="V2073"/>
      <c r="W2073"/>
    </row>
    <row r="2074" spans="21:23" ht="21.75" customHeight="1" x14ac:dyDescent="0.45">
      <c r="U2074"/>
      <c r="V2074"/>
      <c r="W2074"/>
    </row>
    <row r="2075" spans="21:23" ht="21.75" customHeight="1" x14ac:dyDescent="0.45">
      <c r="U2075"/>
      <c r="V2075"/>
      <c r="W2075"/>
    </row>
    <row r="2076" spans="21:23" ht="21.75" customHeight="1" x14ac:dyDescent="0.45">
      <c r="U2076"/>
      <c r="V2076"/>
      <c r="W2076"/>
    </row>
    <row r="2077" spans="21:23" ht="21.75" customHeight="1" x14ac:dyDescent="0.45">
      <c r="U2077"/>
      <c r="V2077"/>
      <c r="W2077"/>
    </row>
    <row r="2078" spans="21:23" ht="21.75" customHeight="1" x14ac:dyDescent="0.45">
      <c r="U2078"/>
      <c r="V2078"/>
      <c r="W2078"/>
    </row>
    <row r="2079" spans="21:23" ht="21.75" customHeight="1" x14ac:dyDescent="0.45">
      <c r="U2079"/>
      <c r="V2079"/>
      <c r="W2079"/>
    </row>
    <row r="2080" spans="21:23" ht="21.75" customHeight="1" x14ac:dyDescent="0.45">
      <c r="U2080"/>
      <c r="V2080"/>
      <c r="W2080"/>
    </row>
    <row r="2081" spans="21:23" ht="21.75" customHeight="1" x14ac:dyDescent="0.45">
      <c r="U2081"/>
      <c r="V2081"/>
      <c r="W2081"/>
    </row>
    <row r="2082" spans="21:23" ht="21.75" customHeight="1" x14ac:dyDescent="0.45">
      <c r="U2082"/>
      <c r="V2082"/>
      <c r="W2082"/>
    </row>
    <row r="2083" spans="21:23" ht="21.75" customHeight="1" x14ac:dyDescent="0.45">
      <c r="U2083"/>
      <c r="V2083"/>
      <c r="W2083"/>
    </row>
    <row r="2084" spans="21:23" ht="21.75" customHeight="1" x14ac:dyDescent="0.45">
      <c r="U2084"/>
      <c r="V2084"/>
      <c r="W2084"/>
    </row>
    <row r="2085" spans="21:23" ht="21.75" customHeight="1" x14ac:dyDescent="0.45">
      <c r="U2085"/>
      <c r="V2085"/>
      <c r="W2085"/>
    </row>
    <row r="2086" spans="21:23" ht="21.75" customHeight="1" x14ac:dyDescent="0.45">
      <c r="U2086"/>
      <c r="V2086"/>
      <c r="W2086"/>
    </row>
    <row r="2087" spans="21:23" ht="21.75" customHeight="1" x14ac:dyDescent="0.45">
      <c r="U2087"/>
      <c r="V2087"/>
      <c r="W2087"/>
    </row>
    <row r="2088" spans="21:23" ht="21.75" customHeight="1" x14ac:dyDescent="0.45">
      <c r="U2088"/>
      <c r="V2088"/>
      <c r="W2088"/>
    </row>
    <row r="2089" spans="21:23" ht="21.75" customHeight="1" x14ac:dyDescent="0.45">
      <c r="U2089"/>
      <c r="V2089"/>
      <c r="W2089"/>
    </row>
    <row r="2090" spans="21:23" ht="21.75" customHeight="1" x14ac:dyDescent="0.45">
      <c r="U2090"/>
      <c r="V2090"/>
      <c r="W2090"/>
    </row>
    <row r="2091" spans="21:23" ht="21.75" customHeight="1" x14ac:dyDescent="0.45">
      <c r="U2091"/>
      <c r="V2091"/>
      <c r="W2091"/>
    </row>
    <row r="2092" spans="21:23" ht="21.75" customHeight="1" x14ac:dyDescent="0.45">
      <c r="U2092"/>
      <c r="V2092"/>
      <c r="W2092"/>
    </row>
    <row r="2093" spans="21:23" ht="21.75" customHeight="1" x14ac:dyDescent="0.45">
      <c r="U2093"/>
      <c r="V2093"/>
      <c r="W2093"/>
    </row>
    <row r="2094" spans="21:23" ht="21.75" customHeight="1" x14ac:dyDescent="0.45">
      <c r="U2094"/>
      <c r="V2094"/>
      <c r="W2094"/>
    </row>
    <row r="2095" spans="21:23" ht="21.75" customHeight="1" x14ac:dyDescent="0.45">
      <c r="U2095"/>
      <c r="V2095"/>
      <c r="W2095"/>
    </row>
    <row r="2096" spans="21:23" ht="21.75" customHeight="1" x14ac:dyDescent="0.45">
      <c r="U2096"/>
      <c r="V2096"/>
      <c r="W2096"/>
    </row>
    <row r="2097" spans="21:23" ht="21.75" customHeight="1" x14ac:dyDescent="0.45">
      <c r="U2097"/>
      <c r="V2097"/>
      <c r="W2097"/>
    </row>
    <row r="2098" spans="21:23" ht="21.75" customHeight="1" x14ac:dyDescent="0.45">
      <c r="U2098"/>
      <c r="V2098"/>
      <c r="W2098"/>
    </row>
    <row r="2099" spans="21:23" ht="21.75" customHeight="1" x14ac:dyDescent="0.45">
      <c r="U2099"/>
      <c r="V2099"/>
      <c r="W2099"/>
    </row>
    <row r="2100" spans="21:23" ht="21.75" customHeight="1" x14ac:dyDescent="0.45">
      <c r="U2100"/>
      <c r="V2100"/>
      <c r="W2100"/>
    </row>
    <row r="2101" spans="21:23" ht="21.75" customHeight="1" x14ac:dyDescent="0.45">
      <c r="U2101"/>
      <c r="V2101"/>
      <c r="W2101"/>
    </row>
    <row r="2102" spans="21:23" ht="21.75" customHeight="1" x14ac:dyDescent="0.45">
      <c r="U2102"/>
      <c r="V2102"/>
      <c r="W2102"/>
    </row>
    <row r="2103" spans="21:23" ht="21.75" customHeight="1" x14ac:dyDescent="0.45">
      <c r="U2103"/>
      <c r="V2103"/>
      <c r="W2103"/>
    </row>
    <row r="2104" spans="21:23" ht="21.75" customHeight="1" x14ac:dyDescent="0.45">
      <c r="U2104"/>
      <c r="V2104"/>
      <c r="W2104"/>
    </row>
    <row r="2105" spans="21:23" ht="21.75" customHeight="1" x14ac:dyDescent="0.45">
      <c r="U2105"/>
      <c r="V2105"/>
      <c r="W2105"/>
    </row>
    <row r="2106" spans="21:23" ht="21.75" customHeight="1" x14ac:dyDescent="0.45">
      <c r="U2106"/>
      <c r="V2106"/>
      <c r="W2106"/>
    </row>
    <row r="2107" spans="21:23" ht="21.75" customHeight="1" x14ac:dyDescent="0.45">
      <c r="U2107"/>
      <c r="V2107"/>
      <c r="W2107"/>
    </row>
    <row r="2108" spans="21:23" ht="21.75" customHeight="1" x14ac:dyDescent="0.45">
      <c r="U2108"/>
      <c r="V2108"/>
      <c r="W2108"/>
    </row>
    <row r="2109" spans="21:23" ht="21.75" customHeight="1" x14ac:dyDescent="0.45">
      <c r="U2109"/>
      <c r="V2109"/>
      <c r="W2109"/>
    </row>
    <row r="2110" spans="21:23" ht="21.75" customHeight="1" x14ac:dyDescent="0.45">
      <c r="U2110"/>
      <c r="V2110"/>
      <c r="W2110"/>
    </row>
    <row r="2111" spans="21:23" ht="21.75" customHeight="1" x14ac:dyDescent="0.45">
      <c r="U2111"/>
      <c r="V2111"/>
      <c r="W2111"/>
    </row>
    <row r="2112" spans="21:23" ht="21.75" customHeight="1" x14ac:dyDescent="0.45">
      <c r="U2112"/>
      <c r="V2112"/>
      <c r="W2112"/>
    </row>
    <row r="2113" spans="21:23" ht="21.75" customHeight="1" x14ac:dyDescent="0.45">
      <c r="U2113"/>
      <c r="V2113"/>
      <c r="W2113"/>
    </row>
    <row r="2114" spans="21:23" ht="21.75" customHeight="1" x14ac:dyDescent="0.45">
      <c r="U2114"/>
      <c r="V2114"/>
      <c r="W2114"/>
    </row>
    <row r="2115" spans="21:23" ht="21.75" customHeight="1" x14ac:dyDescent="0.45">
      <c r="U2115"/>
      <c r="V2115"/>
      <c r="W2115"/>
    </row>
    <row r="2116" spans="21:23" ht="21.75" customHeight="1" x14ac:dyDescent="0.45">
      <c r="U2116"/>
      <c r="V2116"/>
      <c r="W2116"/>
    </row>
    <row r="2117" spans="21:23" ht="21.75" customHeight="1" x14ac:dyDescent="0.45">
      <c r="U2117"/>
      <c r="V2117"/>
      <c r="W2117"/>
    </row>
    <row r="2118" spans="21:23" ht="21.75" customHeight="1" x14ac:dyDescent="0.45">
      <c r="U2118"/>
      <c r="V2118"/>
      <c r="W2118"/>
    </row>
    <row r="2119" spans="21:23" ht="21.75" customHeight="1" x14ac:dyDescent="0.45">
      <c r="U2119"/>
      <c r="V2119"/>
      <c r="W2119"/>
    </row>
    <row r="2120" spans="21:23" ht="21.75" customHeight="1" x14ac:dyDescent="0.45">
      <c r="U2120"/>
      <c r="V2120"/>
      <c r="W2120"/>
    </row>
    <row r="2121" spans="21:23" ht="21.75" customHeight="1" x14ac:dyDescent="0.45">
      <c r="U2121"/>
      <c r="V2121"/>
      <c r="W2121"/>
    </row>
    <row r="2122" spans="21:23" ht="21.75" customHeight="1" x14ac:dyDescent="0.45">
      <c r="U2122"/>
      <c r="V2122"/>
      <c r="W2122"/>
    </row>
    <row r="2123" spans="21:23" ht="21.75" customHeight="1" x14ac:dyDescent="0.45">
      <c r="U2123"/>
      <c r="V2123"/>
      <c r="W2123"/>
    </row>
    <row r="2124" spans="21:23" ht="21.75" customHeight="1" x14ac:dyDescent="0.45">
      <c r="U2124"/>
      <c r="V2124"/>
      <c r="W2124"/>
    </row>
    <row r="2125" spans="21:23" ht="21.75" customHeight="1" x14ac:dyDescent="0.45">
      <c r="U2125"/>
      <c r="V2125"/>
      <c r="W2125"/>
    </row>
    <row r="2126" spans="21:23" ht="21.75" customHeight="1" x14ac:dyDescent="0.45">
      <c r="U2126"/>
      <c r="V2126"/>
      <c r="W2126"/>
    </row>
    <row r="2127" spans="21:23" ht="21.75" customHeight="1" x14ac:dyDescent="0.45">
      <c r="U2127"/>
      <c r="V2127"/>
      <c r="W2127"/>
    </row>
    <row r="2128" spans="21:23" ht="21.75" customHeight="1" x14ac:dyDescent="0.45">
      <c r="U2128"/>
      <c r="V2128"/>
      <c r="W2128"/>
    </row>
    <row r="2129" spans="21:23" ht="21.75" customHeight="1" x14ac:dyDescent="0.45">
      <c r="U2129"/>
      <c r="V2129"/>
      <c r="W2129"/>
    </row>
    <row r="2130" spans="21:23" ht="21.75" customHeight="1" x14ac:dyDescent="0.45">
      <c r="U2130"/>
      <c r="V2130"/>
      <c r="W2130"/>
    </row>
    <row r="2131" spans="21:23" ht="21.75" customHeight="1" x14ac:dyDescent="0.45">
      <c r="U2131"/>
      <c r="V2131"/>
      <c r="W2131"/>
    </row>
    <row r="2132" spans="21:23" ht="21.75" customHeight="1" x14ac:dyDescent="0.45">
      <c r="U2132"/>
      <c r="V2132"/>
      <c r="W2132"/>
    </row>
    <row r="2133" spans="21:23" ht="21.75" customHeight="1" x14ac:dyDescent="0.45">
      <c r="U2133"/>
      <c r="V2133"/>
      <c r="W2133"/>
    </row>
    <row r="2134" spans="21:23" ht="21.75" customHeight="1" x14ac:dyDescent="0.45">
      <c r="U2134"/>
      <c r="V2134"/>
      <c r="W2134"/>
    </row>
    <row r="2135" spans="21:23" ht="21.75" customHeight="1" x14ac:dyDescent="0.45">
      <c r="U2135"/>
      <c r="V2135"/>
      <c r="W2135"/>
    </row>
    <row r="2136" spans="21:23" ht="21.75" customHeight="1" x14ac:dyDescent="0.45">
      <c r="U2136"/>
      <c r="V2136"/>
      <c r="W2136"/>
    </row>
    <row r="2137" spans="21:23" ht="21.75" customHeight="1" x14ac:dyDescent="0.45">
      <c r="U2137"/>
      <c r="V2137"/>
      <c r="W2137"/>
    </row>
    <row r="2138" spans="21:23" ht="21.75" customHeight="1" x14ac:dyDescent="0.45">
      <c r="U2138"/>
      <c r="V2138"/>
      <c r="W2138"/>
    </row>
    <row r="2139" spans="21:23" ht="21.75" customHeight="1" x14ac:dyDescent="0.45">
      <c r="U2139"/>
      <c r="V2139"/>
      <c r="W2139"/>
    </row>
    <row r="2140" spans="21:23" ht="21.75" customHeight="1" x14ac:dyDescent="0.45">
      <c r="U2140"/>
      <c r="V2140"/>
      <c r="W2140"/>
    </row>
    <row r="2141" spans="21:23" ht="21.75" customHeight="1" x14ac:dyDescent="0.45">
      <c r="U2141"/>
      <c r="V2141"/>
      <c r="W2141"/>
    </row>
    <row r="2142" spans="21:23" ht="21.75" customHeight="1" x14ac:dyDescent="0.45">
      <c r="U2142"/>
      <c r="V2142"/>
      <c r="W2142"/>
    </row>
    <row r="2143" spans="21:23" ht="21.75" customHeight="1" x14ac:dyDescent="0.45">
      <c r="U2143"/>
      <c r="V2143"/>
      <c r="W2143"/>
    </row>
    <row r="2144" spans="21:23" ht="21.75" customHeight="1" x14ac:dyDescent="0.45">
      <c r="U2144"/>
      <c r="V2144"/>
      <c r="W2144"/>
    </row>
    <row r="2145" spans="21:23" ht="21.75" customHeight="1" x14ac:dyDescent="0.45">
      <c r="U2145"/>
      <c r="V2145"/>
      <c r="W2145"/>
    </row>
    <row r="2146" spans="21:23" ht="21.75" customHeight="1" x14ac:dyDescent="0.45">
      <c r="U2146"/>
      <c r="V2146"/>
      <c r="W2146"/>
    </row>
    <row r="2147" spans="21:23" ht="21.75" customHeight="1" x14ac:dyDescent="0.45">
      <c r="U2147"/>
      <c r="V2147"/>
      <c r="W2147"/>
    </row>
    <row r="2148" spans="21:23" ht="21.75" customHeight="1" x14ac:dyDescent="0.45">
      <c r="U2148"/>
      <c r="V2148"/>
      <c r="W2148"/>
    </row>
    <row r="2149" spans="21:23" ht="21.75" customHeight="1" x14ac:dyDescent="0.45">
      <c r="U2149"/>
      <c r="V2149"/>
      <c r="W2149"/>
    </row>
    <row r="2150" spans="21:23" ht="21.75" customHeight="1" x14ac:dyDescent="0.45">
      <c r="U2150"/>
      <c r="V2150"/>
      <c r="W2150"/>
    </row>
    <row r="2151" spans="21:23" ht="21.75" customHeight="1" x14ac:dyDescent="0.45">
      <c r="U2151"/>
      <c r="V2151"/>
      <c r="W2151"/>
    </row>
    <row r="2152" spans="21:23" ht="21.75" customHeight="1" x14ac:dyDescent="0.45">
      <c r="U2152"/>
      <c r="V2152"/>
      <c r="W2152"/>
    </row>
    <row r="2153" spans="21:23" ht="21.75" customHeight="1" x14ac:dyDescent="0.45">
      <c r="U2153"/>
      <c r="V2153"/>
      <c r="W2153"/>
    </row>
    <row r="2154" spans="21:23" ht="21.75" customHeight="1" x14ac:dyDescent="0.45">
      <c r="U2154"/>
      <c r="V2154"/>
      <c r="W2154"/>
    </row>
    <row r="2155" spans="21:23" ht="21.75" customHeight="1" x14ac:dyDescent="0.45">
      <c r="U2155"/>
      <c r="V2155"/>
      <c r="W2155"/>
    </row>
    <row r="2156" spans="21:23" ht="21.75" customHeight="1" x14ac:dyDescent="0.45">
      <c r="U2156"/>
      <c r="V2156"/>
      <c r="W2156"/>
    </row>
    <row r="2157" spans="21:23" ht="21.75" customHeight="1" x14ac:dyDescent="0.45">
      <c r="U2157"/>
      <c r="V2157"/>
      <c r="W2157"/>
    </row>
    <row r="2158" spans="21:23" ht="21.75" customHeight="1" x14ac:dyDescent="0.45">
      <c r="U2158"/>
      <c r="V2158"/>
      <c r="W2158"/>
    </row>
    <row r="2159" spans="21:23" ht="21.75" customHeight="1" x14ac:dyDescent="0.45">
      <c r="U2159"/>
      <c r="V2159"/>
      <c r="W2159"/>
    </row>
    <row r="2160" spans="21:23" ht="21.75" customHeight="1" x14ac:dyDescent="0.45">
      <c r="U2160"/>
      <c r="V2160"/>
      <c r="W2160"/>
    </row>
    <row r="2161" spans="21:23" ht="21.75" customHeight="1" x14ac:dyDescent="0.45">
      <c r="U2161"/>
      <c r="V2161"/>
      <c r="W2161"/>
    </row>
    <row r="2162" spans="21:23" ht="21.75" customHeight="1" x14ac:dyDescent="0.45">
      <c r="U2162"/>
      <c r="V2162"/>
      <c r="W2162"/>
    </row>
    <row r="2163" spans="21:23" ht="21.75" customHeight="1" x14ac:dyDescent="0.45">
      <c r="U2163"/>
      <c r="V2163"/>
      <c r="W2163"/>
    </row>
    <row r="2164" spans="21:23" ht="21.75" customHeight="1" x14ac:dyDescent="0.45">
      <c r="U2164"/>
      <c r="V2164"/>
      <c r="W2164"/>
    </row>
    <row r="2165" spans="21:23" ht="21.75" customHeight="1" x14ac:dyDescent="0.45">
      <c r="U2165"/>
      <c r="V2165"/>
      <c r="W2165"/>
    </row>
    <row r="2166" spans="21:23" ht="21.75" customHeight="1" x14ac:dyDescent="0.45">
      <c r="U2166"/>
      <c r="V2166"/>
      <c r="W2166"/>
    </row>
    <row r="2167" spans="21:23" ht="21.75" customHeight="1" x14ac:dyDescent="0.45">
      <c r="U2167"/>
      <c r="V2167"/>
      <c r="W2167"/>
    </row>
    <row r="2168" spans="21:23" ht="21.75" customHeight="1" x14ac:dyDescent="0.45">
      <c r="U2168"/>
      <c r="V2168"/>
      <c r="W2168"/>
    </row>
    <row r="2169" spans="21:23" ht="21.75" customHeight="1" x14ac:dyDescent="0.45">
      <c r="U2169"/>
      <c r="V2169"/>
      <c r="W2169"/>
    </row>
    <row r="2170" spans="21:23" ht="21.75" customHeight="1" x14ac:dyDescent="0.45">
      <c r="U2170"/>
      <c r="V2170"/>
      <c r="W2170"/>
    </row>
    <row r="2171" spans="21:23" ht="21.75" customHeight="1" x14ac:dyDescent="0.45">
      <c r="U2171"/>
      <c r="V2171"/>
      <c r="W2171"/>
    </row>
    <row r="2172" spans="21:23" ht="21.75" customHeight="1" x14ac:dyDescent="0.45">
      <c r="U2172"/>
      <c r="V2172"/>
      <c r="W2172"/>
    </row>
    <row r="2173" spans="21:23" ht="21.75" customHeight="1" x14ac:dyDescent="0.45">
      <c r="U2173"/>
      <c r="V2173"/>
      <c r="W2173"/>
    </row>
    <row r="2174" spans="21:23" ht="21.75" customHeight="1" x14ac:dyDescent="0.45">
      <c r="U2174"/>
      <c r="V2174"/>
      <c r="W2174"/>
    </row>
    <row r="2175" spans="21:23" ht="21.75" customHeight="1" x14ac:dyDescent="0.45">
      <c r="U2175"/>
      <c r="V2175"/>
      <c r="W2175"/>
    </row>
    <row r="2176" spans="21:23" ht="21.75" customHeight="1" x14ac:dyDescent="0.45">
      <c r="U2176"/>
      <c r="V2176"/>
      <c r="W2176"/>
    </row>
    <row r="2177" spans="21:23" ht="21.75" customHeight="1" x14ac:dyDescent="0.45">
      <c r="U2177"/>
      <c r="V2177"/>
      <c r="W2177"/>
    </row>
    <row r="2178" spans="21:23" ht="21.75" customHeight="1" x14ac:dyDescent="0.45">
      <c r="U2178"/>
      <c r="V2178"/>
      <c r="W2178"/>
    </row>
    <row r="2179" spans="21:23" ht="21.75" customHeight="1" x14ac:dyDescent="0.45">
      <c r="U2179"/>
      <c r="V2179"/>
      <c r="W2179"/>
    </row>
    <row r="2180" spans="21:23" ht="21.75" customHeight="1" x14ac:dyDescent="0.45">
      <c r="U2180"/>
      <c r="V2180"/>
      <c r="W2180"/>
    </row>
    <row r="2181" spans="21:23" ht="21.75" customHeight="1" x14ac:dyDescent="0.45">
      <c r="U2181"/>
      <c r="V2181"/>
      <c r="W2181"/>
    </row>
    <row r="2182" spans="21:23" ht="21.75" customHeight="1" x14ac:dyDescent="0.45">
      <c r="U2182"/>
      <c r="V2182"/>
      <c r="W2182"/>
    </row>
    <row r="2183" spans="21:23" ht="21.75" customHeight="1" x14ac:dyDescent="0.45">
      <c r="U2183"/>
      <c r="V2183"/>
      <c r="W2183"/>
    </row>
    <row r="2184" spans="21:23" ht="21.75" customHeight="1" x14ac:dyDescent="0.45">
      <c r="U2184"/>
      <c r="V2184"/>
      <c r="W2184"/>
    </row>
    <row r="2185" spans="21:23" ht="21.75" customHeight="1" x14ac:dyDescent="0.45">
      <c r="U2185"/>
      <c r="V2185"/>
      <c r="W2185"/>
    </row>
    <row r="2186" spans="21:23" ht="21.75" customHeight="1" x14ac:dyDescent="0.45">
      <c r="U2186"/>
      <c r="V2186"/>
      <c r="W2186"/>
    </row>
    <row r="2187" spans="21:23" ht="21.75" customHeight="1" x14ac:dyDescent="0.45">
      <c r="U2187"/>
      <c r="V2187"/>
      <c r="W2187"/>
    </row>
    <row r="2188" spans="21:23" ht="21.75" customHeight="1" x14ac:dyDescent="0.45">
      <c r="U2188"/>
      <c r="V2188"/>
      <c r="W2188"/>
    </row>
    <row r="2189" spans="21:23" ht="21.75" customHeight="1" x14ac:dyDescent="0.45">
      <c r="U2189"/>
      <c r="V2189"/>
      <c r="W2189"/>
    </row>
    <row r="2190" spans="21:23" ht="21.75" customHeight="1" x14ac:dyDescent="0.45">
      <c r="U2190"/>
      <c r="V2190"/>
      <c r="W2190"/>
    </row>
    <row r="2191" spans="21:23" ht="21.75" customHeight="1" x14ac:dyDescent="0.45">
      <c r="U2191"/>
      <c r="V2191"/>
      <c r="W2191"/>
    </row>
    <row r="2192" spans="21:23" ht="21.75" customHeight="1" x14ac:dyDescent="0.45">
      <c r="U2192"/>
      <c r="V2192"/>
      <c r="W2192"/>
    </row>
    <row r="2193" spans="21:23" ht="21.75" customHeight="1" x14ac:dyDescent="0.45">
      <c r="U2193"/>
      <c r="V2193"/>
      <c r="W2193"/>
    </row>
    <row r="2194" spans="21:23" ht="21.75" customHeight="1" x14ac:dyDescent="0.45">
      <c r="U2194"/>
      <c r="V2194"/>
      <c r="W2194"/>
    </row>
    <row r="2195" spans="21:23" ht="21.75" customHeight="1" x14ac:dyDescent="0.45">
      <c r="U2195"/>
      <c r="V2195"/>
      <c r="W2195"/>
    </row>
    <row r="2196" spans="21:23" ht="21.75" customHeight="1" x14ac:dyDescent="0.45">
      <c r="U2196"/>
      <c r="V2196"/>
      <c r="W2196"/>
    </row>
    <row r="2197" spans="21:23" ht="21.75" customHeight="1" x14ac:dyDescent="0.45">
      <c r="U2197"/>
      <c r="V2197"/>
      <c r="W2197"/>
    </row>
    <row r="2198" spans="21:23" ht="21.75" customHeight="1" x14ac:dyDescent="0.45">
      <c r="U2198"/>
      <c r="V2198"/>
      <c r="W2198"/>
    </row>
    <row r="2199" spans="21:23" ht="21.75" customHeight="1" x14ac:dyDescent="0.45">
      <c r="U2199"/>
      <c r="V2199"/>
      <c r="W2199"/>
    </row>
    <row r="2200" spans="21:23" ht="21.75" customHeight="1" x14ac:dyDescent="0.45">
      <c r="U2200"/>
      <c r="V2200"/>
      <c r="W2200"/>
    </row>
    <row r="2201" spans="21:23" ht="21.75" customHeight="1" x14ac:dyDescent="0.45">
      <c r="U2201"/>
      <c r="V2201"/>
      <c r="W2201"/>
    </row>
    <row r="2202" spans="21:23" ht="21.75" customHeight="1" x14ac:dyDescent="0.45">
      <c r="U2202"/>
      <c r="V2202"/>
      <c r="W2202"/>
    </row>
    <row r="2203" spans="21:23" ht="21.75" customHeight="1" x14ac:dyDescent="0.45">
      <c r="U2203"/>
      <c r="V2203"/>
      <c r="W2203"/>
    </row>
    <row r="2204" spans="21:23" ht="21.75" customHeight="1" x14ac:dyDescent="0.45">
      <c r="U2204"/>
      <c r="V2204"/>
      <c r="W2204"/>
    </row>
    <row r="2205" spans="21:23" ht="21.75" customHeight="1" x14ac:dyDescent="0.45">
      <c r="U2205"/>
      <c r="V2205"/>
      <c r="W2205"/>
    </row>
    <row r="2206" spans="21:23" ht="21.75" customHeight="1" x14ac:dyDescent="0.45">
      <c r="U2206"/>
      <c r="V2206"/>
      <c r="W2206"/>
    </row>
    <row r="2207" spans="21:23" ht="21.75" customHeight="1" x14ac:dyDescent="0.45">
      <c r="U2207"/>
      <c r="V2207"/>
      <c r="W2207"/>
    </row>
    <row r="2208" spans="21:23" ht="21.75" customHeight="1" x14ac:dyDescent="0.45">
      <c r="U2208"/>
      <c r="V2208"/>
      <c r="W2208"/>
    </row>
    <row r="2209" spans="21:23" ht="21.75" customHeight="1" x14ac:dyDescent="0.45">
      <c r="U2209"/>
      <c r="V2209"/>
      <c r="W2209"/>
    </row>
    <row r="2210" spans="21:23" ht="21.75" customHeight="1" x14ac:dyDescent="0.45">
      <c r="U2210"/>
      <c r="V2210"/>
      <c r="W2210"/>
    </row>
    <row r="2211" spans="21:23" ht="21.75" customHeight="1" x14ac:dyDescent="0.45">
      <c r="U2211"/>
      <c r="V2211"/>
      <c r="W2211"/>
    </row>
    <row r="2212" spans="21:23" ht="21.75" customHeight="1" x14ac:dyDescent="0.45">
      <c r="U2212"/>
      <c r="V2212"/>
      <c r="W2212"/>
    </row>
    <row r="2213" spans="21:23" ht="21.75" customHeight="1" x14ac:dyDescent="0.45">
      <c r="U2213"/>
      <c r="V2213"/>
      <c r="W2213"/>
    </row>
    <row r="2214" spans="21:23" ht="21.75" customHeight="1" x14ac:dyDescent="0.45">
      <c r="U2214"/>
      <c r="V2214"/>
      <c r="W2214"/>
    </row>
    <row r="2215" spans="21:23" ht="21.75" customHeight="1" x14ac:dyDescent="0.45">
      <c r="U2215"/>
      <c r="V2215"/>
      <c r="W2215"/>
    </row>
    <row r="2216" spans="21:23" ht="21.75" customHeight="1" x14ac:dyDescent="0.45">
      <c r="U2216"/>
      <c r="V2216"/>
      <c r="W2216"/>
    </row>
    <row r="2217" spans="21:23" ht="21.75" customHeight="1" x14ac:dyDescent="0.45">
      <c r="U2217"/>
      <c r="V2217"/>
      <c r="W2217"/>
    </row>
    <row r="2218" spans="21:23" ht="21.75" customHeight="1" x14ac:dyDescent="0.45">
      <c r="U2218"/>
      <c r="V2218"/>
      <c r="W2218"/>
    </row>
    <row r="2219" spans="21:23" ht="21.75" customHeight="1" x14ac:dyDescent="0.45">
      <c r="U2219"/>
      <c r="V2219"/>
      <c r="W2219"/>
    </row>
    <row r="2220" spans="21:23" ht="21.75" customHeight="1" x14ac:dyDescent="0.45">
      <c r="U2220"/>
      <c r="V2220"/>
      <c r="W2220"/>
    </row>
    <row r="2221" spans="21:23" ht="21.75" customHeight="1" x14ac:dyDescent="0.45">
      <c r="U2221"/>
      <c r="V2221"/>
      <c r="W2221"/>
    </row>
    <row r="2222" spans="21:23" ht="21.75" customHeight="1" x14ac:dyDescent="0.45">
      <c r="U2222"/>
      <c r="V2222"/>
      <c r="W2222"/>
    </row>
    <row r="2223" spans="21:23" ht="21.75" customHeight="1" x14ac:dyDescent="0.45">
      <c r="U2223"/>
      <c r="V2223"/>
      <c r="W2223"/>
    </row>
    <row r="2224" spans="21:23" ht="21.75" customHeight="1" x14ac:dyDescent="0.45">
      <c r="U2224"/>
      <c r="V2224"/>
      <c r="W2224"/>
    </row>
    <row r="2225" spans="21:23" ht="21.75" customHeight="1" x14ac:dyDescent="0.45">
      <c r="U2225"/>
      <c r="V2225"/>
      <c r="W2225"/>
    </row>
    <row r="2226" spans="21:23" ht="21.75" customHeight="1" x14ac:dyDescent="0.45">
      <c r="U2226"/>
      <c r="V2226"/>
      <c r="W2226"/>
    </row>
    <row r="2227" spans="21:23" ht="21.75" customHeight="1" x14ac:dyDescent="0.45">
      <c r="U2227"/>
      <c r="V2227"/>
      <c r="W2227"/>
    </row>
    <row r="2228" spans="21:23" ht="21.75" customHeight="1" x14ac:dyDescent="0.45">
      <c r="U2228"/>
      <c r="V2228"/>
      <c r="W2228"/>
    </row>
    <row r="2229" spans="21:23" ht="21.75" customHeight="1" x14ac:dyDescent="0.45">
      <c r="U2229"/>
      <c r="V2229"/>
      <c r="W2229"/>
    </row>
    <row r="2230" spans="21:23" ht="21.75" customHeight="1" x14ac:dyDescent="0.45">
      <c r="U2230"/>
      <c r="V2230"/>
      <c r="W2230"/>
    </row>
    <row r="2231" spans="21:23" ht="21.75" customHeight="1" x14ac:dyDescent="0.45">
      <c r="U2231"/>
      <c r="V2231"/>
      <c r="W2231"/>
    </row>
    <row r="2232" spans="21:23" ht="21.75" customHeight="1" x14ac:dyDescent="0.45">
      <c r="U2232"/>
      <c r="V2232"/>
      <c r="W2232"/>
    </row>
    <row r="2233" spans="21:23" ht="21.75" customHeight="1" x14ac:dyDescent="0.45">
      <c r="U2233"/>
      <c r="V2233"/>
      <c r="W2233"/>
    </row>
    <row r="2234" spans="21:23" ht="21.75" customHeight="1" x14ac:dyDescent="0.45">
      <c r="U2234"/>
      <c r="V2234"/>
      <c r="W2234"/>
    </row>
    <row r="2235" spans="21:23" ht="21.75" customHeight="1" x14ac:dyDescent="0.45">
      <c r="U2235"/>
      <c r="V2235"/>
      <c r="W2235"/>
    </row>
    <row r="2236" spans="21:23" ht="21.75" customHeight="1" x14ac:dyDescent="0.45">
      <c r="U2236"/>
      <c r="V2236"/>
      <c r="W2236"/>
    </row>
    <row r="2237" spans="21:23" ht="21.75" customHeight="1" x14ac:dyDescent="0.45">
      <c r="U2237"/>
      <c r="V2237"/>
      <c r="W2237"/>
    </row>
    <row r="2238" spans="21:23" ht="21.75" customHeight="1" x14ac:dyDescent="0.45">
      <c r="U2238"/>
      <c r="V2238"/>
      <c r="W2238"/>
    </row>
    <row r="2239" spans="21:23" ht="21.75" customHeight="1" x14ac:dyDescent="0.45">
      <c r="U2239"/>
      <c r="V2239"/>
      <c r="W2239"/>
    </row>
    <row r="2240" spans="21:23" ht="21.75" customHeight="1" x14ac:dyDescent="0.45">
      <c r="U2240"/>
      <c r="V2240"/>
      <c r="W2240"/>
    </row>
    <row r="2241" spans="21:23" ht="21.75" customHeight="1" x14ac:dyDescent="0.45">
      <c r="U2241"/>
      <c r="V2241"/>
      <c r="W2241"/>
    </row>
    <row r="2242" spans="21:23" ht="21.75" customHeight="1" x14ac:dyDescent="0.45">
      <c r="U2242"/>
      <c r="V2242"/>
      <c r="W2242"/>
    </row>
    <row r="2243" spans="21:23" ht="21.75" customHeight="1" x14ac:dyDescent="0.45">
      <c r="U2243"/>
      <c r="V2243"/>
      <c r="W2243"/>
    </row>
    <row r="2244" spans="21:23" ht="21.75" customHeight="1" x14ac:dyDescent="0.45">
      <c r="U2244"/>
      <c r="V2244"/>
      <c r="W2244"/>
    </row>
    <row r="2245" spans="21:23" ht="21.75" customHeight="1" x14ac:dyDescent="0.45">
      <c r="U2245"/>
      <c r="V2245"/>
      <c r="W2245"/>
    </row>
    <row r="2246" spans="21:23" ht="21.75" customHeight="1" x14ac:dyDescent="0.45">
      <c r="U2246"/>
      <c r="V2246"/>
      <c r="W2246"/>
    </row>
    <row r="2247" spans="21:23" ht="21.75" customHeight="1" x14ac:dyDescent="0.45">
      <c r="U2247"/>
      <c r="V2247"/>
      <c r="W2247"/>
    </row>
    <row r="2248" spans="21:23" ht="21.75" customHeight="1" x14ac:dyDescent="0.45">
      <c r="U2248"/>
      <c r="V2248"/>
      <c r="W2248"/>
    </row>
    <row r="2249" spans="21:23" ht="21.75" customHeight="1" x14ac:dyDescent="0.45">
      <c r="U2249"/>
      <c r="V2249"/>
      <c r="W2249"/>
    </row>
    <row r="2250" spans="21:23" ht="21.75" customHeight="1" x14ac:dyDescent="0.45">
      <c r="U2250"/>
      <c r="V2250"/>
      <c r="W2250"/>
    </row>
    <row r="2251" spans="21:23" ht="21.75" customHeight="1" x14ac:dyDescent="0.45">
      <c r="U2251"/>
      <c r="V2251"/>
      <c r="W2251"/>
    </row>
    <row r="2252" spans="21:23" ht="21.75" customHeight="1" x14ac:dyDescent="0.45">
      <c r="U2252"/>
      <c r="V2252"/>
      <c r="W2252"/>
    </row>
    <row r="2253" spans="21:23" ht="21.75" customHeight="1" x14ac:dyDescent="0.45">
      <c r="U2253"/>
      <c r="V2253"/>
      <c r="W2253"/>
    </row>
    <row r="2254" spans="21:23" ht="21.75" customHeight="1" x14ac:dyDescent="0.45">
      <c r="U2254"/>
      <c r="V2254"/>
      <c r="W2254"/>
    </row>
    <row r="2255" spans="21:23" ht="21.75" customHeight="1" x14ac:dyDescent="0.45">
      <c r="U2255"/>
      <c r="V2255"/>
      <c r="W2255"/>
    </row>
    <row r="2256" spans="21:23" ht="21.75" customHeight="1" x14ac:dyDescent="0.45">
      <c r="U2256"/>
      <c r="V2256"/>
      <c r="W2256"/>
    </row>
    <row r="2257" spans="21:23" ht="21.75" customHeight="1" x14ac:dyDescent="0.45">
      <c r="U2257"/>
      <c r="V2257"/>
      <c r="W2257"/>
    </row>
    <row r="2258" spans="21:23" ht="21.75" customHeight="1" x14ac:dyDescent="0.45">
      <c r="U2258"/>
      <c r="V2258"/>
      <c r="W2258"/>
    </row>
    <row r="2259" spans="21:23" ht="21.75" customHeight="1" x14ac:dyDescent="0.45">
      <c r="U2259"/>
      <c r="V2259"/>
      <c r="W2259"/>
    </row>
    <row r="2260" spans="21:23" ht="21.75" customHeight="1" x14ac:dyDescent="0.45">
      <c r="U2260"/>
      <c r="V2260"/>
      <c r="W2260"/>
    </row>
    <row r="2261" spans="21:23" ht="21.75" customHeight="1" x14ac:dyDescent="0.45">
      <c r="U2261"/>
      <c r="V2261"/>
      <c r="W2261"/>
    </row>
    <row r="2262" spans="21:23" ht="21.75" customHeight="1" x14ac:dyDescent="0.45">
      <c r="U2262"/>
      <c r="V2262"/>
      <c r="W2262"/>
    </row>
  </sheetData>
  <mergeCells count="10">
    <mergeCell ref="U1:Z1"/>
    <mergeCell ref="AA1:AF1"/>
    <mergeCell ref="AG1:AV1"/>
    <mergeCell ref="AW1:BA1"/>
    <mergeCell ref="BB1:BE1"/>
    <mergeCell ref="A1:D1"/>
    <mergeCell ref="E1:H1"/>
    <mergeCell ref="J1:O1"/>
    <mergeCell ref="P1:Q1"/>
    <mergeCell ref="R1:T1"/>
  </mergeCells>
  <phoneticPr fontId="34" type="noConversion"/>
  <conditionalFormatting sqref="P4:P11">
    <cfRule type="duplicateValues" dxfId="6" priority="10"/>
  </conditionalFormatting>
  <conditionalFormatting sqref="R3:R1048576 S29:T409 S28 S3:T27">
    <cfRule type="expression" dxfId="5" priority="5">
      <formula>LEN(R3)&gt;40</formula>
    </cfRule>
  </conditionalFormatting>
  <conditionalFormatting sqref="U4:W2262">
    <cfRule type="expression" dxfId="4" priority="3">
      <formula>LEN(U4)&gt;22</formula>
    </cfRule>
  </conditionalFormatting>
  <conditionalFormatting sqref="X4:Z1048576">
    <cfRule type="expression" dxfId="3" priority="2">
      <formula>LEN(X4)&gt;22</formula>
    </cfRule>
  </conditionalFormatting>
  <conditionalFormatting sqref="AD4:AF1048576">
    <cfRule type="expression" dxfId="2" priority="1">
      <formula>LEN(AD4)&gt;28</formula>
    </cfRule>
  </conditionalFormatting>
  <dataValidations xWindow="1134" yWindow="582" count="30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 F495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howInputMessage="1" showErrorMessage="1" promptTitle="Information" prompt="Select value from dropdown" sqref="BB495:BB1048576 AW3:AZ3 BB3 AW495:AZ1048576 BD3:BD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0000000}">
      <formula1>RSC__refxartikeltypsap</formula1>
    </dataValidation>
    <dataValidation type="list" allowBlank="1" showInputMessage="1" showErrorMessage="1" promptTitle="Information" prompt="Select value from dropdown" sqref="J3:J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K3:K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L3:L17 L19:L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M3:M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N3:N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O3:O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H3:AH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I3 AI495:AI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J3 AJ495:AJ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L3 AL495:AL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M3 AM495:AM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Q3:AQ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R3 AR495:AR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S3 AS495:AS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AT3:AT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AU3 AU495:AU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AV3 AV495:AV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A3 BA495:BA1048576" xr:uid="{00000000-0002-0000-0100-000028000000}">
      <formula1>RSC__refxshopinshop</formula1>
    </dataValidation>
    <dataValidation type="list" allowBlank="1" showInputMessage="1" promptTitle="Information" prompt="Select value from dropdown" sqref="BC3 BC495:BC1048576" xr:uid="{00000000-0002-0000-0100-000029000000}">
      <formula1>RSC__refxgtintyperegioartikel</formula1>
    </dataValidation>
    <dataValidation allowBlank="1" showInputMessage="1" showErrorMessage="1" promptTitle="Information" prompt="Select value from dropdown" sqref="AL4:AM494 AK1:AK1048576" xr:uid="{1A424533-B9FB-4B28-95E8-5223C67491D0}"/>
    <dataValidation type="list" allowBlank="1" showInputMessage="1" showErrorMessage="1" promptTitle="Information" prompt="Select value from dropdown" sqref="BE3:BE1048576" xr:uid="{00000000-0002-0000-0100-00002A000000}">
      <formula1>RSC__refxsystemsap</formula1>
    </dataValidation>
    <dataValidation allowBlank="1" sqref="F4:F494" xr:uid="{C4A72171-FC4A-4A32-9286-771D015CB924}"/>
    <dataValidation allowBlank="1" showInputMessage="1" promptTitle="Information" prompt="Select value from dropdown" sqref="BC4:BC494" xr:uid="{ABBF123A-743C-4641-B21D-C38F5C411B13}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134" yWindow="582" count="3">
        <x14:dataValidation type="list" allowBlank="1" showErrorMessage="1" xr:uid="{00000000-0002-0000-0100-00001F000000}">
          <x14:formula1>
            <xm:f>OFFSET(dedea_axba2387!$A$1,1,IF(OR(ISBLANK($J3),$J3="[DELETE]",$J3="[NULL]"),MATCH("[EMPTY]",dedea_axba2387!$A$1:$K$1,0),MATCH($J3,dedea_axba2387!$A$1:$K$1,0))-1,32768,1)</xm:f>
          </x14:formula1>
          <xm:sqref>AN3 AN495:AN1048576</xm:sqref>
        </x14:dataValidation>
        <x14:dataValidation type="list" allowBlank="1" showErrorMessage="1" xr:uid="{00000000-0002-0000-0100-000020000000}">
          <x14:formula1>
            <xm:f>OFFSET(frfra_axba1516!$A$1,1,IF(OR(ISBLANK($K3),$K3="[DELETE]",$K3="[NULL]"),MATCH("[EMPTY]",frfra_axba1516!$A$1:$D$1,0),MATCH($K3,frfra_axba1516!$A$1:$D$1,0))-1,32768,1)</xm:f>
          </x14:formula1>
          <xm:sqref>AO3 AO495:AO1048576</xm:sqref>
        </x14:dataValidation>
        <x14:dataValidation type="list" allowBlank="1" showErrorMessage="1" xr:uid="{00000000-0002-0000-0100-000021000000}">
          <x14:formula1>
            <xm:f>OFFSET(itita_axba3948!$A$1,1,IF(OR(ISBLANK($L3),$L3="[DELETE]",$L3="[NULL]"),MATCH("[EMPTY]",itita_axba3948!$A$1:$D$1,0),MATCH($L3,itita_axba3948!$A$1:$D$1,0))-1,32768,1)</xm:f>
          </x14:formula1>
          <xm:sqref>AP3 AP495:AP1048576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88951-E8B4-401D-B980-3152BED71B8F}">
  <dimension ref="A1:AJ261"/>
  <sheetViews>
    <sheetView topLeftCell="J1" workbookViewId="0">
      <selection activeCell="G2" sqref="G2"/>
    </sheetView>
  </sheetViews>
  <sheetFormatPr defaultColWidth="11.3984375" defaultRowHeight="14.25" x14ac:dyDescent="0.45"/>
  <cols>
    <col min="1" max="1" width="5.1328125" customWidth="1"/>
    <col min="2" max="2" width="7.59765625" style="36" customWidth="1"/>
    <col min="3" max="3" width="7.73046875" customWidth="1"/>
    <col min="4" max="4" width="7.1328125" customWidth="1"/>
    <col min="5" max="5" width="16.86328125" customWidth="1"/>
    <col min="6" max="6" width="25.1328125" customWidth="1"/>
    <col min="7" max="7" width="20.73046875" customWidth="1"/>
    <col min="8" max="8" width="11.3984375" customWidth="1"/>
    <col min="9" max="9" width="27.73046875" bestFit="1" customWidth="1"/>
    <col min="10" max="10" width="24" bestFit="1" customWidth="1"/>
    <col min="11" max="11" width="23.3984375" customWidth="1"/>
    <col min="12" max="12" width="13.86328125" bestFit="1" customWidth="1"/>
    <col min="13" max="13" width="28.3984375" bestFit="1" customWidth="1"/>
    <col min="14" max="15" width="24" bestFit="1" customWidth="1"/>
    <col min="16" max="16" width="11.3984375" customWidth="1"/>
    <col min="17" max="17" width="26.3984375" bestFit="1" customWidth="1"/>
    <col min="18" max="18" width="11.3984375" style="45" customWidth="1"/>
    <col min="19" max="20" width="17.265625" customWidth="1"/>
    <col min="21" max="21" width="19.59765625" customWidth="1"/>
    <col min="22" max="22" width="31.1328125" customWidth="1"/>
    <col min="23" max="23" width="26.265625" customWidth="1"/>
    <col min="24" max="27" width="22.86328125" customWidth="1"/>
    <col min="28" max="28" width="14.86328125" customWidth="1"/>
    <col min="29" max="29" width="14.73046875" customWidth="1"/>
    <col min="30" max="30" width="18.86328125" customWidth="1"/>
    <col min="31" max="31" width="11.3984375" customWidth="1"/>
    <col min="32" max="32" width="8.59765625" customWidth="1"/>
    <col min="33" max="33" width="13.59765625" style="62" customWidth="1"/>
    <col min="35" max="35" width="22" style="62" customWidth="1"/>
    <col min="36" max="36" width="16.86328125" customWidth="1"/>
  </cols>
  <sheetData>
    <row r="1" spans="1:36" ht="78.75" x14ac:dyDescent="0.45">
      <c r="A1" s="48" t="s">
        <v>247</v>
      </c>
      <c r="B1" s="49" t="s">
        <v>248</v>
      </c>
      <c r="C1" s="50" t="s">
        <v>249</v>
      </c>
      <c r="D1" s="50" t="s">
        <v>250</v>
      </c>
      <c r="E1" s="51" t="s">
        <v>251</v>
      </c>
      <c r="F1" s="50" t="s">
        <v>252</v>
      </c>
      <c r="G1" s="50" t="s">
        <v>253</v>
      </c>
      <c r="H1" s="50" t="s">
        <v>254</v>
      </c>
      <c r="I1" s="50" t="s">
        <v>255</v>
      </c>
      <c r="J1" s="50" t="s">
        <v>256</v>
      </c>
      <c r="K1" s="50" t="s">
        <v>257</v>
      </c>
      <c r="L1" s="50" t="s">
        <v>258</v>
      </c>
      <c r="M1" s="50" t="s">
        <v>259</v>
      </c>
      <c r="N1" s="50" t="s">
        <v>260</v>
      </c>
      <c r="O1" s="50" t="s">
        <v>261</v>
      </c>
      <c r="P1" s="50" t="s">
        <v>262</v>
      </c>
      <c r="Q1" s="50" t="s">
        <v>263</v>
      </c>
      <c r="R1" s="52" t="s">
        <v>63</v>
      </c>
      <c r="S1" s="50" t="s">
        <v>264</v>
      </c>
      <c r="T1" s="50" t="s">
        <v>265</v>
      </c>
      <c r="U1" s="50" t="s">
        <v>266</v>
      </c>
      <c r="V1" s="50" t="s">
        <v>267</v>
      </c>
      <c r="W1" s="50" t="s">
        <v>268</v>
      </c>
      <c r="X1" s="50" t="s">
        <v>269</v>
      </c>
      <c r="Y1" s="50" t="s">
        <v>1428</v>
      </c>
      <c r="Z1" s="50" t="s">
        <v>1429</v>
      </c>
      <c r="AA1" s="50" t="s">
        <v>1430</v>
      </c>
      <c r="AB1" s="50" t="s">
        <v>270</v>
      </c>
      <c r="AC1" s="50" t="s">
        <v>271</v>
      </c>
      <c r="AD1" s="50" t="s">
        <v>272</v>
      </c>
      <c r="AE1" s="50" t="s">
        <v>273</v>
      </c>
      <c r="AF1" s="50" t="s">
        <v>274</v>
      </c>
      <c r="AG1" s="50" t="s">
        <v>275</v>
      </c>
      <c r="AH1" s="50" t="s">
        <v>276</v>
      </c>
      <c r="AI1" s="50" t="s">
        <v>277</v>
      </c>
      <c r="AJ1" s="50" t="s">
        <v>278</v>
      </c>
    </row>
    <row r="2" spans="1:36" x14ac:dyDescent="0.45">
      <c r="A2" s="53">
        <v>1</v>
      </c>
      <c r="B2" s="43">
        <v>700</v>
      </c>
      <c r="C2" s="54" t="s">
        <v>279</v>
      </c>
      <c r="D2" s="54" t="s">
        <v>100</v>
      </c>
      <c r="E2" s="55"/>
      <c r="F2" s="54" t="s">
        <v>280</v>
      </c>
      <c r="G2" s="54" t="s">
        <v>281</v>
      </c>
      <c r="H2" s="54" t="s">
        <v>282</v>
      </c>
      <c r="I2" s="54" t="s">
        <v>283</v>
      </c>
      <c r="J2" s="54" t="s">
        <v>284</v>
      </c>
      <c r="K2" s="54" t="s">
        <v>285</v>
      </c>
      <c r="L2" s="54" t="s">
        <v>282</v>
      </c>
      <c r="M2" s="54" t="s">
        <v>283</v>
      </c>
      <c r="N2" s="54" t="s">
        <v>280</v>
      </c>
      <c r="O2" s="54" t="s">
        <v>286</v>
      </c>
      <c r="P2" s="54" t="s">
        <v>282</v>
      </c>
      <c r="Q2" s="54" t="s">
        <v>283</v>
      </c>
      <c r="R2" s="56">
        <v>0.25</v>
      </c>
      <c r="S2" s="54">
        <v>100</v>
      </c>
      <c r="T2" s="54" t="s">
        <v>146</v>
      </c>
      <c r="U2" s="54" t="s">
        <v>185</v>
      </c>
      <c r="V2" s="54" t="s">
        <v>287</v>
      </c>
      <c r="W2" s="54" t="s">
        <v>288</v>
      </c>
      <c r="X2" s="54" t="s">
        <v>289</v>
      </c>
      <c r="Y2" s="54"/>
      <c r="Z2" s="54"/>
      <c r="AA2" s="54"/>
      <c r="AB2" s="54" t="s">
        <v>290</v>
      </c>
      <c r="AC2" s="54" t="s">
        <v>290</v>
      </c>
      <c r="AD2" s="54" t="s">
        <v>290</v>
      </c>
      <c r="AE2" s="54" t="s">
        <v>290</v>
      </c>
      <c r="AF2" s="54" t="s">
        <v>291</v>
      </c>
      <c r="AG2" s="54" t="s">
        <v>291</v>
      </c>
      <c r="AH2" s="54" t="s">
        <v>290</v>
      </c>
      <c r="AI2" s="54">
        <v>0.05</v>
      </c>
      <c r="AJ2" s="57" t="s">
        <v>291</v>
      </c>
    </row>
    <row r="3" spans="1:36" x14ac:dyDescent="0.45">
      <c r="A3" s="53">
        <v>2</v>
      </c>
      <c r="B3" s="43">
        <v>701</v>
      </c>
      <c r="C3" s="54" t="s">
        <v>279</v>
      </c>
      <c r="D3" s="54" t="s">
        <v>100</v>
      </c>
      <c r="E3" s="55"/>
      <c r="F3" s="54" t="s">
        <v>292</v>
      </c>
      <c r="G3" s="54" t="s">
        <v>281</v>
      </c>
      <c r="H3" s="54" t="s">
        <v>282</v>
      </c>
      <c r="I3" s="54" t="s">
        <v>293</v>
      </c>
      <c r="J3" s="54" t="s">
        <v>294</v>
      </c>
      <c r="K3" s="54" t="s">
        <v>285</v>
      </c>
      <c r="L3" s="54" t="s">
        <v>282</v>
      </c>
      <c r="M3" s="54" t="s">
        <v>295</v>
      </c>
      <c r="N3" s="54" t="s">
        <v>296</v>
      </c>
      <c r="O3" s="54" t="s">
        <v>286</v>
      </c>
      <c r="P3" s="54" t="s">
        <v>282</v>
      </c>
      <c r="Q3" s="54" t="s">
        <v>297</v>
      </c>
      <c r="R3" s="56">
        <v>0.25</v>
      </c>
      <c r="S3" s="54">
        <v>100</v>
      </c>
      <c r="T3" s="54" t="s">
        <v>146</v>
      </c>
      <c r="U3" s="54" t="s">
        <v>185</v>
      </c>
      <c r="V3" s="54" t="s">
        <v>287</v>
      </c>
      <c r="W3" s="54" t="s">
        <v>288</v>
      </c>
      <c r="X3" s="54" t="s">
        <v>289</v>
      </c>
      <c r="Y3" s="54"/>
      <c r="Z3" s="54"/>
      <c r="AA3" s="54"/>
      <c r="AB3" s="54" t="s">
        <v>290</v>
      </c>
      <c r="AC3" s="54" t="s">
        <v>290</v>
      </c>
      <c r="AD3" s="54" t="s">
        <v>290</v>
      </c>
      <c r="AE3" s="54" t="s">
        <v>290</v>
      </c>
      <c r="AF3" s="54" t="s">
        <v>291</v>
      </c>
      <c r="AG3" s="54" t="s">
        <v>291</v>
      </c>
      <c r="AH3" s="54" t="s">
        <v>290</v>
      </c>
      <c r="AI3" s="54">
        <v>0.05</v>
      </c>
      <c r="AJ3" s="57" t="s">
        <v>291</v>
      </c>
    </row>
    <row r="4" spans="1:36" x14ac:dyDescent="0.45">
      <c r="A4" s="53">
        <v>3</v>
      </c>
      <c r="B4" s="43">
        <v>702</v>
      </c>
      <c r="C4" s="54" t="s">
        <v>279</v>
      </c>
      <c r="D4" s="54" t="s">
        <v>100</v>
      </c>
      <c r="E4" s="55"/>
      <c r="F4" s="54" t="s">
        <v>292</v>
      </c>
      <c r="G4" s="54" t="s">
        <v>281</v>
      </c>
      <c r="H4" s="54" t="s">
        <v>298</v>
      </c>
      <c r="I4" s="54" t="s">
        <v>299</v>
      </c>
      <c r="J4" s="54" t="s">
        <v>294</v>
      </c>
      <c r="K4" s="54" t="s">
        <v>285</v>
      </c>
      <c r="L4" s="54" t="s">
        <v>298</v>
      </c>
      <c r="M4" s="54" t="s">
        <v>300</v>
      </c>
      <c r="N4" s="54" t="s">
        <v>296</v>
      </c>
      <c r="O4" s="54" t="s">
        <v>286</v>
      </c>
      <c r="P4" s="54" t="s">
        <v>298</v>
      </c>
      <c r="Q4" s="54" t="s">
        <v>301</v>
      </c>
      <c r="R4" s="56">
        <v>0.5</v>
      </c>
      <c r="S4" s="54">
        <v>100</v>
      </c>
      <c r="T4" s="54" t="s">
        <v>146</v>
      </c>
      <c r="U4" s="54" t="s">
        <v>185</v>
      </c>
      <c r="V4" s="54" t="s">
        <v>287</v>
      </c>
      <c r="W4" s="54" t="s">
        <v>288</v>
      </c>
      <c r="X4" s="54" t="s">
        <v>289</v>
      </c>
      <c r="Y4" s="54"/>
      <c r="Z4" s="54"/>
      <c r="AA4" s="54"/>
      <c r="AB4" s="54" t="s">
        <v>290</v>
      </c>
      <c r="AC4" s="54" t="s">
        <v>290</v>
      </c>
      <c r="AD4" s="54" t="s">
        <v>290</v>
      </c>
      <c r="AE4" s="54" t="s">
        <v>290</v>
      </c>
      <c r="AF4" s="54" t="s">
        <v>291</v>
      </c>
      <c r="AG4" s="54" t="s">
        <v>291</v>
      </c>
      <c r="AH4" s="54" t="s">
        <v>290</v>
      </c>
      <c r="AI4" s="54">
        <v>0.05</v>
      </c>
      <c r="AJ4" s="57" t="s">
        <v>291</v>
      </c>
    </row>
    <row r="5" spans="1:36" x14ac:dyDescent="0.45">
      <c r="A5" s="53">
        <v>4</v>
      </c>
      <c r="B5" s="43">
        <v>703</v>
      </c>
      <c r="C5" s="54" t="s">
        <v>279</v>
      </c>
      <c r="D5" s="54" t="s">
        <v>100</v>
      </c>
      <c r="E5" s="55"/>
      <c r="F5" s="54" t="s">
        <v>302</v>
      </c>
      <c r="G5" s="54" t="s">
        <v>281</v>
      </c>
      <c r="H5" s="54" t="s">
        <v>303</v>
      </c>
      <c r="I5" s="54" t="s">
        <v>302</v>
      </c>
      <c r="J5" s="54" t="s">
        <v>304</v>
      </c>
      <c r="K5" s="54" t="s">
        <v>285</v>
      </c>
      <c r="L5" s="54" t="s">
        <v>305</v>
      </c>
      <c r="M5" s="54" t="s">
        <v>304</v>
      </c>
      <c r="N5" s="54" t="s">
        <v>302</v>
      </c>
      <c r="O5" s="54" t="s">
        <v>286</v>
      </c>
      <c r="P5" s="54" t="s">
        <v>306</v>
      </c>
      <c r="Q5" s="54" t="s">
        <v>302</v>
      </c>
      <c r="R5" s="56">
        <v>1</v>
      </c>
      <c r="S5" s="54">
        <v>1</v>
      </c>
      <c r="T5" s="54" t="s">
        <v>153</v>
      </c>
      <c r="U5" s="54" t="s">
        <v>185</v>
      </c>
      <c r="V5" s="54" t="s">
        <v>287</v>
      </c>
      <c r="W5" s="54" t="s">
        <v>288</v>
      </c>
      <c r="X5" s="54" t="s">
        <v>289</v>
      </c>
      <c r="Y5" s="54"/>
      <c r="Z5" s="54"/>
      <c r="AA5" s="54"/>
      <c r="AB5" s="54" t="s">
        <v>290</v>
      </c>
      <c r="AC5" s="54" t="s">
        <v>290</v>
      </c>
      <c r="AD5" s="54" t="s">
        <v>290</v>
      </c>
      <c r="AE5" s="54" t="s">
        <v>290</v>
      </c>
      <c r="AF5" s="54" t="s">
        <v>291</v>
      </c>
      <c r="AG5" s="54" t="s">
        <v>291</v>
      </c>
      <c r="AH5" s="54" t="s">
        <v>290</v>
      </c>
      <c r="AI5" s="54">
        <v>0.05</v>
      </c>
      <c r="AJ5" s="57" t="s">
        <v>291</v>
      </c>
    </row>
    <row r="6" spans="1:36" x14ac:dyDescent="0.45">
      <c r="A6" s="53">
        <v>5</v>
      </c>
      <c r="B6" s="43">
        <v>704</v>
      </c>
      <c r="C6" s="54" t="s">
        <v>279</v>
      </c>
      <c r="D6" s="54" t="s">
        <v>100</v>
      </c>
      <c r="E6" s="55"/>
      <c r="F6" s="54" t="s">
        <v>307</v>
      </c>
      <c r="G6" s="54" t="s">
        <v>281</v>
      </c>
      <c r="H6" s="54" t="s">
        <v>303</v>
      </c>
      <c r="I6" s="54" t="s">
        <v>307</v>
      </c>
      <c r="J6" s="54" t="s">
        <v>307</v>
      </c>
      <c r="K6" s="54" t="s">
        <v>285</v>
      </c>
      <c r="L6" s="54" t="s">
        <v>305</v>
      </c>
      <c r="M6" s="54" t="s">
        <v>307</v>
      </c>
      <c r="N6" s="54" t="s">
        <v>307</v>
      </c>
      <c r="O6" s="54" t="s">
        <v>286</v>
      </c>
      <c r="P6" s="54" t="s">
        <v>306</v>
      </c>
      <c r="Q6" s="54" t="s">
        <v>307</v>
      </c>
      <c r="R6" s="56">
        <v>1</v>
      </c>
      <c r="S6" s="54">
        <v>1</v>
      </c>
      <c r="T6" s="54" t="s">
        <v>153</v>
      </c>
      <c r="U6" s="54" t="s">
        <v>185</v>
      </c>
      <c r="V6" s="54" t="s">
        <v>287</v>
      </c>
      <c r="W6" s="54" t="s">
        <v>288</v>
      </c>
      <c r="X6" s="54" t="s">
        <v>289</v>
      </c>
      <c r="Y6" s="54"/>
      <c r="Z6" s="54"/>
      <c r="AA6" s="54"/>
      <c r="AB6" s="54" t="s">
        <v>290</v>
      </c>
      <c r="AC6" s="54" t="s">
        <v>290</v>
      </c>
      <c r="AD6" s="54" t="s">
        <v>290</v>
      </c>
      <c r="AE6" s="54" t="s">
        <v>290</v>
      </c>
      <c r="AF6" s="54" t="s">
        <v>291</v>
      </c>
      <c r="AG6" s="54" t="s">
        <v>291</v>
      </c>
      <c r="AH6" s="54" t="s">
        <v>290</v>
      </c>
      <c r="AI6" s="54">
        <v>0.05</v>
      </c>
      <c r="AJ6" s="57" t="s">
        <v>291</v>
      </c>
    </row>
    <row r="7" spans="1:36" x14ac:dyDescent="0.45">
      <c r="A7" s="53">
        <v>6</v>
      </c>
      <c r="B7" s="43">
        <v>705</v>
      </c>
      <c r="C7" s="54" t="s">
        <v>279</v>
      </c>
      <c r="D7" s="54" t="s">
        <v>100</v>
      </c>
      <c r="E7" s="55"/>
      <c r="F7" s="54" t="s">
        <v>308</v>
      </c>
      <c r="G7" s="54" t="s">
        <v>281</v>
      </c>
      <c r="H7" s="54" t="s">
        <v>303</v>
      </c>
      <c r="I7" s="54" t="s">
        <v>308</v>
      </c>
      <c r="J7" s="54" t="s">
        <v>309</v>
      </c>
      <c r="K7" s="54" t="s">
        <v>285</v>
      </c>
      <c r="L7" s="54" t="s">
        <v>305</v>
      </c>
      <c r="M7" s="54" t="s">
        <v>309</v>
      </c>
      <c r="N7" s="54" t="s">
        <v>309</v>
      </c>
      <c r="O7" s="54" t="s">
        <v>286</v>
      </c>
      <c r="P7" s="54" t="s">
        <v>306</v>
      </c>
      <c r="Q7" s="54" t="s">
        <v>309</v>
      </c>
      <c r="R7" s="56">
        <v>1</v>
      </c>
      <c r="S7" s="54">
        <v>1</v>
      </c>
      <c r="T7" s="54" t="s">
        <v>153</v>
      </c>
      <c r="U7" s="54" t="s">
        <v>185</v>
      </c>
      <c r="V7" s="54" t="s">
        <v>287</v>
      </c>
      <c r="W7" s="54" t="s">
        <v>288</v>
      </c>
      <c r="X7" s="54" t="s">
        <v>289</v>
      </c>
      <c r="Y7" s="54"/>
      <c r="Z7" s="54"/>
      <c r="AA7" s="54"/>
      <c r="AB7" s="54" t="s">
        <v>290</v>
      </c>
      <c r="AC7" s="54" t="s">
        <v>290</v>
      </c>
      <c r="AD7" s="54" t="s">
        <v>290</v>
      </c>
      <c r="AE7" s="54" t="s">
        <v>290</v>
      </c>
      <c r="AF7" s="54" t="s">
        <v>291</v>
      </c>
      <c r="AG7" s="54" t="s">
        <v>291</v>
      </c>
      <c r="AH7" s="54" t="s">
        <v>290</v>
      </c>
      <c r="AI7" s="54">
        <v>0.05</v>
      </c>
      <c r="AJ7" s="57" t="s">
        <v>291</v>
      </c>
    </row>
    <row r="8" spans="1:36" x14ac:dyDescent="0.45">
      <c r="A8" s="53">
        <v>7</v>
      </c>
      <c r="B8" s="43">
        <v>706</v>
      </c>
      <c r="C8" s="54" t="s">
        <v>279</v>
      </c>
      <c r="D8" s="54" t="s">
        <v>100</v>
      </c>
      <c r="E8" s="55"/>
      <c r="F8" s="54" t="s">
        <v>310</v>
      </c>
      <c r="G8" s="54" t="s">
        <v>281</v>
      </c>
      <c r="H8" s="54" t="s">
        <v>303</v>
      </c>
      <c r="I8" s="54" t="s">
        <v>310</v>
      </c>
      <c r="J8" s="54" t="s">
        <v>311</v>
      </c>
      <c r="K8" s="54" t="s">
        <v>285</v>
      </c>
      <c r="L8" s="54" t="s">
        <v>305</v>
      </c>
      <c r="M8" s="54" t="s">
        <v>311</v>
      </c>
      <c r="N8" s="54" t="s">
        <v>312</v>
      </c>
      <c r="O8" s="54" t="s">
        <v>286</v>
      </c>
      <c r="P8" s="54" t="s">
        <v>306</v>
      </c>
      <c r="Q8" s="54" t="s">
        <v>312</v>
      </c>
      <c r="R8" s="56">
        <v>1</v>
      </c>
      <c r="S8" s="54">
        <v>1</v>
      </c>
      <c r="T8" s="54" t="s">
        <v>153</v>
      </c>
      <c r="U8" s="54" t="s">
        <v>185</v>
      </c>
      <c r="V8" s="54" t="s">
        <v>287</v>
      </c>
      <c r="W8" s="54" t="s">
        <v>288</v>
      </c>
      <c r="X8" s="54" t="s">
        <v>289</v>
      </c>
      <c r="Y8" s="54"/>
      <c r="Z8" s="54"/>
      <c r="AA8" s="54"/>
      <c r="AB8" s="54" t="s">
        <v>290</v>
      </c>
      <c r="AC8" s="54" t="s">
        <v>290</v>
      </c>
      <c r="AD8" s="54" t="s">
        <v>290</v>
      </c>
      <c r="AE8" s="54" t="s">
        <v>290</v>
      </c>
      <c r="AF8" s="54" t="s">
        <v>291</v>
      </c>
      <c r="AG8" s="54" t="s">
        <v>291</v>
      </c>
      <c r="AH8" s="54" t="s">
        <v>290</v>
      </c>
      <c r="AI8" s="54">
        <v>0</v>
      </c>
      <c r="AJ8" s="57" t="s">
        <v>291</v>
      </c>
    </row>
    <row r="9" spans="1:36" x14ac:dyDescent="0.45">
      <c r="A9" s="53">
        <v>8</v>
      </c>
      <c r="B9" s="43">
        <v>707</v>
      </c>
      <c r="C9" s="54" t="s">
        <v>279</v>
      </c>
      <c r="D9" s="54" t="s">
        <v>100</v>
      </c>
      <c r="E9" s="55"/>
      <c r="F9" s="54" t="s">
        <v>313</v>
      </c>
      <c r="G9" s="54" t="s">
        <v>281</v>
      </c>
      <c r="H9" s="54" t="s">
        <v>303</v>
      </c>
      <c r="I9" s="54" t="s">
        <v>313</v>
      </c>
      <c r="J9" s="54" t="s">
        <v>314</v>
      </c>
      <c r="K9" s="54" t="s">
        <v>285</v>
      </c>
      <c r="L9" s="54" t="s">
        <v>305</v>
      </c>
      <c r="M9" s="54" t="s">
        <v>314</v>
      </c>
      <c r="N9" s="54" t="s">
        <v>315</v>
      </c>
      <c r="O9" s="54" t="s">
        <v>286</v>
      </c>
      <c r="P9" s="54" t="s">
        <v>306</v>
      </c>
      <c r="Q9" s="54" t="s">
        <v>315</v>
      </c>
      <c r="R9" s="56">
        <v>1</v>
      </c>
      <c r="S9" s="54">
        <v>1</v>
      </c>
      <c r="T9" s="54" t="s">
        <v>153</v>
      </c>
      <c r="U9" s="54" t="s">
        <v>185</v>
      </c>
      <c r="V9" s="54" t="s">
        <v>287</v>
      </c>
      <c r="W9" s="54" t="s">
        <v>288</v>
      </c>
      <c r="X9" s="54" t="s">
        <v>289</v>
      </c>
      <c r="Y9" s="54"/>
      <c r="Z9" s="54"/>
      <c r="AA9" s="54"/>
      <c r="AB9" s="54" t="s">
        <v>290</v>
      </c>
      <c r="AC9" s="54" t="s">
        <v>290</v>
      </c>
      <c r="AD9" s="54" t="s">
        <v>290</v>
      </c>
      <c r="AE9" s="54" t="s">
        <v>290</v>
      </c>
      <c r="AF9" s="54" t="s">
        <v>291</v>
      </c>
      <c r="AG9" s="54" t="s">
        <v>291</v>
      </c>
      <c r="AH9" s="54" t="s">
        <v>290</v>
      </c>
      <c r="AI9" s="54">
        <v>0</v>
      </c>
      <c r="AJ9" s="57" t="s">
        <v>291</v>
      </c>
    </row>
    <row r="10" spans="1:36" x14ac:dyDescent="0.45">
      <c r="A10" s="53">
        <v>9</v>
      </c>
      <c r="B10" s="43">
        <v>708</v>
      </c>
      <c r="C10" s="54" t="s">
        <v>279</v>
      </c>
      <c r="D10" s="54" t="s">
        <v>100</v>
      </c>
      <c r="E10" s="55"/>
      <c r="F10" s="54" t="s">
        <v>316</v>
      </c>
      <c r="G10" s="54" t="s">
        <v>281</v>
      </c>
      <c r="H10" s="54" t="s">
        <v>303</v>
      </c>
      <c r="I10" s="54" t="s">
        <v>316</v>
      </c>
      <c r="J10" s="54" t="s">
        <v>317</v>
      </c>
      <c r="K10" s="54" t="s">
        <v>285</v>
      </c>
      <c r="L10" s="54" t="s">
        <v>305</v>
      </c>
      <c r="M10" s="54" t="s">
        <v>317</v>
      </c>
      <c r="N10" s="54" t="s">
        <v>318</v>
      </c>
      <c r="O10" s="54" t="s">
        <v>286</v>
      </c>
      <c r="P10" s="54" t="s">
        <v>306</v>
      </c>
      <c r="Q10" s="54" t="s">
        <v>318</v>
      </c>
      <c r="R10" s="56">
        <v>1</v>
      </c>
      <c r="S10" s="54">
        <v>1</v>
      </c>
      <c r="T10" s="54" t="s">
        <v>153</v>
      </c>
      <c r="U10" s="54" t="s">
        <v>185</v>
      </c>
      <c r="V10" s="54" t="s">
        <v>287</v>
      </c>
      <c r="W10" s="54" t="s">
        <v>288</v>
      </c>
      <c r="X10" s="54" t="s">
        <v>289</v>
      </c>
      <c r="Y10" s="54"/>
      <c r="Z10" s="54"/>
      <c r="AA10" s="54"/>
      <c r="AB10" s="54" t="s">
        <v>290</v>
      </c>
      <c r="AC10" s="54" t="s">
        <v>290</v>
      </c>
      <c r="AD10" s="54" t="s">
        <v>290</v>
      </c>
      <c r="AE10" s="54" t="s">
        <v>290</v>
      </c>
      <c r="AF10" s="54" t="s">
        <v>291</v>
      </c>
      <c r="AG10" s="54" t="s">
        <v>291</v>
      </c>
      <c r="AH10" s="54" t="s">
        <v>290</v>
      </c>
      <c r="AI10" s="54">
        <v>0</v>
      </c>
      <c r="AJ10" s="57" t="s">
        <v>291</v>
      </c>
    </row>
    <row r="11" spans="1:36" x14ac:dyDescent="0.45">
      <c r="A11" s="53">
        <v>10</v>
      </c>
      <c r="B11" s="43">
        <v>709</v>
      </c>
      <c r="C11" s="54" t="s">
        <v>279</v>
      </c>
      <c r="D11" s="54" t="s">
        <v>100</v>
      </c>
      <c r="E11" s="55"/>
      <c r="F11" s="54" t="s">
        <v>319</v>
      </c>
      <c r="G11" s="54" t="s">
        <v>281</v>
      </c>
      <c r="H11" s="54" t="s">
        <v>303</v>
      </c>
      <c r="I11" s="54" t="s">
        <v>319</v>
      </c>
      <c r="J11" s="54" t="s">
        <v>319</v>
      </c>
      <c r="K11" s="54" t="s">
        <v>285</v>
      </c>
      <c r="L11" s="54" t="s">
        <v>305</v>
      </c>
      <c r="M11" s="54" t="s">
        <v>319</v>
      </c>
      <c r="N11" s="54" t="s">
        <v>319</v>
      </c>
      <c r="O11" s="54" t="s">
        <v>286</v>
      </c>
      <c r="P11" s="54" t="s">
        <v>306</v>
      </c>
      <c r="Q11" s="54" t="s">
        <v>319</v>
      </c>
      <c r="R11" s="56">
        <v>1</v>
      </c>
      <c r="S11" s="54">
        <v>1</v>
      </c>
      <c r="T11" s="54" t="s">
        <v>153</v>
      </c>
      <c r="U11" s="54" t="s">
        <v>185</v>
      </c>
      <c r="V11" s="54" t="s">
        <v>287</v>
      </c>
      <c r="W11" s="54" t="s">
        <v>288</v>
      </c>
      <c r="X11" s="54" t="s">
        <v>289</v>
      </c>
      <c r="Y11" s="54"/>
      <c r="Z11" s="54"/>
      <c r="AA11" s="54"/>
      <c r="AB11" s="54" t="s">
        <v>290</v>
      </c>
      <c r="AC11" s="54" t="s">
        <v>290</v>
      </c>
      <c r="AD11" s="54" t="s">
        <v>290</v>
      </c>
      <c r="AE11" s="54" t="s">
        <v>290</v>
      </c>
      <c r="AF11" s="54" t="s">
        <v>291</v>
      </c>
      <c r="AG11" s="54" t="s">
        <v>291</v>
      </c>
      <c r="AH11" s="54" t="s">
        <v>290</v>
      </c>
      <c r="AI11" s="54">
        <v>0.05</v>
      </c>
      <c r="AJ11" s="57" t="s">
        <v>291</v>
      </c>
    </row>
    <row r="12" spans="1:36" x14ac:dyDescent="0.45">
      <c r="A12" s="53">
        <v>11</v>
      </c>
      <c r="B12" s="43">
        <v>710</v>
      </c>
      <c r="C12" s="54" t="s">
        <v>279</v>
      </c>
      <c r="D12" s="54" t="s">
        <v>100</v>
      </c>
      <c r="E12" s="55"/>
      <c r="F12" s="54" t="s">
        <v>320</v>
      </c>
      <c r="G12" s="54" t="s">
        <v>281</v>
      </c>
      <c r="H12" s="54" t="s">
        <v>303</v>
      </c>
      <c r="I12" s="54" t="s">
        <v>320</v>
      </c>
      <c r="J12" s="54" t="s">
        <v>321</v>
      </c>
      <c r="K12" s="54" t="s">
        <v>285</v>
      </c>
      <c r="L12" s="54" t="s">
        <v>305</v>
      </c>
      <c r="M12" s="54" t="s">
        <v>321</v>
      </c>
      <c r="N12" s="54" t="s">
        <v>322</v>
      </c>
      <c r="O12" s="54" t="s">
        <v>286</v>
      </c>
      <c r="P12" s="54" t="s">
        <v>306</v>
      </c>
      <c r="Q12" s="54" t="s">
        <v>322</v>
      </c>
      <c r="R12" s="56">
        <v>1</v>
      </c>
      <c r="S12" s="54">
        <v>1</v>
      </c>
      <c r="T12" s="54" t="s">
        <v>153</v>
      </c>
      <c r="U12" s="54" t="s">
        <v>185</v>
      </c>
      <c r="V12" s="54" t="s">
        <v>287</v>
      </c>
      <c r="W12" s="54" t="s">
        <v>288</v>
      </c>
      <c r="X12" s="54" t="s">
        <v>289</v>
      </c>
      <c r="Y12" s="54"/>
      <c r="Z12" s="54"/>
      <c r="AA12" s="54"/>
      <c r="AB12" s="54" t="s">
        <v>290</v>
      </c>
      <c r="AC12" s="54" t="s">
        <v>290</v>
      </c>
      <c r="AD12" s="54" t="s">
        <v>290</v>
      </c>
      <c r="AE12" s="54" t="s">
        <v>290</v>
      </c>
      <c r="AF12" s="54" t="s">
        <v>291</v>
      </c>
      <c r="AG12" s="54" t="s">
        <v>291</v>
      </c>
      <c r="AH12" s="54" t="s">
        <v>290</v>
      </c>
      <c r="AI12" s="54">
        <v>0.05</v>
      </c>
      <c r="AJ12" s="57" t="s">
        <v>291</v>
      </c>
    </row>
    <row r="13" spans="1:36" x14ac:dyDescent="0.45">
      <c r="A13" s="53">
        <v>12</v>
      </c>
      <c r="B13" s="43">
        <v>711</v>
      </c>
      <c r="C13" s="54" t="s">
        <v>279</v>
      </c>
      <c r="D13" s="54" t="s">
        <v>100</v>
      </c>
      <c r="E13" s="55"/>
      <c r="F13" s="54" t="s">
        <v>323</v>
      </c>
      <c r="G13" s="54" t="s">
        <v>281</v>
      </c>
      <c r="H13" s="54" t="s">
        <v>324</v>
      </c>
      <c r="I13" s="54" t="s">
        <v>325</v>
      </c>
      <c r="J13" s="54" t="s">
        <v>326</v>
      </c>
      <c r="K13" s="54" t="s">
        <v>285</v>
      </c>
      <c r="L13" s="54" t="s">
        <v>324</v>
      </c>
      <c r="M13" s="54" t="s">
        <v>327</v>
      </c>
      <c r="N13" s="54" t="s">
        <v>328</v>
      </c>
      <c r="O13" s="54" t="s">
        <v>286</v>
      </c>
      <c r="P13" s="54" t="s">
        <v>324</v>
      </c>
      <c r="Q13" s="54" t="s">
        <v>329</v>
      </c>
      <c r="R13" s="56">
        <v>0.3</v>
      </c>
      <c r="S13" s="54">
        <v>100</v>
      </c>
      <c r="T13" s="54" t="s">
        <v>146</v>
      </c>
      <c r="U13" s="54" t="s">
        <v>185</v>
      </c>
      <c r="V13" s="54" t="s">
        <v>287</v>
      </c>
      <c r="W13" s="54" t="s">
        <v>288</v>
      </c>
      <c r="X13" s="54" t="s">
        <v>289</v>
      </c>
      <c r="Y13" s="54"/>
      <c r="Z13" s="54"/>
      <c r="AA13" s="54"/>
      <c r="AB13" s="54" t="s">
        <v>290</v>
      </c>
      <c r="AC13" s="54" t="s">
        <v>290</v>
      </c>
      <c r="AD13" s="54" t="s">
        <v>290</v>
      </c>
      <c r="AE13" s="54" t="s">
        <v>290</v>
      </c>
      <c r="AF13" s="54" t="s">
        <v>291</v>
      </c>
      <c r="AG13" s="54" t="s">
        <v>291</v>
      </c>
      <c r="AH13" s="54" t="s">
        <v>290</v>
      </c>
      <c r="AI13" s="54">
        <v>0.05</v>
      </c>
      <c r="AJ13" s="57" t="s">
        <v>291</v>
      </c>
    </row>
    <row r="14" spans="1:36" x14ac:dyDescent="0.45">
      <c r="A14" s="53">
        <v>13</v>
      </c>
      <c r="B14" s="43">
        <v>712</v>
      </c>
      <c r="C14" s="54" t="s">
        <v>279</v>
      </c>
      <c r="D14" s="54" t="s">
        <v>100</v>
      </c>
      <c r="E14" s="55"/>
      <c r="F14" s="54" t="s">
        <v>323</v>
      </c>
      <c r="G14" s="54" t="s">
        <v>281</v>
      </c>
      <c r="H14" s="54" t="s">
        <v>298</v>
      </c>
      <c r="I14" s="54" t="s">
        <v>330</v>
      </c>
      <c r="J14" s="54" t="s">
        <v>326</v>
      </c>
      <c r="K14" s="54" t="s">
        <v>285</v>
      </c>
      <c r="L14" s="54" t="s">
        <v>298</v>
      </c>
      <c r="M14" s="54" t="s">
        <v>331</v>
      </c>
      <c r="N14" s="54" t="s">
        <v>328</v>
      </c>
      <c r="O14" s="54" t="s">
        <v>286</v>
      </c>
      <c r="P14" s="54" t="s">
        <v>298</v>
      </c>
      <c r="Q14" s="54" t="s">
        <v>332</v>
      </c>
      <c r="R14" s="56">
        <v>0.5</v>
      </c>
      <c r="S14" s="54">
        <v>100</v>
      </c>
      <c r="T14" s="54" t="s">
        <v>146</v>
      </c>
      <c r="U14" s="54" t="s">
        <v>185</v>
      </c>
      <c r="V14" s="54" t="s">
        <v>287</v>
      </c>
      <c r="W14" s="54" t="s">
        <v>288</v>
      </c>
      <c r="X14" s="54" t="s">
        <v>289</v>
      </c>
      <c r="Y14" s="54"/>
      <c r="Z14" s="54"/>
      <c r="AA14" s="54"/>
      <c r="AB14" s="54" t="s">
        <v>290</v>
      </c>
      <c r="AC14" s="54" t="s">
        <v>290</v>
      </c>
      <c r="AD14" s="54" t="s">
        <v>290</v>
      </c>
      <c r="AE14" s="54" t="s">
        <v>290</v>
      </c>
      <c r="AF14" s="54" t="s">
        <v>291</v>
      </c>
      <c r="AG14" s="54" t="s">
        <v>291</v>
      </c>
      <c r="AH14" s="54" t="s">
        <v>290</v>
      </c>
      <c r="AI14" s="54">
        <v>0.05</v>
      </c>
      <c r="AJ14" s="57" t="s">
        <v>291</v>
      </c>
    </row>
    <row r="15" spans="1:36" x14ac:dyDescent="0.45">
      <c r="A15" s="53">
        <v>14</v>
      </c>
      <c r="B15" s="43">
        <v>713</v>
      </c>
      <c r="C15" s="54" t="s">
        <v>279</v>
      </c>
      <c r="D15" s="54" t="s">
        <v>100</v>
      </c>
      <c r="E15" s="55"/>
      <c r="F15" s="54" t="s">
        <v>323</v>
      </c>
      <c r="G15" s="54" t="s">
        <v>281</v>
      </c>
      <c r="H15" s="54" t="s">
        <v>333</v>
      </c>
      <c r="I15" s="54" t="s">
        <v>334</v>
      </c>
      <c r="J15" s="54" t="s">
        <v>326</v>
      </c>
      <c r="K15" s="54" t="s">
        <v>285</v>
      </c>
      <c r="L15" s="54" t="s">
        <v>333</v>
      </c>
      <c r="M15" s="54" t="s">
        <v>335</v>
      </c>
      <c r="N15" s="54" t="s">
        <v>328</v>
      </c>
      <c r="O15" s="54" t="s">
        <v>286</v>
      </c>
      <c r="P15" s="54" t="s">
        <v>333</v>
      </c>
      <c r="Q15" s="54" t="s">
        <v>336</v>
      </c>
      <c r="R15" s="56">
        <v>0.7</v>
      </c>
      <c r="S15" s="54">
        <v>100</v>
      </c>
      <c r="T15" s="54" t="s">
        <v>146</v>
      </c>
      <c r="U15" s="54" t="s">
        <v>185</v>
      </c>
      <c r="V15" s="54" t="s">
        <v>287</v>
      </c>
      <c r="W15" s="54" t="s">
        <v>288</v>
      </c>
      <c r="X15" s="54" t="s">
        <v>289</v>
      </c>
      <c r="Y15" s="54"/>
      <c r="Z15" s="54"/>
      <c r="AA15" s="54"/>
      <c r="AB15" s="54" t="s">
        <v>290</v>
      </c>
      <c r="AC15" s="54" t="s">
        <v>290</v>
      </c>
      <c r="AD15" s="54" t="s">
        <v>290</v>
      </c>
      <c r="AE15" s="54" t="s">
        <v>290</v>
      </c>
      <c r="AF15" s="54" t="s">
        <v>291</v>
      </c>
      <c r="AG15" s="54" t="s">
        <v>291</v>
      </c>
      <c r="AH15" s="54" t="s">
        <v>290</v>
      </c>
      <c r="AI15" s="54">
        <v>0.05</v>
      </c>
      <c r="AJ15" s="57" t="s">
        <v>291</v>
      </c>
    </row>
    <row r="16" spans="1:36" x14ac:dyDescent="0.45">
      <c r="A16" s="53">
        <v>15</v>
      </c>
      <c r="B16" s="43">
        <v>714</v>
      </c>
      <c r="C16" s="54" t="s">
        <v>279</v>
      </c>
      <c r="D16" s="54" t="s">
        <v>100</v>
      </c>
      <c r="E16" s="55"/>
      <c r="F16" s="54" t="s">
        <v>337</v>
      </c>
      <c r="G16" s="54" t="s">
        <v>281</v>
      </c>
      <c r="H16" s="54" t="s">
        <v>303</v>
      </c>
      <c r="I16" s="54" t="s">
        <v>337</v>
      </c>
      <c r="J16" s="54" t="s">
        <v>337</v>
      </c>
      <c r="K16" s="54" t="s">
        <v>285</v>
      </c>
      <c r="L16" s="54" t="s">
        <v>305</v>
      </c>
      <c r="M16" s="54" t="s">
        <v>337</v>
      </c>
      <c r="N16" s="54" t="s">
        <v>337</v>
      </c>
      <c r="O16" s="54" t="s">
        <v>286</v>
      </c>
      <c r="P16" s="54" t="s">
        <v>306</v>
      </c>
      <c r="Q16" s="54" t="s">
        <v>337</v>
      </c>
      <c r="R16" s="56">
        <v>1</v>
      </c>
      <c r="S16" s="54">
        <v>1</v>
      </c>
      <c r="T16" s="54" t="s">
        <v>153</v>
      </c>
      <c r="U16" s="54" t="s">
        <v>185</v>
      </c>
      <c r="V16" s="54" t="s">
        <v>287</v>
      </c>
      <c r="W16" s="54" t="s">
        <v>288</v>
      </c>
      <c r="X16" s="54" t="s">
        <v>289</v>
      </c>
      <c r="Y16" s="54"/>
      <c r="Z16" s="54"/>
      <c r="AA16" s="54"/>
      <c r="AB16" s="54" t="s">
        <v>290</v>
      </c>
      <c r="AC16" s="54" t="s">
        <v>290</v>
      </c>
      <c r="AD16" s="54" t="s">
        <v>290</v>
      </c>
      <c r="AE16" s="54" t="s">
        <v>290</v>
      </c>
      <c r="AF16" s="54" t="s">
        <v>291</v>
      </c>
      <c r="AG16" s="54" t="s">
        <v>291</v>
      </c>
      <c r="AH16" s="54" t="s">
        <v>290</v>
      </c>
      <c r="AI16" s="54">
        <v>0.05</v>
      </c>
      <c r="AJ16" s="57" t="s">
        <v>291</v>
      </c>
    </row>
    <row r="17" spans="1:36" x14ac:dyDescent="0.45">
      <c r="A17" s="53">
        <v>16</v>
      </c>
      <c r="B17" s="43">
        <v>715</v>
      </c>
      <c r="C17" s="54" t="s">
        <v>279</v>
      </c>
      <c r="D17" s="54" t="s">
        <v>100</v>
      </c>
      <c r="E17" s="55"/>
      <c r="F17" s="54" t="s">
        <v>338</v>
      </c>
      <c r="G17" s="54" t="s">
        <v>281</v>
      </c>
      <c r="H17" s="54" t="s">
        <v>303</v>
      </c>
      <c r="I17" s="54" t="s">
        <v>338</v>
      </c>
      <c r="J17" s="54" t="s">
        <v>339</v>
      </c>
      <c r="K17" s="54" t="s">
        <v>285</v>
      </c>
      <c r="L17" s="54" t="s">
        <v>305</v>
      </c>
      <c r="M17" s="54" t="s">
        <v>339</v>
      </c>
      <c r="N17" s="54" t="s">
        <v>338</v>
      </c>
      <c r="O17" s="54" t="s">
        <v>286</v>
      </c>
      <c r="P17" s="54" t="s">
        <v>306</v>
      </c>
      <c r="Q17" s="54" t="s">
        <v>338</v>
      </c>
      <c r="R17" s="56">
        <v>1</v>
      </c>
      <c r="S17" s="54">
        <v>1</v>
      </c>
      <c r="T17" s="54" t="s">
        <v>153</v>
      </c>
      <c r="U17" s="54" t="s">
        <v>185</v>
      </c>
      <c r="V17" s="54" t="s">
        <v>287</v>
      </c>
      <c r="W17" s="54" t="s">
        <v>288</v>
      </c>
      <c r="X17" s="54" t="s">
        <v>289</v>
      </c>
      <c r="Y17" s="54"/>
      <c r="Z17" s="54"/>
      <c r="AA17" s="54"/>
      <c r="AB17" s="54" t="s">
        <v>290</v>
      </c>
      <c r="AC17" s="54" t="s">
        <v>290</v>
      </c>
      <c r="AD17" s="54" t="s">
        <v>290</v>
      </c>
      <c r="AE17" s="54" t="s">
        <v>290</v>
      </c>
      <c r="AF17" s="54" t="s">
        <v>291</v>
      </c>
      <c r="AG17" s="54" t="s">
        <v>291</v>
      </c>
      <c r="AH17" s="54" t="s">
        <v>290</v>
      </c>
      <c r="AI17" s="54">
        <v>0.05</v>
      </c>
      <c r="AJ17" s="57" t="s">
        <v>291</v>
      </c>
    </row>
    <row r="18" spans="1:36" x14ac:dyDescent="0.45">
      <c r="A18" s="53">
        <v>17</v>
      </c>
      <c r="B18" s="43">
        <v>716</v>
      </c>
      <c r="C18" s="54" t="s">
        <v>279</v>
      </c>
      <c r="D18" s="54" t="s">
        <v>100</v>
      </c>
      <c r="E18" s="55"/>
      <c r="F18" s="54" t="s">
        <v>340</v>
      </c>
      <c r="G18" s="54" t="s">
        <v>281</v>
      </c>
      <c r="H18" s="54" t="s">
        <v>303</v>
      </c>
      <c r="I18" s="54" t="s">
        <v>340</v>
      </c>
      <c r="J18" s="54" t="s">
        <v>340</v>
      </c>
      <c r="K18" s="54" t="s">
        <v>285</v>
      </c>
      <c r="L18" s="54" t="s">
        <v>305</v>
      </c>
      <c r="M18" s="54" t="s">
        <v>340</v>
      </c>
      <c r="N18" s="54" t="s">
        <v>340</v>
      </c>
      <c r="O18" s="54" t="s">
        <v>286</v>
      </c>
      <c r="P18" s="54" t="s">
        <v>306</v>
      </c>
      <c r="Q18" s="54" t="s">
        <v>340</v>
      </c>
      <c r="R18" s="56">
        <v>1</v>
      </c>
      <c r="S18" s="54">
        <v>1</v>
      </c>
      <c r="T18" s="54" t="s">
        <v>153</v>
      </c>
      <c r="U18" s="54" t="s">
        <v>185</v>
      </c>
      <c r="V18" s="54" t="s">
        <v>287</v>
      </c>
      <c r="W18" s="54" t="s">
        <v>288</v>
      </c>
      <c r="X18" s="54" t="s">
        <v>289</v>
      </c>
      <c r="Y18" s="54"/>
      <c r="Z18" s="54"/>
      <c r="AA18" s="54"/>
      <c r="AB18" s="54" t="s">
        <v>290</v>
      </c>
      <c r="AC18" s="54" t="s">
        <v>290</v>
      </c>
      <c r="AD18" s="54" t="s">
        <v>290</v>
      </c>
      <c r="AE18" s="54" t="s">
        <v>290</v>
      </c>
      <c r="AF18" s="54" t="s">
        <v>291</v>
      </c>
      <c r="AG18" s="54" t="s">
        <v>291</v>
      </c>
      <c r="AH18" s="54" t="s">
        <v>290</v>
      </c>
      <c r="AI18" s="54">
        <v>0.05</v>
      </c>
      <c r="AJ18" s="57" t="s">
        <v>291</v>
      </c>
    </row>
    <row r="19" spans="1:36" x14ac:dyDescent="0.45">
      <c r="A19" s="53">
        <v>22</v>
      </c>
      <c r="B19" s="43">
        <v>717</v>
      </c>
      <c r="C19" s="54" t="s">
        <v>279</v>
      </c>
      <c r="D19" s="54" t="s">
        <v>100</v>
      </c>
      <c r="E19" s="55"/>
      <c r="F19" s="54" t="s">
        <v>341</v>
      </c>
      <c r="G19" s="54" t="s">
        <v>281</v>
      </c>
      <c r="H19" s="54" t="s">
        <v>298</v>
      </c>
      <c r="I19" s="54" t="s">
        <v>342</v>
      </c>
      <c r="J19" s="54" t="s">
        <v>343</v>
      </c>
      <c r="K19" s="54" t="s">
        <v>285</v>
      </c>
      <c r="L19" s="54" t="s">
        <v>298</v>
      </c>
      <c r="M19" s="54" t="s">
        <v>344</v>
      </c>
      <c r="N19" s="54" t="s">
        <v>345</v>
      </c>
      <c r="O19" s="54" t="s">
        <v>286</v>
      </c>
      <c r="P19" s="54" t="s">
        <v>298</v>
      </c>
      <c r="Q19" s="54" t="s">
        <v>346</v>
      </c>
      <c r="R19" s="56">
        <v>0.5</v>
      </c>
      <c r="S19" s="54">
        <v>100</v>
      </c>
      <c r="T19" s="54" t="s">
        <v>146</v>
      </c>
      <c r="U19" s="54" t="s">
        <v>185</v>
      </c>
      <c r="V19" s="54" t="s">
        <v>287</v>
      </c>
      <c r="W19" s="54" t="s">
        <v>288</v>
      </c>
      <c r="X19" s="54" t="s">
        <v>289</v>
      </c>
      <c r="Y19" s="54"/>
      <c r="Z19" s="54"/>
      <c r="AA19" s="54"/>
      <c r="AB19" s="54" t="s">
        <v>290</v>
      </c>
      <c r="AC19" s="54" t="s">
        <v>290</v>
      </c>
      <c r="AD19" s="54" t="s">
        <v>290</v>
      </c>
      <c r="AE19" s="54" t="s">
        <v>290</v>
      </c>
      <c r="AF19" s="54" t="s">
        <v>291</v>
      </c>
      <c r="AG19" s="54" t="s">
        <v>291</v>
      </c>
      <c r="AH19" s="54" t="s">
        <v>290</v>
      </c>
      <c r="AI19" s="54">
        <v>0.05</v>
      </c>
      <c r="AJ19" s="57" t="s">
        <v>291</v>
      </c>
    </row>
    <row r="20" spans="1:36" x14ac:dyDescent="0.45">
      <c r="A20" s="53">
        <v>23</v>
      </c>
      <c r="B20" s="43">
        <v>718</v>
      </c>
      <c r="C20" s="54" t="s">
        <v>279</v>
      </c>
      <c r="D20" s="54" t="s">
        <v>100</v>
      </c>
      <c r="E20" s="55"/>
      <c r="F20" s="54" t="s">
        <v>347</v>
      </c>
      <c r="G20" s="54" t="s">
        <v>281</v>
      </c>
      <c r="H20" s="54" t="s">
        <v>348</v>
      </c>
      <c r="I20" s="54" t="s">
        <v>349</v>
      </c>
      <c r="J20" s="54" t="s">
        <v>343</v>
      </c>
      <c r="K20" s="54" t="s">
        <v>285</v>
      </c>
      <c r="L20" s="54" t="s">
        <v>348</v>
      </c>
      <c r="M20" s="54" t="s">
        <v>350</v>
      </c>
      <c r="N20" s="54" t="s">
        <v>345</v>
      </c>
      <c r="O20" s="54" t="s">
        <v>286</v>
      </c>
      <c r="P20" s="54" t="s">
        <v>348</v>
      </c>
      <c r="Q20" s="54" t="s">
        <v>351</v>
      </c>
      <c r="R20" s="56">
        <v>1</v>
      </c>
      <c r="S20" s="54">
        <v>100</v>
      </c>
      <c r="T20" s="54" t="s">
        <v>146</v>
      </c>
      <c r="U20" s="54" t="s">
        <v>185</v>
      </c>
      <c r="V20" s="54" t="s">
        <v>287</v>
      </c>
      <c r="W20" s="54" t="s">
        <v>288</v>
      </c>
      <c r="X20" s="54" t="s">
        <v>289</v>
      </c>
      <c r="Y20" s="54"/>
      <c r="Z20" s="54"/>
      <c r="AA20" s="54"/>
      <c r="AB20" s="54" t="s">
        <v>290</v>
      </c>
      <c r="AC20" s="54" t="s">
        <v>290</v>
      </c>
      <c r="AD20" s="54" t="s">
        <v>290</v>
      </c>
      <c r="AE20" s="54" t="s">
        <v>290</v>
      </c>
      <c r="AF20" s="54" t="s">
        <v>291</v>
      </c>
      <c r="AG20" s="54" t="s">
        <v>291</v>
      </c>
      <c r="AH20" s="54" t="s">
        <v>290</v>
      </c>
      <c r="AI20" s="54">
        <v>0.05</v>
      </c>
      <c r="AJ20" s="57" t="s">
        <v>291</v>
      </c>
    </row>
    <row r="21" spans="1:36" x14ac:dyDescent="0.45">
      <c r="A21" s="53">
        <v>24</v>
      </c>
      <c r="B21" s="43">
        <v>719</v>
      </c>
      <c r="C21" s="54" t="s">
        <v>279</v>
      </c>
      <c r="D21" s="54" t="s">
        <v>100</v>
      </c>
      <c r="E21" s="55"/>
      <c r="F21" s="54" t="s">
        <v>347</v>
      </c>
      <c r="G21" s="54" t="s">
        <v>281</v>
      </c>
      <c r="H21" s="54" t="s">
        <v>282</v>
      </c>
      <c r="I21" s="54" t="s">
        <v>352</v>
      </c>
      <c r="J21" s="54" t="s">
        <v>343</v>
      </c>
      <c r="K21" s="54" t="s">
        <v>285</v>
      </c>
      <c r="L21" s="54" t="s">
        <v>282</v>
      </c>
      <c r="M21" s="54" t="s">
        <v>353</v>
      </c>
      <c r="N21" s="54" t="s">
        <v>345</v>
      </c>
      <c r="O21" s="54" t="s">
        <v>286</v>
      </c>
      <c r="P21" s="54" t="s">
        <v>282</v>
      </c>
      <c r="Q21" s="54" t="s">
        <v>354</v>
      </c>
      <c r="R21" s="56">
        <v>0.25</v>
      </c>
      <c r="S21" s="54">
        <v>100</v>
      </c>
      <c r="T21" s="54" t="s">
        <v>146</v>
      </c>
      <c r="U21" s="54" t="s">
        <v>185</v>
      </c>
      <c r="V21" s="54" t="s">
        <v>287</v>
      </c>
      <c r="W21" s="54" t="s">
        <v>288</v>
      </c>
      <c r="X21" s="54" t="s">
        <v>289</v>
      </c>
      <c r="Y21" s="54"/>
      <c r="Z21" s="54"/>
      <c r="AA21" s="54"/>
      <c r="AB21" s="54" t="s">
        <v>290</v>
      </c>
      <c r="AC21" s="54" t="s">
        <v>290</v>
      </c>
      <c r="AD21" s="54" t="s">
        <v>290</v>
      </c>
      <c r="AE21" s="54" t="s">
        <v>290</v>
      </c>
      <c r="AF21" s="54" t="s">
        <v>291</v>
      </c>
      <c r="AG21" s="54" t="s">
        <v>291</v>
      </c>
      <c r="AH21" s="54" t="s">
        <v>290</v>
      </c>
      <c r="AI21" s="54">
        <v>0.05</v>
      </c>
      <c r="AJ21" s="57" t="s">
        <v>291</v>
      </c>
    </row>
    <row r="22" spans="1:36" x14ac:dyDescent="0.45">
      <c r="A22" s="53">
        <v>25</v>
      </c>
      <c r="B22" s="43">
        <v>720</v>
      </c>
      <c r="C22" s="54" t="s">
        <v>279</v>
      </c>
      <c r="D22" s="54" t="s">
        <v>100</v>
      </c>
      <c r="E22" s="55"/>
      <c r="F22" s="54" t="s">
        <v>355</v>
      </c>
      <c r="G22" s="54" t="s">
        <v>281</v>
      </c>
      <c r="H22" s="54" t="s">
        <v>303</v>
      </c>
      <c r="I22" s="54" t="s">
        <v>355</v>
      </c>
      <c r="J22" s="54" t="s">
        <v>356</v>
      </c>
      <c r="K22" s="54" t="s">
        <v>285</v>
      </c>
      <c r="L22" s="54" t="s">
        <v>305</v>
      </c>
      <c r="M22" s="54" t="s">
        <v>356</v>
      </c>
      <c r="N22" s="54" t="s">
        <v>357</v>
      </c>
      <c r="O22" s="54" t="s">
        <v>286</v>
      </c>
      <c r="P22" s="54" t="s">
        <v>306</v>
      </c>
      <c r="Q22" s="54" t="s">
        <v>357</v>
      </c>
      <c r="R22" s="56">
        <v>1</v>
      </c>
      <c r="S22" s="54">
        <v>1</v>
      </c>
      <c r="T22" s="54" t="s">
        <v>153</v>
      </c>
      <c r="U22" s="54" t="s">
        <v>185</v>
      </c>
      <c r="V22" s="54" t="s">
        <v>287</v>
      </c>
      <c r="W22" s="54" t="s">
        <v>288</v>
      </c>
      <c r="X22" s="54" t="s">
        <v>289</v>
      </c>
      <c r="Y22" s="54"/>
      <c r="Z22" s="54"/>
      <c r="AA22" s="54"/>
      <c r="AB22" s="54" t="s">
        <v>290</v>
      </c>
      <c r="AC22" s="54" t="s">
        <v>290</v>
      </c>
      <c r="AD22" s="54" t="s">
        <v>290</v>
      </c>
      <c r="AE22" s="54" t="s">
        <v>290</v>
      </c>
      <c r="AF22" s="54" t="s">
        <v>291</v>
      </c>
      <c r="AG22" s="54" t="s">
        <v>291</v>
      </c>
      <c r="AH22" s="54" t="s">
        <v>290</v>
      </c>
      <c r="AI22" s="54">
        <v>0.05</v>
      </c>
      <c r="AJ22" s="57" t="s">
        <v>291</v>
      </c>
    </row>
    <row r="23" spans="1:36" x14ac:dyDescent="0.45">
      <c r="A23" s="53">
        <v>26</v>
      </c>
      <c r="B23" s="43">
        <v>721</v>
      </c>
      <c r="C23" s="54" t="s">
        <v>279</v>
      </c>
      <c r="D23" s="54" t="s">
        <v>100</v>
      </c>
      <c r="E23" s="55"/>
      <c r="F23" s="54" t="s">
        <v>358</v>
      </c>
      <c r="G23" s="54" t="s">
        <v>281</v>
      </c>
      <c r="H23" s="54" t="s">
        <v>303</v>
      </c>
      <c r="I23" s="54" t="s">
        <v>358</v>
      </c>
      <c r="J23" s="54" t="s">
        <v>359</v>
      </c>
      <c r="K23" s="54" t="s">
        <v>285</v>
      </c>
      <c r="L23" s="54" t="s">
        <v>305</v>
      </c>
      <c r="M23" s="54" t="s">
        <v>359</v>
      </c>
      <c r="N23" s="54" t="s">
        <v>360</v>
      </c>
      <c r="O23" s="54" t="s">
        <v>286</v>
      </c>
      <c r="P23" s="54" t="s">
        <v>306</v>
      </c>
      <c r="Q23" s="54" t="s">
        <v>360</v>
      </c>
      <c r="R23" s="56">
        <v>1</v>
      </c>
      <c r="S23" s="54">
        <v>1</v>
      </c>
      <c r="T23" s="54" t="s">
        <v>153</v>
      </c>
      <c r="U23" s="54" t="s">
        <v>185</v>
      </c>
      <c r="V23" s="54" t="s">
        <v>287</v>
      </c>
      <c r="W23" s="54" t="s">
        <v>288</v>
      </c>
      <c r="X23" s="54" t="s">
        <v>289</v>
      </c>
      <c r="Y23" s="54"/>
      <c r="Z23" s="54"/>
      <c r="AA23" s="54"/>
      <c r="AB23" s="54" t="s">
        <v>290</v>
      </c>
      <c r="AC23" s="54" t="s">
        <v>290</v>
      </c>
      <c r="AD23" s="54" t="s">
        <v>290</v>
      </c>
      <c r="AE23" s="54" t="s">
        <v>290</v>
      </c>
      <c r="AF23" s="54" t="s">
        <v>291</v>
      </c>
      <c r="AG23" s="54" t="s">
        <v>291</v>
      </c>
      <c r="AH23" s="54" t="s">
        <v>290</v>
      </c>
      <c r="AI23" s="54">
        <v>0.05</v>
      </c>
      <c r="AJ23" s="57" t="s">
        <v>291</v>
      </c>
    </row>
    <row r="24" spans="1:36" x14ac:dyDescent="0.45">
      <c r="A24" s="53">
        <v>27</v>
      </c>
      <c r="B24" s="43">
        <v>722</v>
      </c>
      <c r="C24" s="54" t="s">
        <v>279</v>
      </c>
      <c r="D24" s="54" t="s">
        <v>100</v>
      </c>
      <c r="E24" s="55"/>
      <c r="F24" s="54" t="s">
        <v>361</v>
      </c>
      <c r="G24" s="54" t="s">
        <v>281</v>
      </c>
      <c r="H24" s="54" t="s">
        <v>303</v>
      </c>
      <c r="I24" s="54" t="s">
        <v>361</v>
      </c>
      <c r="J24" s="54" t="s">
        <v>362</v>
      </c>
      <c r="K24" s="54" t="s">
        <v>285</v>
      </c>
      <c r="L24" s="54" t="s">
        <v>305</v>
      </c>
      <c r="M24" s="54" t="s">
        <v>362</v>
      </c>
      <c r="N24" s="54" t="s">
        <v>363</v>
      </c>
      <c r="O24" s="54" t="s">
        <v>286</v>
      </c>
      <c r="P24" s="54" t="s">
        <v>306</v>
      </c>
      <c r="Q24" s="54" t="s">
        <v>363</v>
      </c>
      <c r="R24" s="56">
        <v>1</v>
      </c>
      <c r="S24" s="54">
        <v>1</v>
      </c>
      <c r="T24" s="54" t="s">
        <v>153</v>
      </c>
      <c r="U24" s="54" t="s">
        <v>185</v>
      </c>
      <c r="V24" s="54" t="s">
        <v>287</v>
      </c>
      <c r="W24" s="54" t="s">
        <v>288</v>
      </c>
      <c r="X24" s="54" t="s">
        <v>289</v>
      </c>
      <c r="Y24" s="54"/>
      <c r="Z24" s="54"/>
      <c r="AA24" s="54"/>
      <c r="AB24" s="54" t="s">
        <v>290</v>
      </c>
      <c r="AC24" s="54" t="s">
        <v>290</v>
      </c>
      <c r="AD24" s="54" t="s">
        <v>290</v>
      </c>
      <c r="AE24" s="54" t="s">
        <v>290</v>
      </c>
      <c r="AF24" s="54" t="s">
        <v>291</v>
      </c>
      <c r="AG24" s="54" t="s">
        <v>291</v>
      </c>
      <c r="AH24" s="54" t="s">
        <v>290</v>
      </c>
      <c r="AI24" s="54">
        <v>0.05</v>
      </c>
      <c r="AJ24" s="57" t="s">
        <v>291</v>
      </c>
    </row>
    <row r="25" spans="1:36" x14ac:dyDescent="0.45">
      <c r="A25" s="53">
        <v>28</v>
      </c>
      <c r="B25" s="43">
        <v>723</v>
      </c>
      <c r="C25" s="54" t="s">
        <v>279</v>
      </c>
      <c r="D25" s="54" t="s">
        <v>100</v>
      </c>
      <c r="E25" s="55"/>
      <c r="F25" s="54" t="s">
        <v>364</v>
      </c>
      <c r="G25" s="54" t="s">
        <v>281</v>
      </c>
      <c r="H25" s="54" t="s">
        <v>303</v>
      </c>
      <c r="I25" s="54" t="s">
        <v>364</v>
      </c>
      <c r="J25" s="54" t="s">
        <v>365</v>
      </c>
      <c r="K25" s="54" t="s">
        <v>285</v>
      </c>
      <c r="L25" s="54" t="s">
        <v>305</v>
      </c>
      <c r="M25" s="54" t="s">
        <v>365</v>
      </c>
      <c r="N25" s="54" t="s">
        <v>366</v>
      </c>
      <c r="O25" s="54" t="s">
        <v>286</v>
      </c>
      <c r="P25" s="54" t="s">
        <v>306</v>
      </c>
      <c r="Q25" s="54" t="s">
        <v>366</v>
      </c>
      <c r="R25" s="56">
        <v>1</v>
      </c>
      <c r="S25" s="54">
        <v>1</v>
      </c>
      <c r="T25" s="54" t="s">
        <v>153</v>
      </c>
      <c r="U25" s="54" t="s">
        <v>185</v>
      </c>
      <c r="V25" s="54" t="s">
        <v>287</v>
      </c>
      <c r="W25" s="54" t="s">
        <v>288</v>
      </c>
      <c r="X25" s="54" t="s">
        <v>289</v>
      </c>
      <c r="Y25" s="54"/>
      <c r="Z25" s="54"/>
      <c r="AA25" s="54"/>
      <c r="AB25" s="54" t="s">
        <v>290</v>
      </c>
      <c r="AC25" s="54" t="s">
        <v>290</v>
      </c>
      <c r="AD25" s="54" t="s">
        <v>290</v>
      </c>
      <c r="AE25" s="54" t="s">
        <v>290</v>
      </c>
      <c r="AF25" s="54" t="s">
        <v>291</v>
      </c>
      <c r="AG25" s="54" t="s">
        <v>291</v>
      </c>
      <c r="AH25" s="54" t="s">
        <v>290</v>
      </c>
      <c r="AI25" s="54">
        <v>0.05</v>
      </c>
      <c r="AJ25" s="57" t="s">
        <v>291</v>
      </c>
    </row>
    <row r="26" spans="1:36" x14ac:dyDescent="0.45">
      <c r="A26" s="53">
        <v>29</v>
      </c>
      <c r="B26" s="43">
        <v>724</v>
      </c>
      <c r="C26" s="54" t="s">
        <v>279</v>
      </c>
      <c r="D26" s="54" t="s">
        <v>100</v>
      </c>
      <c r="E26" s="55"/>
      <c r="F26" s="54" t="s">
        <v>367</v>
      </c>
      <c r="G26" s="54" t="s">
        <v>281</v>
      </c>
      <c r="H26" s="54" t="s">
        <v>303</v>
      </c>
      <c r="I26" s="54" t="s">
        <v>367</v>
      </c>
      <c r="J26" s="54" t="s">
        <v>368</v>
      </c>
      <c r="K26" s="54" t="s">
        <v>285</v>
      </c>
      <c r="L26" s="54" t="s">
        <v>305</v>
      </c>
      <c r="M26" s="54" t="s">
        <v>369</v>
      </c>
      <c r="N26" s="54" t="s">
        <v>370</v>
      </c>
      <c r="O26" s="54" t="s">
        <v>286</v>
      </c>
      <c r="P26" s="54" t="s">
        <v>306</v>
      </c>
      <c r="Q26" s="54" t="s">
        <v>370</v>
      </c>
      <c r="R26" s="56">
        <v>1</v>
      </c>
      <c r="S26" s="54">
        <v>1</v>
      </c>
      <c r="T26" s="54" t="s">
        <v>153</v>
      </c>
      <c r="U26" s="54" t="s">
        <v>185</v>
      </c>
      <c r="V26" s="54" t="s">
        <v>287</v>
      </c>
      <c r="W26" s="54" t="s">
        <v>288</v>
      </c>
      <c r="X26" s="54" t="s">
        <v>289</v>
      </c>
      <c r="Y26" s="54"/>
      <c r="Z26" s="54"/>
      <c r="AA26" s="54"/>
      <c r="AB26" s="54" t="s">
        <v>290</v>
      </c>
      <c r="AC26" s="54" t="s">
        <v>290</v>
      </c>
      <c r="AD26" s="54" t="s">
        <v>290</v>
      </c>
      <c r="AE26" s="54" t="s">
        <v>290</v>
      </c>
      <c r="AF26" s="54" t="s">
        <v>291</v>
      </c>
      <c r="AG26" s="54" t="s">
        <v>291</v>
      </c>
      <c r="AH26" s="54" t="s">
        <v>290</v>
      </c>
      <c r="AI26" s="54">
        <v>0.05</v>
      </c>
      <c r="AJ26" s="57" t="s">
        <v>291</v>
      </c>
    </row>
    <row r="27" spans="1:36" x14ac:dyDescent="0.45">
      <c r="A27" s="53">
        <v>30</v>
      </c>
      <c r="B27" s="43">
        <v>725</v>
      </c>
      <c r="C27" s="54" t="s">
        <v>279</v>
      </c>
      <c r="D27" s="54" t="s">
        <v>100</v>
      </c>
      <c r="E27" s="55"/>
      <c r="F27" s="54" t="s">
        <v>371</v>
      </c>
      <c r="G27" s="54" t="s">
        <v>281</v>
      </c>
      <c r="H27" s="54" t="s">
        <v>303</v>
      </c>
      <c r="I27" s="54" t="s">
        <v>371</v>
      </c>
      <c r="J27" s="54" t="s">
        <v>372</v>
      </c>
      <c r="K27" s="54" t="s">
        <v>285</v>
      </c>
      <c r="L27" s="54" t="s">
        <v>305</v>
      </c>
      <c r="M27" s="54" t="s">
        <v>372</v>
      </c>
      <c r="N27" s="54" t="s">
        <v>373</v>
      </c>
      <c r="O27" s="54" t="s">
        <v>286</v>
      </c>
      <c r="P27" s="54" t="s">
        <v>306</v>
      </c>
      <c r="Q27" s="54" t="s">
        <v>373</v>
      </c>
      <c r="R27" s="56">
        <v>1</v>
      </c>
      <c r="S27" s="54">
        <v>1</v>
      </c>
      <c r="T27" s="54" t="s">
        <v>153</v>
      </c>
      <c r="U27" s="54" t="s">
        <v>185</v>
      </c>
      <c r="V27" s="54" t="s">
        <v>287</v>
      </c>
      <c r="W27" s="54" t="s">
        <v>288</v>
      </c>
      <c r="X27" s="54" t="s">
        <v>289</v>
      </c>
      <c r="Y27" s="54"/>
      <c r="Z27" s="54"/>
      <c r="AA27" s="54"/>
      <c r="AB27" s="54" t="s">
        <v>290</v>
      </c>
      <c r="AC27" s="54" t="s">
        <v>290</v>
      </c>
      <c r="AD27" s="54" t="s">
        <v>290</v>
      </c>
      <c r="AE27" s="54" t="s">
        <v>290</v>
      </c>
      <c r="AF27" s="54" t="s">
        <v>291</v>
      </c>
      <c r="AG27" s="54" t="s">
        <v>291</v>
      </c>
      <c r="AH27" s="54" t="s">
        <v>290</v>
      </c>
      <c r="AI27" s="54">
        <v>0.05</v>
      </c>
      <c r="AJ27" s="57" t="s">
        <v>291</v>
      </c>
    </row>
    <row r="28" spans="1:36" x14ac:dyDescent="0.45">
      <c r="A28" s="53">
        <v>31</v>
      </c>
      <c r="B28" s="43">
        <v>726</v>
      </c>
      <c r="C28" s="54" t="s">
        <v>279</v>
      </c>
      <c r="D28" s="54" t="s">
        <v>100</v>
      </c>
      <c r="E28" s="55"/>
      <c r="F28" s="54" t="s">
        <v>374</v>
      </c>
      <c r="G28" s="54" t="s">
        <v>281</v>
      </c>
      <c r="H28" s="54" t="s">
        <v>303</v>
      </c>
      <c r="I28" s="54" t="s">
        <v>374</v>
      </c>
      <c r="J28" s="54" t="s">
        <v>375</v>
      </c>
      <c r="K28" s="54" t="s">
        <v>285</v>
      </c>
      <c r="L28" s="54" t="s">
        <v>305</v>
      </c>
      <c r="M28" s="54" t="s">
        <v>375</v>
      </c>
      <c r="N28" s="54" t="s">
        <v>376</v>
      </c>
      <c r="O28" s="54" t="s">
        <v>286</v>
      </c>
      <c r="P28" s="54" t="s">
        <v>306</v>
      </c>
      <c r="Q28" s="54" t="s">
        <v>376</v>
      </c>
      <c r="R28" s="56">
        <v>1</v>
      </c>
      <c r="S28" s="54">
        <v>1</v>
      </c>
      <c r="T28" s="54" t="s">
        <v>153</v>
      </c>
      <c r="U28" s="54" t="s">
        <v>185</v>
      </c>
      <c r="V28" s="54" t="s">
        <v>287</v>
      </c>
      <c r="W28" s="54" t="s">
        <v>288</v>
      </c>
      <c r="X28" s="54" t="s">
        <v>289</v>
      </c>
      <c r="Y28" s="54"/>
      <c r="Z28" s="54"/>
      <c r="AA28" s="54"/>
      <c r="AB28" s="54" t="s">
        <v>290</v>
      </c>
      <c r="AC28" s="54" t="s">
        <v>290</v>
      </c>
      <c r="AD28" s="54" t="s">
        <v>290</v>
      </c>
      <c r="AE28" s="54" t="s">
        <v>290</v>
      </c>
      <c r="AF28" s="54" t="s">
        <v>291</v>
      </c>
      <c r="AG28" s="54" t="s">
        <v>291</v>
      </c>
      <c r="AH28" s="54" t="s">
        <v>290</v>
      </c>
      <c r="AI28" s="54">
        <v>0.05</v>
      </c>
      <c r="AJ28" s="57" t="s">
        <v>291</v>
      </c>
    </row>
    <row r="29" spans="1:36" x14ac:dyDescent="0.45">
      <c r="A29" s="53">
        <v>33</v>
      </c>
      <c r="B29" s="43">
        <v>727</v>
      </c>
      <c r="C29" s="54" t="s">
        <v>279</v>
      </c>
      <c r="D29" s="54" t="s">
        <v>100</v>
      </c>
      <c r="E29" s="55"/>
      <c r="F29" s="54" t="s">
        <v>377</v>
      </c>
      <c r="G29" s="54" t="s">
        <v>281</v>
      </c>
      <c r="H29" s="54" t="s">
        <v>303</v>
      </c>
      <c r="I29" s="54" t="s">
        <v>377</v>
      </c>
      <c r="J29" s="54" t="s">
        <v>378</v>
      </c>
      <c r="K29" s="54" t="s">
        <v>285</v>
      </c>
      <c r="L29" s="54" t="s">
        <v>305</v>
      </c>
      <c r="M29" s="54" t="s">
        <v>378</v>
      </c>
      <c r="N29" s="54" t="s">
        <v>378</v>
      </c>
      <c r="O29" s="54" t="s">
        <v>286</v>
      </c>
      <c r="P29" s="54" t="s">
        <v>306</v>
      </c>
      <c r="Q29" s="54" t="s">
        <v>378</v>
      </c>
      <c r="R29" s="56">
        <v>1</v>
      </c>
      <c r="S29" s="54">
        <v>1</v>
      </c>
      <c r="T29" s="54" t="s">
        <v>153</v>
      </c>
      <c r="U29" s="54" t="s">
        <v>185</v>
      </c>
      <c r="V29" s="54" t="s">
        <v>287</v>
      </c>
      <c r="W29" s="54" t="s">
        <v>288</v>
      </c>
      <c r="X29" s="54" t="s">
        <v>289</v>
      </c>
      <c r="Y29" s="54"/>
      <c r="Z29" s="54"/>
      <c r="AA29" s="54"/>
      <c r="AB29" s="54" t="s">
        <v>290</v>
      </c>
      <c r="AC29" s="54" t="s">
        <v>290</v>
      </c>
      <c r="AD29" s="54" t="s">
        <v>290</v>
      </c>
      <c r="AE29" s="54" t="s">
        <v>290</v>
      </c>
      <c r="AF29" s="54" t="s">
        <v>291</v>
      </c>
      <c r="AG29" s="54" t="s">
        <v>291</v>
      </c>
      <c r="AH29" s="54" t="s">
        <v>290</v>
      </c>
      <c r="AI29" s="54">
        <v>0.05</v>
      </c>
      <c r="AJ29" s="57" t="s">
        <v>291</v>
      </c>
    </row>
    <row r="30" spans="1:36" x14ac:dyDescent="0.45">
      <c r="A30" s="53">
        <v>35</v>
      </c>
      <c r="B30" s="43">
        <v>728</v>
      </c>
      <c r="C30" s="54" t="s">
        <v>279</v>
      </c>
      <c r="D30" s="54" t="s">
        <v>100</v>
      </c>
      <c r="E30" s="55"/>
      <c r="F30" s="54" t="s">
        <v>379</v>
      </c>
      <c r="G30" s="54" t="s">
        <v>281</v>
      </c>
      <c r="H30" s="54" t="s">
        <v>348</v>
      </c>
      <c r="I30" s="54" t="s">
        <v>380</v>
      </c>
      <c r="J30" s="54" t="s">
        <v>381</v>
      </c>
      <c r="K30" s="54" t="s">
        <v>285</v>
      </c>
      <c r="L30" s="54" t="s">
        <v>348</v>
      </c>
      <c r="M30" s="54" t="s">
        <v>382</v>
      </c>
      <c r="N30" s="54" t="s">
        <v>383</v>
      </c>
      <c r="O30" s="54" t="s">
        <v>286</v>
      </c>
      <c r="P30" s="54" t="s">
        <v>348</v>
      </c>
      <c r="Q30" s="54" t="s">
        <v>384</v>
      </c>
      <c r="R30" s="56">
        <v>1</v>
      </c>
      <c r="S30" s="54">
        <v>100</v>
      </c>
      <c r="T30" s="54" t="s">
        <v>146</v>
      </c>
      <c r="U30" s="54" t="s">
        <v>185</v>
      </c>
      <c r="V30" s="54" t="s">
        <v>287</v>
      </c>
      <c r="W30" s="54" t="s">
        <v>288</v>
      </c>
      <c r="X30" s="54" t="s">
        <v>289</v>
      </c>
      <c r="Y30" s="54"/>
      <c r="Z30" s="54"/>
      <c r="AA30" s="54"/>
      <c r="AB30" s="54" t="s">
        <v>290</v>
      </c>
      <c r="AC30" s="54" t="s">
        <v>290</v>
      </c>
      <c r="AD30" s="54" t="s">
        <v>290</v>
      </c>
      <c r="AE30" s="54" t="s">
        <v>290</v>
      </c>
      <c r="AF30" s="54" t="s">
        <v>291</v>
      </c>
      <c r="AG30" s="54" t="s">
        <v>291</v>
      </c>
      <c r="AH30" s="54" t="s">
        <v>290</v>
      </c>
      <c r="AI30" s="54">
        <v>0.05</v>
      </c>
      <c r="AJ30" s="57" t="s">
        <v>291</v>
      </c>
    </row>
    <row r="31" spans="1:36" x14ac:dyDescent="0.45">
      <c r="A31" s="53">
        <v>36</v>
      </c>
      <c r="B31" s="43">
        <v>729</v>
      </c>
      <c r="C31" s="54" t="s">
        <v>279</v>
      </c>
      <c r="D31" s="54" t="s">
        <v>100</v>
      </c>
      <c r="E31" s="55"/>
      <c r="F31" s="54" t="s">
        <v>379</v>
      </c>
      <c r="G31" s="54" t="s">
        <v>281</v>
      </c>
      <c r="H31" s="54" t="s">
        <v>298</v>
      </c>
      <c r="I31" s="54" t="s">
        <v>385</v>
      </c>
      <c r="J31" s="54" t="s">
        <v>381</v>
      </c>
      <c r="K31" s="54" t="s">
        <v>285</v>
      </c>
      <c r="L31" s="54" t="s">
        <v>298</v>
      </c>
      <c r="M31" s="54" t="s">
        <v>386</v>
      </c>
      <c r="N31" s="54" t="s">
        <v>387</v>
      </c>
      <c r="O31" s="54" t="s">
        <v>286</v>
      </c>
      <c r="P31" s="54" t="s">
        <v>298</v>
      </c>
      <c r="Q31" s="54" t="s">
        <v>388</v>
      </c>
      <c r="R31" s="56">
        <v>0.5</v>
      </c>
      <c r="S31" s="54">
        <v>100</v>
      </c>
      <c r="T31" s="54" t="s">
        <v>146</v>
      </c>
      <c r="U31" s="54" t="s">
        <v>185</v>
      </c>
      <c r="V31" s="54" t="s">
        <v>287</v>
      </c>
      <c r="W31" s="54" t="s">
        <v>288</v>
      </c>
      <c r="X31" s="54" t="s">
        <v>289</v>
      </c>
      <c r="Y31" s="54"/>
      <c r="Z31" s="54"/>
      <c r="AA31" s="54"/>
      <c r="AB31" s="54" t="s">
        <v>290</v>
      </c>
      <c r="AC31" s="54" t="s">
        <v>290</v>
      </c>
      <c r="AD31" s="54" t="s">
        <v>290</v>
      </c>
      <c r="AE31" s="54" t="s">
        <v>290</v>
      </c>
      <c r="AF31" s="54" t="s">
        <v>291</v>
      </c>
      <c r="AG31" s="54" t="s">
        <v>291</v>
      </c>
      <c r="AH31" s="54" t="s">
        <v>290</v>
      </c>
      <c r="AI31" s="54">
        <v>0.05</v>
      </c>
      <c r="AJ31" s="57" t="s">
        <v>291</v>
      </c>
    </row>
    <row r="32" spans="1:36" x14ac:dyDescent="0.45">
      <c r="A32" s="53">
        <v>37</v>
      </c>
      <c r="B32" s="43">
        <v>730</v>
      </c>
      <c r="C32" s="54" t="s">
        <v>279</v>
      </c>
      <c r="D32" s="54" t="s">
        <v>100</v>
      </c>
      <c r="E32" s="55"/>
      <c r="F32" s="54" t="s">
        <v>389</v>
      </c>
      <c r="G32" s="54" t="s">
        <v>281</v>
      </c>
      <c r="H32" s="54" t="s">
        <v>282</v>
      </c>
      <c r="I32" s="54" t="s">
        <v>390</v>
      </c>
      <c r="J32" s="54" t="s">
        <v>381</v>
      </c>
      <c r="K32" s="54" t="s">
        <v>285</v>
      </c>
      <c r="L32" s="54" t="s">
        <v>282</v>
      </c>
      <c r="M32" s="54" t="s">
        <v>391</v>
      </c>
      <c r="N32" s="54" t="s">
        <v>387</v>
      </c>
      <c r="O32" s="54" t="s">
        <v>286</v>
      </c>
      <c r="P32" s="54" t="s">
        <v>282</v>
      </c>
      <c r="Q32" s="54" t="s">
        <v>392</v>
      </c>
      <c r="R32" s="56">
        <v>0.25</v>
      </c>
      <c r="S32" s="54">
        <v>100</v>
      </c>
      <c r="T32" s="54" t="s">
        <v>146</v>
      </c>
      <c r="U32" s="54" t="s">
        <v>185</v>
      </c>
      <c r="V32" s="54" t="s">
        <v>287</v>
      </c>
      <c r="W32" s="54" t="s">
        <v>288</v>
      </c>
      <c r="X32" s="54" t="s">
        <v>289</v>
      </c>
      <c r="Y32" s="54"/>
      <c r="Z32" s="54"/>
      <c r="AA32" s="54"/>
      <c r="AB32" s="54" t="s">
        <v>290</v>
      </c>
      <c r="AC32" s="54" t="s">
        <v>290</v>
      </c>
      <c r="AD32" s="54" t="s">
        <v>290</v>
      </c>
      <c r="AE32" s="54" t="s">
        <v>290</v>
      </c>
      <c r="AF32" s="54" t="s">
        <v>291</v>
      </c>
      <c r="AG32" s="54" t="s">
        <v>291</v>
      </c>
      <c r="AH32" s="54" t="s">
        <v>290</v>
      </c>
      <c r="AI32" s="54">
        <v>0.05</v>
      </c>
      <c r="AJ32" s="57" t="s">
        <v>291</v>
      </c>
    </row>
    <row r="33" spans="1:36" x14ac:dyDescent="0.45">
      <c r="A33" s="53">
        <v>38</v>
      </c>
      <c r="B33" s="43">
        <v>731</v>
      </c>
      <c r="C33" s="54" t="s">
        <v>279</v>
      </c>
      <c r="D33" s="54" t="s">
        <v>100</v>
      </c>
      <c r="E33" s="55"/>
      <c r="F33" s="54" t="s">
        <v>393</v>
      </c>
      <c r="G33" s="54" t="s">
        <v>281</v>
      </c>
      <c r="H33" s="54" t="s">
        <v>303</v>
      </c>
      <c r="I33" s="54" t="s">
        <v>393</v>
      </c>
      <c r="J33" s="54" t="s">
        <v>393</v>
      </c>
      <c r="K33" s="54" t="s">
        <v>285</v>
      </c>
      <c r="L33" s="54" t="s">
        <v>305</v>
      </c>
      <c r="M33" s="54" t="s">
        <v>393</v>
      </c>
      <c r="N33" s="54" t="s">
        <v>394</v>
      </c>
      <c r="O33" s="54" t="s">
        <v>286</v>
      </c>
      <c r="P33" s="54" t="s">
        <v>306</v>
      </c>
      <c r="Q33" s="54" t="s">
        <v>394</v>
      </c>
      <c r="R33" s="56">
        <v>1</v>
      </c>
      <c r="S33" s="54">
        <v>1</v>
      </c>
      <c r="T33" s="54" t="s">
        <v>153</v>
      </c>
      <c r="U33" s="54" t="s">
        <v>185</v>
      </c>
      <c r="V33" s="54" t="s">
        <v>287</v>
      </c>
      <c r="W33" s="54" t="s">
        <v>288</v>
      </c>
      <c r="X33" s="54" t="s">
        <v>289</v>
      </c>
      <c r="Y33" s="54"/>
      <c r="Z33" s="54"/>
      <c r="AA33" s="54"/>
      <c r="AB33" s="54" t="s">
        <v>290</v>
      </c>
      <c r="AC33" s="54" t="s">
        <v>290</v>
      </c>
      <c r="AD33" s="54" t="s">
        <v>290</v>
      </c>
      <c r="AE33" s="54" t="s">
        <v>290</v>
      </c>
      <c r="AF33" s="54" t="s">
        <v>291</v>
      </c>
      <c r="AG33" s="54" t="s">
        <v>291</v>
      </c>
      <c r="AH33" s="54" t="s">
        <v>290</v>
      </c>
      <c r="AI33" s="54">
        <v>0</v>
      </c>
      <c r="AJ33" s="57" t="s">
        <v>291</v>
      </c>
    </row>
    <row r="34" spans="1:36" x14ac:dyDescent="0.45">
      <c r="A34" s="53">
        <v>39</v>
      </c>
      <c r="B34" s="43">
        <v>732</v>
      </c>
      <c r="C34" s="54" t="s">
        <v>279</v>
      </c>
      <c r="D34" s="54" t="s">
        <v>100</v>
      </c>
      <c r="E34" s="55"/>
      <c r="F34" s="54" t="s">
        <v>395</v>
      </c>
      <c r="G34" s="54" t="s">
        <v>281</v>
      </c>
      <c r="H34" s="54" t="s">
        <v>303</v>
      </c>
      <c r="I34" s="54" t="s">
        <v>395</v>
      </c>
      <c r="J34" s="54" t="s">
        <v>396</v>
      </c>
      <c r="K34" s="54" t="s">
        <v>285</v>
      </c>
      <c r="L34" s="54" t="s">
        <v>305</v>
      </c>
      <c r="M34" s="54" t="s">
        <v>396</v>
      </c>
      <c r="N34" s="54" t="s">
        <v>397</v>
      </c>
      <c r="O34" s="54" t="s">
        <v>286</v>
      </c>
      <c r="P34" s="54" t="s">
        <v>306</v>
      </c>
      <c r="Q34" s="54" t="s">
        <v>397</v>
      </c>
      <c r="R34" s="56">
        <v>1</v>
      </c>
      <c r="S34" s="54">
        <v>1</v>
      </c>
      <c r="T34" s="54" t="s">
        <v>153</v>
      </c>
      <c r="U34" s="54" t="s">
        <v>185</v>
      </c>
      <c r="V34" s="54" t="s">
        <v>287</v>
      </c>
      <c r="W34" s="54" t="s">
        <v>288</v>
      </c>
      <c r="X34" s="54" t="s">
        <v>289</v>
      </c>
      <c r="Y34" s="54"/>
      <c r="Z34" s="54"/>
      <c r="AA34" s="54"/>
      <c r="AB34" s="54" t="s">
        <v>290</v>
      </c>
      <c r="AC34" s="54" t="s">
        <v>290</v>
      </c>
      <c r="AD34" s="54" t="s">
        <v>290</v>
      </c>
      <c r="AE34" s="54" t="s">
        <v>290</v>
      </c>
      <c r="AF34" s="54" t="s">
        <v>291</v>
      </c>
      <c r="AG34" s="54" t="s">
        <v>291</v>
      </c>
      <c r="AH34" s="54" t="s">
        <v>290</v>
      </c>
      <c r="AI34" s="54">
        <v>0.05</v>
      </c>
      <c r="AJ34" s="57" t="s">
        <v>291</v>
      </c>
    </row>
    <row r="35" spans="1:36" x14ac:dyDescent="0.45">
      <c r="A35" s="53">
        <v>40</v>
      </c>
      <c r="B35" s="43">
        <v>733</v>
      </c>
      <c r="C35" s="54" t="s">
        <v>279</v>
      </c>
      <c r="D35" s="54" t="s">
        <v>100</v>
      </c>
      <c r="E35" s="55"/>
      <c r="F35" s="54" t="s">
        <v>398</v>
      </c>
      <c r="G35" s="54" t="s">
        <v>281</v>
      </c>
      <c r="H35" s="54" t="s">
        <v>303</v>
      </c>
      <c r="I35" s="54" t="s">
        <v>398</v>
      </c>
      <c r="J35" s="54" t="s">
        <v>399</v>
      </c>
      <c r="K35" s="54" t="s">
        <v>285</v>
      </c>
      <c r="L35" s="54" t="s">
        <v>305</v>
      </c>
      <c r="M35" s="54" t="s">
        <v>399</v>
      </c>
      <c r="N35" s="54" t="s">
        <v>400</v>
      </c>
      <c r="O35" s="54" t="s">
        <v>286</v>
      </c>
      <c r="P35" s="54" t="s">
        <v>306</v>
      </c>
      <c r="Q35" s="54" t="s">
        <v>400</v>
      </c>
      <c r="R35" s="56">
        <v>1</v>
      </c>
      <c r="S35" s="54">
        <v>1</v>
      </c>
      <c r="T35" s="54" t="s">
        <v>153</v>
      </c>
      <c r="U35" s="54" t="s">
        <v>185</v>
      </c>
      <c r="V35" s="54" t="s">
        <v>287</v>
      </c>
      <c r="W35" s="54" t="s">
        <v>288</v>
      </c>
      <c r="X35" s="54" t="s">
        <v>289</v>
      </c>
      <c r="Y35" s="54"/>
      <c r="Z35" s="54"/>
      <c r="AA35" s="54"/>
      <c r="AB35" s="54" t="s">
        <v>290</v>
      </c>
      <c r="AC35" s="54" t="s">
        <v>290</v>
      </c>
      <c r="AD35" s="54" t="s">
        <v>290</v>
      </c>
      <c r="AE35" s="54" t="s">
        <v>290</v>
      </c>
      <c r="AF35" s="54" t="s">
        <v>291</v>
      </c>
      <c r="AG35" s="54" t="s">
        <v>291</v>
      </c>
      <c r="AH35" s="54" t="s">
        <v>290</v>
      </c>
      <c r="AI35" s="54">
        <v>0.05</v>
      </c>
      <c r="AJ35" s="57" t="s">
        <v>291</v>
      </c>
    </row>
    <row r="36" spans="1:36" x14ac:dyDescent="0.45">
      <c r="A36" s="53">
        <v>41</v>
      </c>
      <c r="B36" s="43">
        <v>734</v>
      </c>
      <c r="C36" s="54" t="s">
        <v>279</v>
      </c>
      <c r="D36" s="54" t="s">
        <v>100</v>
      </c>
      <c r="E36" s="55"/>
      <c r="F36" s="54" t="s">
        <v>401</v>
      </c>
      <c r="G36" s="54" t="s">
        <v>281</v>
      </c>
      <c r="H36" s="54" t="s">
        <v>303</v>
      </c>
      <c r="I36" s="54" t="s">
        <v>401</v>
      </c>
      <c r="J36" s="54" t="s">
        <v>402</v>
      </c>
      <c r="K36" s="54" t="s">
        <v>285</v>
      </c>
      <c r="L36" s="54" t="s">
        <v>305</v>
      </c>
      <c r="M36" s="54" t="s">
        <v>402</v>
      </c>
      <c r="N36" s="54" t="s">
        <v>403</v>
      </c>
      <c r="O36" s="54" t="s">
        <v>286</v>
      </c>
      <c r="P36" s="54" t="s">
        <v>306</v>
      </c>
      <c r="Q36" s="54" t="s">
        <v>403</v>
      </c>
      <c r="R36" s="56">
        <v>1</v>
      </c>
      <c r="S36" s="54">
        <v>1</v>
      </c>
      <c r="T36" s="54" t="s">
        <v>153</v>
      </c>
      <c r="U36" s="54" t="s">
        <v>185</v>
      </c>
      <c r="V36" s="54" t="s">
        <v>287</v>
      </c>
      <c r="W36" s="54" t="s">
        <v>288</v>
      </c>
      <c r="X36" s="54" t="s">
        <v>289</v>
      </c>
      <c r="Y36" s="54"/>
      <c r="Z36" s="54"/>
      <c r="AA36" s="54"/>
      <c r="AB36" s="54" t="s">
        <v>290</v>
      </c>
      <c r="AC36" s="54" t="s">
        <v>290</v>
      </c>
      <c r="AD36" s="54" t="s">
        <v>290</v>
      </c>
      <c r="AE36" s="54" t="s">
        <v>290</v>
      </c>
      <c r="AF36" s="54" t="s">
        <v>291</v>
      </c>
      <c r="AG36" s="54" t="s">
        <v>291</v>
      </c>
      <c r="AH36" s="54" t="s">
        <v>290</v>
      </c>
      <c r="AI36" s="54">
        <v>0.05</v>
      </c>
      <c r="AJ36" s="57" t="s">
        <v>291</v>
      </c>
    </row>
    <row r="37" spans="1:36" x14ac:dyDescent="0.45">
      <c r="A37" s="53">
        <v>43</v>
      </c>
      <c r="B37" s="43">
        <v>735</v>
      </c>
      <c r="C37" s="54" t="s">
        <v>279</v>
      </c>
      <c r="D37" s="54" t="s">
        <v>100</v>
      </c>
      <c r="E37" s="55"/>
      <c r="F37" s="54" t="s">
        <v>404</v>
      </c>
      <c r="G37" s="54" t="s">
        <v>281</v>
      </c>
      <c r="H37" s="54" t="s">
        <v>303</v>
      </c>
      <c r="I37" s="54" t="s">
        <v>404</v>
      </c>
      <c r="J37" s="54" t="s">
        <v>405</v>
      </c>
      <c r="K37" s="54" t="s">
        <v>285</v>
      </c>
      <c r="L37" s="54" t="s">
        <v>305</v>
      </c>
      <c r="M37" s="54" t="s">
        <v>405</v>
      </c>
      <c r="N37" s="54" t="s">
        <v>406</v>
      </c>
      <c r="O37" s="54" t="s">
        <v>286</v>
      </c>
      <c r="P37" s="54" t="s">
        <v>306</v>
      </c>
      <c r="Q37" s="54" t="s">
        <v>406</v>
      </c>
      <c r="R37" s="56">
        <v>1</v>
      </c>
      <c r="S37" s="54">
        <v>1</v>
      </c>
      <c r="T37" s="54" t="s">
        <v>153</v>
      </c>
      <c r="U37" s="54" t="s">
        <v>185</v>
      </c>
      <c r="V37" s="54" t="s">
        <v>287</v>
      </c>
      <c r="W37" s="54" t="s">
        <v>288</v>
      </c>
      <c r="X37" s="54" t="s">
        <v>289</v>
      </c>
      <c r="Y37" s="54"/>
      <c r="Z37" s="54"/>
      <c r="AA37" s="54"/>
      <c r="AB37" s="54" t="s">
        <v>290</v>
      </c>
      <c r="AC37" s="54" t="s">
        <v>290</v>
      </c>
      <c r="AD37" s="54" t="s">
        <v>290</v>
      </c>
      <c r="AE37" s="54" t="s">
        <v>290</v>
      </c>
      <c r="AF37" s="54" t="s">
        <v>291</v>
      </c>
      <c r="AG37" s="54" t="s">
        <v>291</v>
      </c>
      <c r="AH37" s="54" t="s">
        <v>290</v>
      </c>
      <c r="AI37" s="54">
        <v>0.05</v>
      </c>
      <c r="AJ37" s="57" t="s">
        <v>291</v>
      </c>
    </row>
    <row r="38" spans="1:36" x14ac:dyDescent="0.45">
      <c r="A38" s="53">
        <v>44</v>
      </c>
      <c r="B38" s="43">
        <v>736</v>
      </c>
      <c r="C38" s="54" t="s">
        <v>279</v>
      </c>
      <c r="D38" s="54" t="s">
        <v>100</v>
      </c>
      <c r="E38" s="55"/>
      <c r="F38" s="54" t="s">
        <v>407</v>
      </c>
      <c r="G38" s="54" t="s">
        <v>281</v>
      </c>
      <c r="H38" s="54" t="s">
        <v>303</v>
      </c>
      <c r="I38" s="54" t="s">
        <v>407</v>
      </c>
      <c r="J38" s="54" t="s">
        <v>408</v>
      </c>
      <c r="K38" s="54" t="s">
        <v>285</v>
      </c>
      <c r="L38" s="54" t="s">
        <v>305</v>
      </c>
      <c r="M38" s="54" t="s">
        <v>408</v>
      </c>
      <c r="N38" s="54" t="s">
        <v>409</v>
      </c>
      <c r="O38" s="54" t="s">
        <v>286</v>
      </c>
      <c r="P38" s="54" t="s">
        <v>306</v>
      </c>
      <c r="Q38" s="54" t="s">
        <v>409</v>
      </c>
      <c r="R38" s="56">
        <v>1</v>
      </c>
      <c r="S38" s="54">
        <v>1</v>
      </c>
      <c r="T38" s="54" t="s">
        <v>153</v>
      </c>
      <c r="U38" s="54" t="s">
        <v>185</v>
      </c>
      <c r="V38" s="54" t="s">
        <v>287</v>
      </c>
      <c r="W38" s="54" t="s">
        <v>288</v>
      </c>
      <c r="X38" s="54" t="s">
        <v>289</v>
      </c>
      <c r="Y38" s="54"/>
      <c r="Z38" s="54"/>
      <c r="AA38" s="54"/>
      <c r="AB38" s="54" t="s">
        <v>290</v>
      </c>
      <c r="AC38" s="54" t="s">
        <v>290</v>
      </c>
      <c r="AD38" s="54" t="s">
        <v>290</v>
      </c>
      <c r="AE38" s="54" t="s">
        <v>290</v>
      </c>
      <c r="AF38" s="54" t="s">
        <v>291</v>
      </c>
      <c r="AG38" s="54" t="s">
        <v>291</v>
      </c>
      <c r="AH38" s="54" t="s">
        <v>290</v>
      </c>
      <c r="AI38" s="54">
        <v>0.05</v>
      </c>
      <c r="AJ38" s="57" t="s">
        <v>291</v>
      </c>
    </row>
    <row r="39" spans="1:36" x14ac:dyDescent="0.45">
      <c r="A39" s="53">
        <v>45</v>
      </c>
      <c r="B39" s="43">
        <v>737</v>
      </c>
      <c r="C39" s="54" t="s">
        <v>279</v>
      </c>
      <c r="D39" s="54" t="s">
        <v>100</v>
      </c>
      <c r="E39" s="55"/>
      <c r="F39" s="54" t="s">
        <v>410</v>
      </c>
      <c r="G39" s="54" t="s">
        <v>281</v>
      </c>
      <c r="H39" s="54" t="s">
        <v>303</v>
      </c>
      <c r="I39" s="54" t="s">
        <v>410</v>
      </c>
      <c r="J39" s="54" t="s">
        <v>411</v>
      </c>
      <c r="K39" s="54" t="s">
        <v>285</v>
      </c>
      <c r="L39" s="54" t="s">
        <v>305</v>
      </c>
      <c r="M39" s="54" t="s">
        <v>411</v>
      </c>
      <c r="N39" s="54" t="s">
        <v>412</v>
      </c>
      <c r="O39" s="54" t="s">
        <v>286</v>
      </c>
      <c r="P39" s="54" t="s">
        <v>306</v>
      </c>
      <c r="Q39" s="54" t="s">
        <v>412</v>
      </c>
      <c r="R39" s="56">
        <v>1</v>
      </c>
      <c r="S39" s="54">
        <v>1</v>
      </c>
      <c r="T39" s="54" t="s">
        <v>153</v>
      </c>
      <c r="U39" s="54" t="s">
        <v>185</v>
      </c>
      <c r="V39" s="54" t="s">
        <v>287</v>
      </c>
      <c r="W39" s="54" t="s">
        <v>288</v>
      </c>
      <c r="X39" s="54" t="s">
        <v>289</v>
      </c>
      <c r="Y39" s="54"/>
      <c r="Z39" s="54"/>
      <c r="AA39" s="54"/>
      <c r="AB39" s="54" t="s">
        <v>290</v>
      </c>
      <c r="AC39" s="54" t="s">
        <v>290</v>
      </c>
      <c r="AD39" s="54" t="s">
        <v>290</v>
      </c>
      <c r="AE39" s="54" t="s">
        <v>290</v>
      </c>
      <c r="AF39" s="54" t="s">
        <v>291</v>
      </c>
      <c r="AG39" s="54" t="s">
        <v>291</v>
      </c>
      <c r="AH39" s="54" t="s">
        <v>290</v>
      </c>
      <c r="AI39" s="54">
        <v>0.05</v>
      </c>
      <c r="AJ39" s="57" t="s">
        <v>291</v>
      </c>
    </row>
    <row r="40" spans="1:36" x14ac:dyDescent="0.45">
      <c r="A40" s="53">
        <v>46</v>
      </c>
      <c r="B40" s="43">
        <v>738</v>
      </c>
      <c r="C40" s="54" t="s">
        <v>279</v>
      </c>
      <c r="D40" s="54" t="s">
        <v>100</v>
      </c>
      <c r="E40" s="55"/>
      <c r="F40" s="54" t="s">
        <v>413</v>
      </c>
      <c r="G40" s="54" t="s">
        <v>281</v>
      </c>
      <c r="H40" s="54" t="s">
        <v>303</v>
      </c>
      <c r="I40" s="54" t="s">
        <v>413</v>
      </c>
      <c r="J40" s="54" t="s">
        <v>414</v>
      </c>
      <c r="K40" s="54" t="s">
        <v>285</v>
      </c>
      <c r="L40" s="54" t="s">
        <v>305</v>
      </c>
      <c r="M40" s="54" t="s">
        <v>414</v>
      </c>
      <c r="N40" s="54" t="s">
        <v>415</v>
      </c>
      <c r="O40" s="54" t="s">
        <v>286</v>
      </c>
      <c r="P40" s="54" t="s">
        <v>306</v>
      </c>
      <c r="Q40" s="54" t="s">
        <v>415</v>
      </c>
      <c r="R40" s="56">
        <v>1</v>
      </c>
      <c r="S40" s="54">
        <v>1</v>
      </c>
      <c r="T40" s="54" t="s">
        <v>153</v>
      </c>
      <c r="U40" s="54" t="s">
        <v>185</v>
      </c>
      <c r="V40" s="54" t="s">
        <v>287</v>
      </c>
      <c r="W40" s="54" t="s">
        <v>288</v>
      </c>
      <c r="X40" s="54" t="s">
        <v>289</v>
      </c>
      <c r="Y40" s="54"/>
      <c r="Z40" s="54"/>
      <c r="AA40" s="54"/>
      <c r="AB40" s="54" t="s">
        <v>290</v>
      </c>
      <c r="AC40" s="54" t="s">
        <v>290</v>
      </c>
      <c r="AD40" s="54" t="s">
        <v>290</v>
      </c>
      <c r="AE40" s="54" t="s">
        <v>290</v>
      </c>
      <c r="AF40" s="54" t="s">
        <v>291</v>
      </c>
      <c r="AG40" s="54" t="s">
        <v>291</v>
      </c>
      <c r="AH40" s="54" t="s">
        <v>290</v>
      </c>
      <c r="AI40" s="54">
        <v>0.05</v>
      </c>
      <c r="AJ40" s="57" t="s">
        <v>291</v>
      </c>
    </row>
    <row r="41" spans="1:36" x14ac:dyDescent="0.45">
      <c r="A41" s="53">
        <v>47</v>
      </c>
      <c r="B41" s="43">
        <v>739</v>
      </c>
      <c r="C41" s="54" t="s">
        <v>279</v>
      </c>
      <c r="D41" s="54" t="s">
        <v>100</v>
      </c>
      <c r="E41" s="55"/>
      <c r="F41" s="54" t="s">
        <v>416</v>
      </c>
      <c r="G41" s="54" t="s">
        <v>281</v>
      </c>
      <c r="H41" s="54" t="s">
        <v>282</v>
      </c>
      <c r="I41" s="54" t="s">
        <v>417</v>
      </c>
      <c r="J41" s="54" t="s">
        <v>418</v>
      </c>
      <c r="K41" s="54" t="s">
        <v>285</v>
      </c>
      <c r="L41" s="54" t="s">
        <v>282</v>
      </c>
      <c r="M41" s="54" t="s">
        <v>419</v>
      </c>
      <c r="N41" s="54" t="s">
        <v>420</v>
      </c>
      <c r="O41" s="54" t="s">
        <v>286</v>
      </c>
      <c r="P41" s="54" t="s">
        <v>282</v>
      </c>
      <c r="Q41" s="54" t="s">
        <v>421</v>
      </c>
      <c r="R41" s="56">
        <v>0.25</v>
      </c>
      <c r="S41" s="54">
        <v>1</v>
      </c>
      <c r="T41" s="54" t="s">
        <v>146</v>
      </c>
      <c r="U41" s="54" t="s">
        <v>185</v>
      </c>
      <c r="V41" s="54" t="s">
        <v>287</v>
      </c>
      <c r="W41" s="54" t="s">
        <v>288</v>
      </c>
      <c r="X41" s="54" t="s">
        <v>289</v>
      </c>
      <c r="Y41" s="54"/>
      <c r="Z41" s="54"/>
      <c r="AA41" s="54"/>
      <c r="AB41" s="54" t="s">
        <v>290</v>
      </c>
      <c r="AC41" s="54" t="s">
        <v>290</v>
      </c>
      <c r="AD41" s="54" t="s">
        <v>290</v>
      </c>
      <c r="AE41" s="54" t="s">
        <v>290</v>
      </c>
      <c r="AF41" s="54" t="s">
        <v>291</v>
      </c>
      <c r="AG41" s="54" t="s">
        <v>291</v>
      </c>
      <c r="AH41" s="54" t="s">
        <v>290</v>
      </c>
      <c r="AI41" s="54">
        <v>0.05</v>
      </c>
      <c r="AJ41" s="57" t="s">
        <v>291</v>
      </c>
    </row>
    <row r="42" spans="1:36" x14ac:dyDescent="0.45">
      <c r="A42" s="53">
        <v>48</v>
      </c>
      <c r="B42" s="43">
        <v>740</v>
      </c>
      <c r="C42" s="54" t="s">
        <v>279</v>
      </c>
      <c r="D42" s="54" t="s">
        <v>100</v>
      </c>
      <c r="E42" s="55"/>
      <c r="F42" s="54" t="s">
        <v>416</v>
      </c>
      <c r="G42" s="54" t="s">
        <v>281</v>
      </c>
      <c r="H42" s="54" t="s">
        <v>298</v>
      </c>
      <c r="I42" s="54" t="s">
        <v>422</v>
      </c>
      <c r="J42" s="54" t="s">
        <v>418</v>
      </c>
      <c r="K42" s="54" t="s">
        <v>285</v>
      </c>
      <c r="L42" s="54" t="s">
        <v>298</v>
      </c>
      <c r="M42" s="54" t="s">
        <v>423</v>
      </c>
      <c r="N42" s="54" t="s">
        <v>420</v>
      </c>
      <c r="O42" s="54" t="s">
        <v>286</v>
      </c>
      <c r="P42" s="54" t="s">
        <v>298</v>
      </c>
      <c r="Q42" s="54" t="s">
        <v>424</v>
      </c>
      <c r="R42" s="56">
        <v>0.5</v>
      </c>
      <c r="S42" s="54">
        <v>1</v>
      </c>
      <c r="T42" s="54" t="s">
        <v>146</v>
      </c>
      <c r="U42" s="54" t="s">
        <v>185</v>
      </c>
      <c r="V42" s="54" t="s">
        <v>287</v>
      </c>
      <c r="W42" s="54" t="s">
        <v>288</v>
      </c>
      <c r="X42" s="54" t="s">
        <v>289</v>
      </c>
      <c r="Y42" s="54"/>
      <c r="Z42" s="54"/>
      <c r="AA42" s="54"/>
      <c r="AB42" s="54" t="s">
        <v>290</v>
      </c>
      <c r="AC42" s="54" t="s">
        <v>290</v>
      </c>
      <c r="AD42" s="54" t="s">
        <v>290</v>
      </c>
      <c r="AE42" s="54" t="s">
        <v>290</v>
      </c>
      <c r="AF42" s="54" t="s">
        <v>291</v>
      </c>
      <c r="AG42" s="54" t="s">
        <v>291</v>
      </c>
      <c r="AH42" s="54" t="s">
        <v>290</v>
      </c>
      <c r="AI42" s="54">
        <v>0.05</v>
      </c>
      <c r="AJ42" s="57" t="s">
        <v>291</v>
      </c>
    </row>
    <row r="43" spans="1:36" x14ac:dyDescent="0.45">
      <c r="A43" s="53">
        <v>49</v>
      </c>
      <c r="B43" s="43">
        <v>741</v>
      </c>
      <c r="C43" s="54" t="s">
        <v>279</v>
      </c>
      <c r="D43" s="54" t="s">
        <v>100</v>
      </c>
      <c r="E43" s="55"/>
      <c r="F43" s="54" t="s">
        <v>425</v>
      </c>
      <c r="G43" s="54" t="s">
        <v>281</v>
      </c>
      <c r="H43" s="54" t="s">
        <v>426</v>
      </c>
      <c r="I43" s="54" t="s">
        <v>427</v>
      </c>
      <c r="J43" s="54" t="s">
        <v>428</v>
      </c>
      <c r="K43" s="54" t="s">
        <v>285</v>
      </c>
      <c r="L43" s="54" t="s">
        <v>426</v>
      </c>
      <c r="M43" s="54" t="s">
        <v>429</v>
      </c>
      <c r="N43" s="54" t="s">
        <v>430</v>
      </c>
      <c r="O43" s="54" t="s">
        <v>286</v>
      </c>
      <c r="P43" s="54" t="s">
        <v>426</v>
      </c>
      <c r="Q43" s="54" t="s">
        <v>431</v>
      </c>
      <c r="R43" s="56">
        <v>0.4</v>
      </c>
      <c r="S43" s="54">
        <v>1</v>
      </c>
      <c r="T43" s="54" t="s">
        <v>146</v>
      </c>
      <c r="U43" s="54" t="s">
        <v>185</v>
      </c>
      <c r="V43" s="54" t="s">
        <v>287</v>
      </c>
      <c r="W43" s="54" t="s">
        <v>288</v>
      </c>
      <c r="X43" s="54" t="s">
        <v>289</v>
      </c>
      <c r="Y43" s="54"/>
      <c r="Z43" s="54"/>
      <c r="AA43" s="54"/>
      <c r="AB43" s="54" t="s">
        <v>290</v>
      </c>
      <c r="AC43" s="54" t="s">
        <v>290</v>
      </c>
      <c r="AD43" s="54" t="s">
        <v>290</v>
      </c>
      <c r="AE43" s="54" t="s">
        <v>290</v>
      </c>
      <c r="AF43" s="54" t="s">
        <v>291</v>
      </c>
      <c r="AG43" s="54" t="s">
        <v>291</v>
      </c>
      <c r="AH43" s="54" t="s">
        <v>290</v>
      </c>
      <c r="AI43" s="54">
        <v>0.05</v>
      </c>
      <c r="AJ43" s="57" t="s">
        <v>291</v>
      </c>
    </row>
    <row r="44" spans="1:36" x14ac:dyDescent="0.45">
      <c r="A44" s="53">
        <v>50</v>
      </c>
      <c r="B44" s="43">
        <v>742</v>
      </c>
      <c r="C44" s="54" t="s">
        <v>279</v>
      </c>
      <c r="D44" s="54" t="s">
        <v>100</v>
      </c>
      <c r="E44" s="55"/>
      <c r="F44" s="54" t="s">
        <v>432</v>
      </c>
      <c r="G44" s="54" t="s">
        <v>281</v>
      </c>
      <c r="H44" s="54" t="s">
        <v>303</v>
      </c>
      <c r="I44" s="54" t="s">
        <v>432</v>
      </c>
      <c r="J44" s="54" t="s">
        <v>433</v>
      </c>
      <c r="K44" s="54" t="s">
        <v>285</v>
      </c>
      <c r="L44" s="54" t="s">
        <v>305</v>
      </c>
      <c r="M44" s="54" t="s">
        <v>433</v>
      </c>
      <c r="N44" s="54" t="s">
        <v>434</v>
      </c>
      <c r="O44" s="54" t="s">
        <v>286</v>
      </c>
      <c r="P44" s="54" t="s">
        <v>306</v>
      </c>
      <c r="Q44" s="54" t="s">
        <v>434</v>
      </c>
      <c r="R44" s="56">
        <v>1</v>
      </c>
      <c r="S44" s="54">
        <v>1</v>
      </c>
      <c r="T44" s="54" t="s">
        <v>153</v>
      </c>
      <c r="U44" s="54" t="s">
        <v>185</v>
      </c>
      <c r="V44" s="54" t="s">
        <v>287</v>
      </c>
      <c r="W44" s="54" t="s">
        <v>288</v>
      </c>
      <c r="X44" s="54" t="s">
        <v>289</v>
      </c>
      <c r="Y44" s="54"/>
      <c r="Z44" s="54"/>
      <c r="AA44" s="54"/>
      <c r="AB44" s="54" t="s">
        <v>290</v>
      </c>
      <c r="AC44" s="54" t="s">
        <v>290</v>
      </c>
      <c r="AD44" s="54" t="s">
        <v>290</v>
      </c>
      <c r="AE44" s="54" t="s">
        <v>290</v>
      </c>
      <c r="AF44" s="54" t="s">
        <v>291</v>
      </c>
      <c r="AG44" s="54" t="s">
        <v>291</v>
      </c>
      <c r="AH44" s="54" t="s">
        <v>290</v>
      </c>
      <c r="AI44" s="54">
        <v>0.05</v>
      </c>
      <c r="AJ44" s="57" t="s">
        <v>291</v>
      </c>
    </row>
    <row r="45" spans="1:36" x14ac:dyDescent="0.45">
      <c r="A45" s="53">
        <v>51</v>
      </c>
      <c r="B45" s="43">
        <v>743</v>
      </c>
      <c r="C45" s="54" t="s">
        <v>279</v>
      </c>
      <c r="D45" s="54" t="s">
        <v>100</v>
      </c>
      <c r="E45" s="55"/>
      <c r="F45" s="54" t="s">
        <v>435</v>
      </c>
      <c r="G45" s="54" t="s">
        <v>281</v>
      </c>
      <c r="H45" s="54" t="s">
        <v>303</v>
      </c>
      <c r="I45" s="54" t="s">
        <v>435</v>
      </c>
      <c r="J45" s="54" t="s">
        <v>436</v>
      </c>
      <c r="K45" s="54" t="s">
        <v>285</v>
      </c>
      <c r="L45" s="54" t="s">
        <v>305</v>
      </c>
      <c r="M45" s="54" t="s">
        <v>436</v>
      </c>
      <c r="N45" s="54" t="s">
        <v>437</v>
      </c>
      <c r="O45" s="54" t="s">
        <v>286</v>
      </c>
      <c r="P45" s="54" t="s">
        <v>306</v>
      </c>
      <c r="Q45" s="54" t="s">
        <v>437</v>
      </c>
      <c r="R45" s="56">
        <v>1</v>
      </c>
      <c r="S45" s="54">
        <v>1</v>
      </c>
      <c r="T45" s="54" t="s">
        <v>153</v>
      </c>
      <c r="U45" s="54" t="s">
        <v>185</v>
      </c>
      <c r="V45" s="54" t="s">
        <v>287</v>
      </c>
      <c r="W45" s="54" t="s">
        <v>288</v>
      </c>
      <c r="X45" s="54" t="s">
        <v>289</v>
      </c>
      <c r="Y45" s="54"/>
      <c r="Z45" s="54"/>
      <c r="AA45" s="54"/>
      <c r="AB45" s="54" t="s">
        <v>290</v>
      </c>
      <c r="AC45" s="54" t="s">
        <v>290</v>
      </c>
      <c r="AD45" s="54" t="s">
        <v>290</v>
      </c>
      <c r="AE45" s="54" t="s">
        <v>290</v>
      </c>
      <c r="AF45" s="54" t="s">
        <v>291</v>
      </c>
      <c r="AG45" s="54" t="s">
        <v>291</v>
      </c>
      <c r="AH45" s="54" t="s">
        <v>290</v>
      </c>
      <c r="AI45" s="54">
        <v>0.05</v>
      </c>
      <c r="AJ45" s="57" t="s">
        <v>291</v>
      </c>
    </row>
    <row r="46" spans="1:36" x14ac:dyDescent="0.45">
      <c r="A46" s="53">
        <v>52</v>
      </c>
      <c r="B46" s="43">
        <v>744</v>
      </c>
      <c r="C46" s="54" t="s">
        <v>279</v>
      </c>
      <c r="D46" s="54" t="s">
        <v>100</v>
      </c>
      <c r="E46" s="55"/>
      <c r="F46" s="54" t="s">
        <v>438</v>
      </c>
      <c r="G46" s="54" t="s">
        <v>281</v>
      </c>
      <c r="H46" s="54" t="s">
        <v>303</v>
      </c>
      <c r="I46" s="54" t="s">
        <v>438</v>
      </c>
      <c r="J46" s="54" t="s">
        <v>439</v>
      </c>
      <c r="K46" s="54" t="s">
        <v>285</v>
      </c>
      <c r="L46" s="54" t="s">
        <v>305</v>
      </c>
      <c r="M46" s="54" t="s">
        <v>439</v>
      </c>
      <c r="N46" s="54" t="s">
        <v>440</v>
      </c>
      <c r="O46" s="54" t="s">
        <v>286</v>
      </c>
      <c r="P46" s="54" t="s">
        <v>306</v>
      </c>
      <c r="Q46" s="54" t="s">
        <v>440</v>
      </c>
      <c r="R46" s="56">
        <v>1</v>
      </c>
      <c r="S46" s="54">
        <v>1</v>
      </c>
      <c r="T46" s="54" t="s">
        <v>153</v>
      </c>
      <c r="U46" s="54" t="s">
        <v>185</v>
      </c>
      <c r="V46" s="54" t="s">
        <v>287</v>
      </c>
      <c r="W46" s="54" t="s">
        <v>288</v>
      </c>
      <c r="X46" s="54" t="s">
        <v>289</v>
      </c>
      <c r="Y46" s="54"/>
      <c r="Z46" s="54"/>
      <c r="AA46" s="54"/>
      <c r="AB46" s="54" t="s">
        <v>290</v>
      </c>
      <c r="AC46" s="54" t="s">
        <v>290</v>
      </c>
      <c r="AD46" s="54" t="s">
        <v>290</v>
      </c>
      <c r="AE46" s="54" t="s">
        <v>290</v>
      </c>
      <c r="AF46" s="54" t="s">
        <v>291</v>
      </c>
      <c r="AG46" s="54" t="s">
        <v>291</v>
      </c>
      <c r="AH46" s="54" t="s">
        <v>290</v>
      </c>
      <c r="AI46" s="54">
        <v>0.05</v>
      </c>
      <c r="AJ46" s="57" t="s">
        <v>291</v>
      </c>
    </row>
    <row r="47" spans="1:36" x14ac:dyDescent="0.45">
      <c r="A47" s="53">
        <v>53</v>
      </c>
      <c r="B47" s="43">
        <v>745</v>
      </c>
      <c r="C47" s="54" t="s">
        <v>279</v>
      </c>
      <c r="D47" s="54" t="s">
        <v>100</v>
      </c>
      <c r="E47" s="55"/>
      <c r="F47" s="54" t="s">
        <v>441</v>
      </c>
      <c r="G47" s="54" t="s">
        <v>281</v>
      </c>
      <c r="H47" s="54" t="s">
        <v>303</v>
      </c>
      <c r="I47" s="54" t="s">
        <v>441</v>
      </c>
      <c r="J47" s="54" t="s">
        <v>442</v>
      </c>
      <c r="K47" s="54" t="s">
        <v>285</v>
      </c>
      <c r="L47" s="54" t="s">
        <v>305</v>
      </c>
      <c r="M47" s="54" t="s">
        <v>442</v>
      </c>
      <c r="N47" s="54" t="s">
        <v>443</v>
      </c>
      <c r="O47" s="54" t="s">
        <v>286</v>
      </c>
      <c r="P47" s="54" t="s">
        <v>306</v>
      </c>
      <c r="Q47" s="54" t="s">
        <v>443</v>
      </c>
      <c r="R47" s="56">
        <v>1</v>
      </c>
      <c r="S47" s="54">
        <v>1</v>
      </c>
      <c r="T47" s="54" t="s">
        <v>153</v>
      </c>
      <c r="U47" s="54" t="s">
        <v>185</v>
      </c>
      <c r="V47" s="54" t="s">
        <v>287</v>
      </c>
      <c r="W47" s="54" t="s">
        <v>288</v>
      </c>
      <c r="X47" s="54" t="s">
        <v>289</v>
      </c>
      <c r="Y47" s="54"/>
      <c r="Z47" s="54"/>
      <c r="AA47" s="54"/>
      <c r="AB47" s="54" t="s">
        <v>290</v>
      </c>
      <c r="AC47" s="54" t="s">
        <v>290</v>
      </c>
      <c r="AD47" s="54" t="s">
        <v>290</v>
      </c>
      <c r="AE47" s="54" t="s">
        <v>290</v>
      </c>
      <c r="AF47" s="54" t="s">
        <v>291</v>
      </c>
      <c r="AG47" s="54" t="s">
        <v>291</v>
      </c>
      <c r="AH47" s="54" t="s">
        <v>290</v>
      </c>
      <c r="AI47" s="54">
        <v>0.05</v>
      </c>
      <c r="AJ47" s="57" t="s">
        <v>291</v>
      </c>
    </row>
    <row r="48" spans="1:36" x14ac:dyDescent="0.45">
      <c r="A48" s="53">
        <v>54</v>
      </c>
      <c r="B48" s="43">
        <v>746</v>
      </c>
      <c r="C48" s="54" t="s">
        <v>279</v>
      </c>
      <c r="D48" s="54" t="s">
        <v>100</v>
      </c>
      <c r="E48" s="55"/>
      <c r="F48" s="54" t="s">
        <v>444</v>
      </c>
      <c r="G48" s="54" t="s">
        <v>281</v>
      </c>
      <c r="H48" s="54" t="s">
        <v>303</v>
      </c>
      <c r="I48" s="54" t="s">
        <v>444</v>
      </c>
      <c r="J48" s="54" t="s">
        <v>445</v>
      </c>
      <c r="K48" s="54" t="s">
        <v>285</v>
      </c>
      <c r="L48" s="54" t="s">
        <v>305</v>
      </c>
      <c r="M48" s="54" t="s">
        <v>445</v>
      </c>
      <c r="N48" s="54" t="s">
        <v>446</v>
      </c>
      <c r="O48" s="54" t="s">
        <v>286</v>
      </c>
      <c r="P48" s="54" t="s">
        <v>306</v>
      </c>
      <c r="Q48" s="54" t="s">
        <v>446</v>
      </c>
      <c r="R48" s="56">
        <v>1</v>
      </c>
      <c r="S48" s="54">
        <v>1</v>
      </c>
      <c r="T48" s="54" t="s">
        <v>153</v>
      </c>
      <c r="U48" s="54" t="s">
        <v>185</v>
      </c>
      <c r="V48" s="54" t="s">
        <v>287</v>
      </c>
      <c r="W48" s="54" t="s">
        <v>288</v>
      </c>
      <c r="X48" s="54" t="s">
        <v>289</v>
      </c>
      <c r="Y48" s="54"/>
      <c r="Z48" s="54"/>
      <c r="AA48" s="54"/>
      <c r="AB48" s="54" t="s">
        <v>290</v>
      </c>
      <c r="AC48" s="54" t="s">
        <v>290</v>
      </c>
      <c r="AD48" s="54" t="s">
        <v>290</v>
      </c>
      <c r="AE48" s="54" t="s">
        <v>290</v>
      </c>
      <c r="AF48" s="54" t="s">
        <v>291</v>
      </c>
      <c r="AG48" s="54" t="s">
        <v>291</v>
      </c>
      <c r="AH48" s="54" t="s">
        <v>290</v>
      </c>
      <c r="AI48" s="54">
        <v>0.05</v>
      </c>
      <c r="AJ48" s="57" t="s">
        <v>291</v>
      </c>
    </row>
    <row r="49" spans="1:36" x14ac:dyDescent="0.45">
      <c r="A49" s="53">
        <v>55</v>
      </c>
      <c r="B49" s="43">
        <v>747</v>
      </c>
      <c r="C49" s="54" t="s">
        <v>279</v>
      </c>
      <c r="D49" s="54" t="s">
        <v>100</v>
      </c>
      <c r="E49" s="55"/>
      <c r="F49" s="54" t="s">
        <v>447</v>
      </c>
      <c r="G49" s="54" t="s">
        <v>281</v>
      </c>
      <c r="H49" s="54" t="s">
        <v>303</v>
      </c>
      <c r="I49" s="54" t="s">
        <v>447</v>
      </c>
      <c r="J49" s="54" t="s">
        <v>448</v>
      </c>
      <c r="K49" s="54" t="s">
        <v>285</v>
      </c>
      <c r="L49" s="54" t="s">
        <v>305</v>
      </c>
      <c r="M49" s="54" t="s">
        <v>448</v>
      </c>
      <c r="N49" s="54" t="s">
        <v>449</v>
      </c>
      <c r="O49" s="54" t="s">
        <v>286</v>
      </c>
      <c r="P49" s="54" t="s">
        <v>306</v>
      </c>
      <c r="Q49" s="54" t="s">
        <v>449</v>
      </c>
      <c r="R49" s="56">
        <v>1</v>
      </c>
      <c r="S49" s="54">
        <v>1</v>
      </c>
      <c r="T49" s="54" t="s">
        <v>153</v>
      </c>
      <c r="U49" s="54" t="s">
        <v>185</v>
      </c>
      <c r="V49" s="54" t="s">
        <v>287</v>
      </c>
      <c r="W49" s="54" t="s">
        <v>288</v>
      </c>
      <c r="X49" s="54" t="s">
        <v>289</v>
      </c>
      <c r="Y49" s="54"/>
      <c r="Z49" s="54"/>
      <c r="AA49" s="54"/>
      <c r="AB49" s="54" t="s">
        <v>290</v>
      </c>
      <c r="AC49" s="54" t="s">
        <v>290</v>
      </c>
      <c r="AD49" s="54" t="s">
        <v>290</v>
      </c>
      <c r="AE49" s="54" t="s">
        <v>290</v>
      </c>
      <c r="AF49" s="54" t="s">
        <v>291</v>
      </c>
      <c r="AG49" s="54" t="s">
        <v>291</v>
      </c>
      <c r="AH49" s="54" t="s">
        <v>290</v>
      </c>
      <c r="AI49" s="54">
        <v>0.05</v>
      </c>
      <c r="AJ49" s="57" t="s">
        <v>291</v>
      </c>
    </row>
    <row r="50" spans="1:36" x14ac:dyDescent="0.45">
      <c r="A50" s="53">
        <v>18</v>
      </c>
      <c r="B50" s="43">
        <v>800</v>
      </c>
      <c r="C50" s="54" t="s">
        <v>279</v>
      </c>
      <c r="D50" s="54" t="s">
        <v>100</v>
      </c>
      <c r="E50" s="55"/>
      <c r="F50" s="54" t="s">
        <v>450</v>
      </c>
      <c r="G50" s="54" t="s">
        <v>281</v>
      </c>
      <c r="H50" s="54" t="s">
        <v>303</v>
      </c>
      <c r="I50" s="54" t="s">
        <v>450</v>
      </c>
      <c r="J50" s="54" t="s">
        <v>451</v>
      </c>
      <c r="K50" s="54" t="s">
        <v>285</v>
      </c>
      <c r="L50" s="54" t="s">
        <v>305</v>
      </c>
      <c r="M50" s="54" t="s">
        <v>451</v>
      </c>
      <c r="N50" s="54" t="s">
        <v>452</v>
      </c>
      <c r="O50" s="54" t="s">
        <v>286</v>
      </c>
      <c r="P50" s="54" t="s">
        <v>306</v>
      </c>
      <c r="Q50" s="54" t="s">
        <v>452</v>
      </c>
      <c r="R50" s="56">
        <v>1</v>
      </c>
      <c r="S50" s="54">
        <v>1</v>
      </c>
      <c r="T50" s="54" t="s">
        <v>153</v>
      </c>
      <c r="U50" s="54" t="s">
        <v>185</v>
      </c>
      <c r="V50" s="54" t="s">
        <v>287</v>
      </c>
      <c r="W50" s="54" t="s">
        <v>453</v>
      </c>
      <c r="X50" s="54" t="s">
        <v>454</v>
      </c>
      <c r="Y50" s="54"/>
      <c r="Z50" s="54"/>
      <c r="AA50" s="54"/>
      <c r="AB50" s="54" t="s">
        <v>290</v>
      </c>
      <c r="AC50" s="54" t="s">
        <v>290</v>
      </c>
      <c r="AD50" s="54" t="s">
        <v>290</v>
      </c>
      <c r="AE50" s="54" t="s">
        <v>290</v>
      </c>
      <c r="AF50" s="54" t="s">
        <v>291</v>
      </c>
      <c r="AG50" s="54" t="s">
        <v>291</v>
      </c>
      <c r="AH50" s="54" t="s">
        <v>290</v>
      </c>
      <c r="AI50" s="54">
        <v>0</v>
      </c>
      <c r="AJ50" s="57" t="s">
        <v>291</v>
      </c>
    </row>
    <row r="51" spans="1:36" x14ac:dyDescent="0.45">
      <c r="A51" s="53">
        <v>34</v>
      </c>
      <c r="B51" s="43">
        <v>801</v>
      </c>
      <c r="C51" s="54" t="s">
        <v>279</v>
      </c>
      <c r="D51" s="54" t="s">
        <v>100</v>
      </c>
      <c r="E51" s="55"/>
      <c r="F51" s="54" t="s">
        <v>455</v>
      </c>
      <c r="G51" s="54" t="s">
        <v>281</v>
      </c>
      <c r="H51" s="54" t="s">
        <v>303</v>
      </c>
      <c r="I51" s="54" t="s">
        <v>455</v>
      </c>
      <c r="J51" s="54" t="s">
        <v>455</v>
      </c>
      <c r="K51" s="54" t="s">
        <v>285</v>
      </c>
      <c r="L51" s="54" t="s">
        <v>305</v>
      </c>
      <c r="M51" s="54" t="s">
        <v>455</v>
      </c>
      <c r="N51" s="54" t="s">
        <v>456</v>
      </c>
      <c r="O51" s="54" t="s">
        <v>286</v>
      </c>
      <c r="P51" s="54" t="s">
        <v>306</v>
      </c>
      <c r="Q51" s="54" t="s">
        <v>456</v>
      </c>
      <c r="R51" s="56">
        <v>1</v>
      </c>
      <c r="S51" s="54">
        <v>1</v>
      </c>
      <c r="T51" s="54" t="s">
        <v>153</v>
      </c>
      <c r="U51" s="54" t="s">
        <v>185</v>
      </c>
      <c r="V51" s="54" t="s">
        <v>287</v>
      </c>
      <c r="W51" s="54" t="s">
        <v>453</v>
      </c>
      <c r="X51" s="54" t="s">
        <v>454</v>
      </c>
      <c r="Y51" s="54"/>
      <c r="Z51" s="54"/>
      <c r="AA51" s="54"/>
      <c r="AB51" s="54" t="s">
        <v>290</v>
      </c>
      <c r="AC51" s="54" t="s">
        <v>290</v>
      </c>
      <c r="AD51" s="54" t="s">
        <v>290</v>
      </c>
      <c r="AE51" s="54" t="s">
        <v>290</v>
      </c>
      <c r="AF51" s="54" t="s">
        <v>291</v>
      </c>
      <c r="AG51" s="54" t="s">
        <v>291</v>
      </c>
      <c r="AH51" s="54" t="s">
        <v>290</v>
      </c>
      <c r="AI51" s="54">
        <v>0</v>
      </c>
      <c r="AJ51" s="57" t="s">
        <v>291</v>
      </c>
    </row>
    <row r="52" spans="1:36" x14ac:dyDescent="0.45">
      <c r="A52" s="53">
        <v>19</v>
      </c>
      <c r="B52" s="43">
        <v>802</v>
      </c>
      <c r="C52" s="54" t="s">
        <v>279</v>
      </c>
      <c r="D52" s="54" t="s">
        <v>100</v>
      </c>
      <c r="E52" s="55"/>
      <c r="F52" s="54" t="s">
        <v>457</v>
      </c>
      <c r="G52" s="54" t="s">
        <v>281</v>
      </c>
      <c r="H52" s="54" t="s">
        <v>303</v>
      </c>
      <c r="I52" s="54" t="s">
        <v>457</v>
      </c>
      <c r="J52" s="54" t="s">
        <v>458</v>
      </c>
      <c r="K52" s="54" t="s">
        <v>285</v>
      </c>
      <c r="L52" s="54" t="s">
        <v>305</v>
      </c>
      <c r="M52" s="54" t="s">
        <v>458</v>
      </c>
      <c r="N52" s="54" t="s">
        <v>459</v>
      </c>
      <c r="O52" s="54" t="s">
        <v>286</v>
      </c>
      <c r="P52" s="54" t="s">
        <v>306</v>
      </c>
      <c r="Q52" s="54" t="s">
        <v>459</v>
      </c>
      <c r="R52" s="56">
        <v>1</v>
      </c>
      <c r="S52" s="54">
        <v>1</v>
      </c>
      <c r="T52" s="54" t="s">
        <v>153</v>
      </c>
      <c r="U52" s="54" t="s">
        <v>185</v>
      </c>
      <c r="V52" s="54" t="s">
        <v>287</v>
      </c>
      <c r="W52" s="54" t="s">
        <v>453</v>
      </c>
      <c r="X52" s="54" t="s">
        <v>460</v>
      </c>
      <c r="Y52" s="54"/>
      <c r="Z52" s="54"/>
      <c r="AA52" s="54"/>
      <c r="AB52" s="54" t="s">
        <v>290</v>
      </c>
      <c r="AC52" s="54" t="s">
        <v>290</v>
      </c>
      <c r="AD52" s="54" t="s">
        <v>290</v>
      </c>
      <c r="AE52" s="54" t="s">
        <v>290</v>
      </c>
      <c r="AF52" s="54" t="s">
        <v>291</v>
      </c>
      <c r="AG52" s="54" t="s">
        <v>291</v>
      </c>
      <c r="AH52" s="54" t="s">
        <v>290</v>
      </c>
      <c r="AI52" s="54">
        <v>0</v>
      </c>
      <c r="AJ52" s="57" t="s">
        <v>291</v>
      </c>
    </row>
    <row r="53" spans="1:36" x14ac:dyDescent="0.45">
      <c r="A53" s="53">
        <v>20</v>
      </c>
      <c r="B53" s="43">
        <v>803</v>
      </c>
      <c r="C53" s="54" t="s">
        <v>279</v>
      </c>
      <c r="D53" s="54" t="s">
        <v>100</v>
      </c>
      <c r="E53" s="55"/>
      <c r="F53" s="54" t="s">
        <v>461</v>
      </c>
      <c r="G53" s="54" t="s">
        <v>281</v>
      </c>
      <c r="H53" s="54" t="s">
        <v>303</v>
      </c>
      <c r="I53" s="54" t="s">
        <v>461</v>
      </c>
      <c r="J53" s="54" t="s">
        <v>462</v>
      </c>
      <c r="K53" s="54" t="s">
        <v>285</v>
      </c>
      <c r="L53" s="54" t="s">
        <v>305</v>
      </c>
      <c r="M53" s="54" t="s">
        <v>462</v>
      </c>
      <c r="N53" s="54" t="s">
        <v>463</v>
      </c>
      <c r="O53" s="54" t="s">
        <v>286</v>
      </c>
      <c r="P53" s="54" t="s">
        <v>306</v>
      </c>
      <c r="Q53" s="54" t="s">
        <v>463</v>
      </c>
      <c r="R53" s="56">
        <v>1</v>
      </c>
      <c r="S53" s="54">
        <v>1</v>
      </c>
      <c r="T53" s="54" t="s">
        <v>153</v>
      </c>
      <c r="U53" s="54" t="s">
        <v>185</v>
      </c>
      <c r="V53" s="54" t="s">
        <v>287</v>
      </c>
      <c r="W53" s="54" t="s">
        <v>464</v>
      </c>
      <c r="X53" s="54" t="s">
        <v>464</v>
      </c>
      <c r="Y53" s="54"/>
      <c r="Z53" s="54"/>
      <c r="AA53" s="54"/>
      <c r="AB53" s="54" t="s">
        <v>290</v>
      </c>
      <c r="AC53" s="54" t="s">
        <v>290</v>
      </c>
      <c r="AD53" s="54" t="s">
        <v>290</v>
      </c>
      <c r="AE53" s="54" t="s">
        <v>290</v>
      </c>
      <c r="AF53" s="54" t="s">
        <v>291</v>
      </c>
      <c r="AG53" s="54" t="s">
        <v>291</v>
      </c>
      <c r="AH53" s="54" t="s">
        <v>290</v>
      </c>
      <c r="AI53" s="54">
        <v>0</v>
      </c>
      <c r="AJ53" s="57" t="s">
        <v>291</v>
      </c>
    </row>
    <row r="54" spans="1:36" x14ac:dyDescent="0.45">
      <c r="A54" s="53">
        <v>21</v>
      </c>
      <c r="B54" s="43">
        <v>804</v>
      </c>
      <c r="C54" s="54" t="s">
        <v>279</v>
      </c>
      <c r="D54" s="54" t="s">
        <v>100</v>
      </c>
      <c r="E54" s="55"/>
      <c r="F54" s="54" t="s">
        <v>465</v>
      </c>
      <c r="G54" s="54" t="s">
        <v>281</v>
      </c>
      <c r="H54" s="54" t="s">
        <v>466</v>
      </c>
      <c r="I54" s="54" t="s">
        <v>467</v>
      </c>
      <c r="J54" s="54" t="s">
        <v>468</v>
      </c>
      <c r="K54" s="54" t="s">
        <v>285</v>
      </c>
      <c r="L54" s="54" t="s">
        <v>466</v>
      </c>
      <c r="M54" s="54" t="s">
        <v>469</v>
      </c>
      <c r="N54" s="54" t="s">
        <v>470</v>
      </c>
      <c r="O54" s="54" t="s">
        <v>286</v>
      </c>
      <c r="P54" s="54" t="s">
        <v>466</v>
      </c>
      <c r="Q54" s="54" t="s">
        <v>471</v>
      </c>
      <c r="R54" s="56">
        <v>1</v>
      </c>
      <c r="S54" s="54">
        <v>1</v>
      </c>
      <c r="T54" s="54" t="s">
        <v>149</v>
      </c>
      <c r="U54" s="54" t="s">
        <v>185</v>
      </c>
      <c r="V54" s="54" t="s">
        <v>287</v>
      </c>
      <c r="W54" s="54" t="s">
        <v>464</v>
      </c>
      <c r="X54" s="54" t="s">
        <v>464</v>
      </c>
      <c r="Y54" s="54"/>
      <c r="Z54" s="54"/>
      <c r="AA54" s="54"/>
      <c r="AB54" s="54" t="s">
        <v>290</v>
      </c>
      <c r="AC54" s="54" t="s">
        <v>290</v>
      </c>
      <c r="AD54" s="54" t="s">
        <v>290</v>
      </c>
      <c r="AE54" s="54" t="s">
        <v>290</v>
      </c>
      <c r="AF54" s="54" t="s">
        <v>291</v>
      </c>
      <c r="AG54" s="54" t="s">
        <v>291</v>
      </c>
      <c r="AH54" s="54" t="s">
        <v>290</v>
      </c>
      <c r="AI54" s="54">
        <v>0</v>
      </c>
      <c r="AJ54" s="57" t="s">
        <v>291</v>
      </c>
    </row>
    <row r="55" spans="1:36" x14ac:dyDescent="0.45">
      <c r="A55" s="53">
        <v>62</v>
      </c>
      <c r="B55" s="43">
        <v>805</v>
      </c>
      <c r="C55" s="54" t="s">
        <v>279</v>
      </c>
      <c r="D55" s="54" t="s">
        <v>100</v>
      </c>
      <c r="E55" s="55"/>
      <c r="F55" s="54" t="s">
        <v>472</v>
      </c>
      <c r="G55" s="54" t="s">
        <v>281</v>
      </c>
      <c r="H55" s="54" t="s">
        <v>298</v>
      </c>
      <c r="I55" s="54" t="s">
        <v>473</v>
      </c>
      <c r="J55" s="54" t="s">
        <v>474</v>
      </c>
      <c r="K55" s="54" t="s">
        <v>285</v>
      </c>
      <c r="L55" s="54" t="s">
        <v>298</v>
      </c>
      <c r="M55" s="54" t="s">
        <v>475</v>
      </c>
      <c r="N55" s="54" t="s">
        <v>476</v>
      </c>
      <c r="O55" s="54" t="s">
        <v>286</v>
      </c>
      <c r="P55" s="54" t="s">
        <v>298</v>
      </c>
      <c r="Q55" s="54" t="s">
        <v>477</v>
      </c>
      <c r="R55" s="56">
        <v>0.5</v>
      </c>
      <c r="S55" s="54">
        <v>1</v>
      </c>
      <c r="T55" s="54" t="s">
        <v>147</v>
      </c>
      <c r="U55" s="54" t="s">
        <v>185</v>
      </c>
      <c r="V55" s="54" t="s">
        <v>478</v>
      </c>
      <c r="W55" s="54" t="s">
        <v>479</v>
      </c>
      <c r="X55" s="54" t="s">
        <v>479</v>
      </c>
      <c r="Y55" s="54"/>
      <c r="Z55" s="54"/>
      <c r="AA55" s="54"/>
      <c r="AB55" s="54" t="s">
        <v>290</v>
      </c>
      <c r="AC55" s="54" t="s">
        <v>290</v>
      </c>
      <c r="AD55" s="54" t="s">
        <v>290</v>
      </c>
      <c r="AE55" s="54" t="s">
        <v>290</v>
      </c>
      <c r="AF55" s="54" t="s">
        <v>291</v>
      </c>
      <c r="AG55" s="54" t="s">
        <v>291</v>
      </c>
      <c r="AH55" s="54" t="s">
        <v>290</v>
      </c>
      <c r="AI55" s="54">
        <v>0</v>
      </c>
      <c r="AJ55" s="57" t="s">
        <v>291</v>
      </c>
    </row>
    <row r="56" spans="1:36" x14ac:dyDescent="0.45">
      <c r="A56" s="53">
        <v>62</v>
      </c>
      <c r="B56" s="43">
        <v>806</v>
      </c>
      <c r="C56" s="54" t="s">
        <v>279</v>
      </c>
      <c r="D56" s="54" t="s">
        <v>100</v>
      </c>
      <c r="E56" s="55"/>
      <c r="F56" s="54" t="s">
        <v>472</v>
      </c>
      <c r="G56" s="54" t="s">
        <v>281</v>
      </c>
      <c r="H56" s="54" t="s">
        <v>348</v>
      </c>
      <c r="I56" s="54" t="s">
        <v>480</v>
      </c>
      <c r="J56" s="54" t="s">
        <v>474</v>
      </c>
      <c r="K56" s="54" t="s">
        <v>285</v>
      </c>
      <c r="L56" s="54" t="s">
        <v>348</v>
      </c>
      <c r="M56" s="54" t="s">
        <v>481</v>
      </c>
      <c r="N56" s="54" t="s">
        <v>476</v>
      </c>
      <c r="O56" s="54" t="s">
        <v>286</v>
      </c>
      <c r="P56" s="54" t="s">
        <v>348</v>
      </c>
      <c r="Q56" s="54" t="s">
        <v>482</v>
      </c>
      <c r="R56" s="56">
        <v>1</v>
      </c>
      <c r="S56" s="54">
        <v>1</v>
      </c>
      <c r="T56" s="54" t="s">
        <v>147</v>
      </c>
      <c r="U56" s="54" t="s">
        <v>185</v>
      </c>
      <c r="V56" s="54" t="s">
        <v>478</v>
      </c>
      <c r="W56" s="54" t="s">
        <v>479</v>
      </c>
      <c r="X56" s="54" t="s">
        <v>479</v>
      </c>
      <c r="Y56" s="54"/>
      <c r="Z56" s="54"/>
      <c r="AA56" s="54"/>
      <c r="AB56" s="54" t="s">
        <v>290</v>
      </c>
      <c r="AC56" s="54" t="s">
        <v>290</v>
      </c>
      <c r="AD56" s="54" t="s">
        <v>290</v>
      </c>
      <c r="AE56" s="54" t="s">
        <v>290</v>
      </c>
      <c r="AF56" s="54" t="s">
        <v>291</v>
      </c>
      <c r="AG56" s="54" t="s">
        <v>291</v>
      </c>
      <c r="AH56" s="54" t="s">
        <v>290</v>
      </c>
      <c r="AI56" s="54">
        <v>0</v>
      </c>
      <c r="AJ56" s="57" t="s">
        <v>291</v>
      </c>
    </row>
    <row r="57" spans="1:36" x14ac:dyDescent="0.45">
      <c r="A57" s="53">
        <v>64</v>
      </c>
      <c r="B57" s="43">
        <v>807</v>
      </c>
      <c r="C57" s="54" t="s">
        <v>279</v>
      </c>
      <c r="D57" s="54" t="s">
        <v>100</v>
      </c>
      <c r="E57" s="55"/>
      <c r="F57" s="54" t="s">
        <v>483</v>
      </c>
      <c r="G57" s="54" t="s">
        <v>281</v>
      </c>
      <c r="H57" s="54" t="s">
        <v>484</v>
      </c>
      <c r="I57" s="54" t="s">
        <v>485</v>
      </c>
      <c r="J57" s="54" t="s">
        <v>486</v>
      </c>
      <c r="K57" s="54" t="s">
        <v>285</v>
      </c>
      <c r="L57" s="54" t="s">
        <v>484</v>
      </c>
      <c r="M57" s="54" t="s">
        <v>487</v>
      </c>
      <c r="N57" s="54" t="s">
        <v>488</v>
      </c>
      <c r="O57" s="54" t="s">
        <v>286</v>
      </c>
      <c r="P57" s="54" t="s">
        <v>484</v>
      </c>
      <c r="Q57" s="54" t="s">
        <v>489</v>
      </c>
      <c r="R57" s="56">
        <v>0.5</v>
      </c>
      <c r="S57" s="54">
        <v>1</v>
      </c>
      <c r="T57" s="54" t="s">
        <v>149</v>
      </c>
      <c r="U57" s="54" t="s">
        <v>185</v>
      </c>
      <c r="V57" s="54" t="s">
        <v>478</v>
      </c>
      <c r="W57" s="54" t="s">
        <v>490</v>
      </c>
      <c r="X57" s="54" t="s">
        <v>490</v>
      </c>
      <c r="Y57" s="54"/>
      <c r="Z57" s="54"/>
      <c r="AA57" s="54"/>
      <c r="AB57" s="54" t="s">
        <v>290</v>
      </c>
      <c r="AC57" s="54" t="s">
        <v>290</v>
      </c>
      <c r="AD57" s="54" t="s">
        <v>290</v>
      </c>
      <c r="AE57" s="54" t="s">
        <v>290</v>
      </c>
      <c r="AF57" s="54" t="s">
        <v>291</v>
      </c>
      <c r="AG57" s="54" t="s">
        <v>291</v>
      </c>
      <c r="AH57" s="54" t="s">
        <v>290</v>
      </c>
      <c r="AI57" s="54">
        <v>0</v>
      </c>
      <c r="AJ57" s="57" t="s">
        <v>291</v>
      </c>
    </row>
    <row r="58" spans="1:36" x14ac:dyDescent="0.45">
      <c r="A58" s="53">
        <v>64</v>
      </c>
      <c r="B58" s="43">
        <v>808</v>
      </c>
      <c r="C58" s="54" t="s">
        <v>279</v>
      </c>
      <c r="D58" s="54" t="s">
        <v>100</v>
      </c>
      <c r="E58" s="55"/>
      <c r="F58" s="54" t="s">
        <v>483</v>
      </c>
      <c r="G58" s="54" t="s">
        <v>281</v>
      </c>
      <c r="H58" s="54" t="s">
        <v>466</v>
      </c>
      <c r="I58" s="54" t="s">
        <v>491</v>
      </c>
      <c r="J58" s="54" t="s">
        <v>486</v>
      </c>
      <c r="K58" s="54" t="s">
        <v>285</v>
      </c>
      <c r="L58" s="54" t="s">
        <v>466</v>
      </c>
      <c r="M58" s="54" t="s">
        <v>492</v>
      </c>
      <c r="N58" s="54" t="s">
        <v>488</v>
      </c>
      <c r="O58" s="54" t="s">
        <v>286</v>
      </c>
      <c r="P58" s="54" t="s">
        <v>466</v>
      </c>
      <c r="Q58" s="54" t="s">
        <v>493</v>
      </c>
      <c r="R58" s="56">
        <v>1</v>
      </c>
      <c r="S58" s="54">
        <v>1</v>
      </c>
      <c r="T58" s="54" t="s">
        <v>149</v>
      </c>
      <c r="U58" s="54" t="s">
        <v>185</v>
      </c>
      <c r="V58" s="54" t="s">
        <v>478</v>
      </c>
      <c r="W58" s="54" t="s">
        <v>490</v>
      </c>
      <c r="X58" s="54" t="s">
        <v>490</v>
      </c>
      <c r="Y58" s="54"/>
      <c r="Z58" s="54"/>
      <c r="AA58" s="54"/>
      <c r="AB58" s="54" t="s">
        <v>290</v>
      </c>
      <c r="AC58" s="54" t="s">
        <v>290</v>
      </c>
      <c r="AD58" s="54" t="s">
        <v>290</v>
      </c>
      <c r="AE58" s="54" t="s">
        <v>290</v>
      </c>
      <c r="AF58" s="54" t="s">
        <v>291</v>
      </c>
      <c r="AG58" s="54" t="s">
        <v>291</v>
      </c>
      <c r="AH58" s="54" t="s">
        <v>290</v>
      </c>
      <c r="AI58" s="54">
        <v>0</v>
      </c>
      <c r="AJ58" s="57" t="s">
        <v>291</v>
      </c>
    </row>
    <row r="59" spans="1:36" x14ac:dyDescent="0.45">
      <c r="A59" s="53">
        <v>63</v>
      </c>
      <c r="B59" s="43">
        <v>809</v>
      </c>
      <c r="C59" s="54" t="s">
        <v>279</v>
      </c>
      <c r="D59" s="54" t="s">
        <v>100</v>
      </c>
      <c r="E59" s="55"/>
      <c r="F59" s="54" t="s">
        <v>494</v>
      </c>
      <c r="G59" s="54" t="s">
        <v>281</v>
      </c>
      <c r="H59" s="54" t="s">
        <v>303</v>
      </c>
      <c r="I59" s="54" t="s">
        <v>494</v>
      </c>
      <c r="J59" s="54" t="s">
        <v>495</v>
      </c>
      <c r="K59" s="54" t="s">
        <v>285</v>
      </c>
      <c r="L59" s="54" t="s">
        <v>305</v>
      </c>
      <c r="M59" s="54" t="s">
        <v>495</v>
      </c>
      <c r="N59" s="54" t="s">
        <v>496</v>
      </c>
      <c r="O59" s="54" t="s">
        <v>286</v>
      </c>
      <c r="P59" s="54" t="s">
        <v>306</v>
      </c>
      <c r="Q59" s="54" t="s">
        <v>496</v>
      </c>
      <c r="R59" s="56">
        <v>1</v>
      </c>
      <c r="S59" s="54">
        <v>1</v>
      </c>
      <c r="T59" s="54" t="s">
        <v>153</v>
      </c>
      <c r="U59" s="54" t="s">
        <v>185</v>
      </c>
      <c r="V59" s="54" t="s">
        <v>478</v>
      </c>
      <c r="W59" s="54" t="s">
        <v>497</v>
      </c>
      <c r="X59" s="54" t="s">
        <v>497</v>
      </c>
      <c r="Y59" s="54"/>
      <c r="Z59" s="54"/>
      <c r="AA59" s="54"/>
      <c r="AB59" s="54" t="s">
        <v>290</v>
      </c>
      <c r="AC59" s="54" t="s">
        <v>290</v>
      </c>
      <c r="AD59" s="54" t="s">
        <v>290</v>
      </c>
      <c r="AE59" s="54" t="s">
        <v>290</v>
      </c>
      <c r="AF59" s="54" t="s">
        <v>291</v>
      </c>
      <c r="AG59" s="54" t="s">
        <v>291</v>
      </c>
      <c r="AH59" s="54" t="s">
        <v>290</v>
      </c>
      <c r="AI59" s="54">
        <v>0.05</v>
      </c>
      <c r="AJ59" s="57" t="s">
        <v>291</v>
      </c>
    </row>
    <row r="60" spans="1:36" x14ac:dyDescent="0.45">
      <c r="A60" s="53">
        <v>56</v>
      </c>
      <c r="B60" s="43">
        <v>810</v>
      </c>
      <c r="C60" s="54" t="s">
        <v>279</v>
      </c>
      <c r="D60" s="54" t="s">
        <v>100</v>
      </c>
      <c r="E60" s="55"/>
      <c r="F60" s="54" t="s">
        <v>498</v>
      </c>
      <c r="G60" s="54" t="s">
        <v>281</v>
      </c>
      <c r="H60" s="54" t="s">
        <v>499</v>
      </c>
      <c r="I60" s="54" t="s">
        <v>500</v>
      </c>
      <c r="J60" s="54" t="s">
        <v>501</v>
      </c>
      <c r="K60" s="54" t="s">
        <v>285</v>
      </c>
      <c r="L60" s="54" t="s">
        <v>499</v>
      </c>
      <c r="M60" s="54" t="s">
        <v>502</v>
      </c>
      <c r="N60" s="54" t="s">
        <v>503</v>
      </c>
      <c r="O60" s="54" t="s">
        <v>286</v>
      </c>
      <c r="P60" s="54" t="s">
        <v>499</v>
      </c>
      <c r="Q60" s="54" t="s">
        <v>504</v>
      </c>
      <c r="R60" s="56">
        <v>0.1</v>
      </c>
      <c r="S60" s="54">
        <v>1</v>
      </c>
      <c r="T60" s="54" t="s">
        <v>146</v>
      </c>
      <c r="U60" s="54" t="s">
        <v>185</v>
      </c>
      <c r="V60" s="54" t="s">
        <v>478</v>
      </c>
      <c r="W60" s="54" t="s">
        <v>505</v>
      </c>
      <c r="X60" s="54" t="s">
        <v>505</v>
      </c>
      <c r="Y60" s="54"/>
      <c r="Z60" s="54"/>
      <c r="AA60" s="54"/>
      <c r="AB60" s="54" t="s">
        <v>290</v>
      </c>
      <c r="AC60" s="54" t="s">
        <v>290</v>
      </c>
      <c r="AD60" s="54" t="s">
        <v>290</v>
      </c>
      <c r="AE60" s="54" t="s">
        <v>290</v>
      </c>
      <c r="AF60" s="54" t="s">
        <v>291</v>
      </c>
      <c r="AG60" s="54" t="s">
        <v>291</v>
      </c>
      <c r="AH60" s="54" t="s">
        <v>290</v>
      </c>
      <c r="AI60" s="54">
        <v>0.05</v>
      </c>
      <c r="AJ60" s="57" t="s">
        <v>291</v>
      </c>
    </row>
    <row r="61" spans="1:36" x14ac:dyDescent="0.45">
      <c r="A61" s="53">
        <v>56</v>
      </c>
      <c r="B61" s="43">
        <v>811</v>
      </c>
      <c r="C61" s="54" t="s">
        <v>279</v>
      </c>
      <c r="D61" s="54" t="s">
        <v>100</v>
      </c>
      <c r="E61" s="55"/>
      <c r="F61" s="54" t="s">
        <v>498</v>
      </c>
      <c r="G61" s="54" t="s">
        <v>281</v>
      </c>
      <c r="H61" s="54" t="s">
        <v>282</v>
      </c>
      <c r="I61" s="54" t="s">
        <v>506</v>
      </c>
      <c r="J61" s="54" t="s">
        <v>501</v>
      </c>
      <c r="K61" s="54" t="s">
        <v>285</v>
      </c>
      <c r="L61" s="54" t="s">
        <v>282</v>
      </c>
      <c r="M61" s="54" t="s">
        <v>507</v>
      </c>
      <c r="N61" s="54" t="s">
        <v>503</v>
      </c>
      <c r="O61" s="54" t="s">
        <v>286</v>
      </c>
      <c r="P61" s="54" t="s">
        <v>282</v>
      </c>
      <c r="Q61" s="54" t="s">
        <v>508</v>
      </c>
      <c r="R61" s="56">
        <v>0.25</v>
      </c>
      <c r="S61" s="54">
        <v>1</v>
      </c>
      <c r="T61" s="54" t="s">
        <v>146</v>
      </c>
      <c r="U61" s="54" t="s">
        <v>185</v>
      </c>
      <c r="V61" s="54" t="s">
        <v>478</v>
      </c>
      <c r="W61" s="54" t="s">
        <v>505</v>
      </c>
      <c r="X61" s="54" t="s">
        <v>505</v>
      </c>
      <c r="Y61" s="54"/>
      <c r="Z61" s="54"/>
      <c r="AA61" s="54"/>
      <c r="AB61" s="54" t="s">
        <v>290</v>
      </c>
      <c r="AC61" s="54" t="s">
        <v>290</v>
      </c>
      <c r="AD61" s="54" t="s">
        <v>290</v>
      </c>
      <c r="AE61" s="54" t="s">
        <v>290</v>
      </c>
      <c r="AF61" s="54" t="s">
        <v>291</v>
      </c>
      <c r="AG61" s="54" t="s">
        <v>291</v>
      </c>
      <c r="AH61" s="54" t="s">
        <v>290</v>
      </c>
      <c r="AI61" s="54">
        <v>0.05</v>
      </c>
      <c r="AJ61" s="57" t="s">
        <v>291</v>
      </c>
    </row>
    <row r="62" spans="1:36" x14ac:dyDescent="0.45">
      <c r="A62" s="53">
        <v>57</v>
      </c>
      <c r="B62" s="43">
        <v>812</v>
      </c>
      <c r="C62" s="54" t="s">
        <v>279</v>
      </c>
      <c r="D62" s="54" t="s">
        <v>100</v>
      </c>
      <c r="E62" s="55"/>
      <c r="F62" s="54" t="s">
        <v>509</v>
      </c>
      <c r="G62" s="54" t="s">
        <v>281</v>
      </c>
      <c r="H62" s="54" t="s">
        <v>303</v>
      </c>
      <c r="I62" s="54" t="s">
        <v>509</v>
      </c>
      <c r="J62" s="54" t="s">
        <v>510</v>
      </c>
      <c r="K62" s="54" t="s">
        <v>285</v>
      </c>
      <c r="L62" s="54" t="s">
        <v>305</v>
      </c>
      <c r="M62" s="54" t="s">
        <v>510</v>
      </c>
      <c r="N62" s="54" t="s">
        <v>511</v>
      </c>
      <c r="O62" s="54" t="s">
        <v>286</v>
      </c>
      <c r="P62" s="54" t="s">
        <v>306</v>
      </c>
      <c r="Q62" s="54" t="s">
        <v>511</v>
      </c>
      <c r="R62" s="56">
        <v>1</v>
      </c>
      <c r="S62" s="54">
        <v>1</v>
      </c>
      <c r="T62" s="54" t="s">
        <v>153</v>
      </c>
      <c r="U62" s="54" t="s">
        <v>185</v>
      </c>
      <c r="V62" s="54" t="s">
        <v>478</v>
      </c>
      <c r="W62" s="54" t="s">
        <v>505</v>
      </c>
      <c r="X62" s="54" t="s">
        <v>505</v>
      </c>
      <c r="Y62" s="54"/>
      <c r="Z62" s="54"/>
      <c r="AA62" s="54"/>
      <c r="AB62" s="54" t="s">
        <v>290</v>
      </c>
      <c r="AC62" s="54" t="s">
        <v>290</v>
      </c>
      <c r="AD62" s="54" t="s">
        <v>290</v>
      </c>
      <c r="AE62" s="54" t="s">
        <v>290</v>
      </c>
      <c r="AF62" s="54" t="s">
        <v>291</v>
      </c>
      <c r="AG62" s="54" t="s">
        <v>291</v>
      </c>
      <c r="AH62" s="54" t="s">
        <v>290</v>
      </c>
      <c r="AI62" s="54">
        <v>0</v>
      </c>
      <c r="AJ62" s="57" t="s">
        <v>291</v>
      </c>
    </row>
    <row r="63" spans="1:36" x14ac:dyDescent="0.45">
      <c r="A63" s="53">
        <v>58</v>
      </c>
      <c r="B63" s="43">
        <v>813</v>
      </c>
      <c r="C63" s="54" t="s">
        <v>279</v>
      </c>
      <c r="D63" s="54" t="s">
        <v>100</v>
      </c>
      <c r="E63" s="55"/>
      <c r="F63" s="54" t="s">
        <v>512</v>
      </c>
      <c r="G63" s="54" t="s">
        <v>281</v>
      </c>
      <c r="H63" s="54" t="s">
        <v>282</v>
      </c>
      <c r="I63" s="54" t="s">
        <v>513</v>
      </c>
      <c r="J63" s="54" t="s">
        <v>514</v>
      </c>
      <c r="K63" s="54" t="s">
        <v>285</v>
      </c>
      <c r="L63" s="54" t="s">
        <v>282</v>
      </c>
      <c r="M63" s="54" t="s">
        <v>515</v>
      </c>
      <c r="N63" s="54" t="s">
        <v>516</v>
      </c>
      <c r="O63" s="54" t="s">
        <v>286</v>
      </c>
      <c r="P63" s="54" t="s">
        <v>282</v>
      </c>
      <c r="Q63" s="54" t="s">
        <v>517</v>
      </c>
      <c r="R63" s="56">
        <v>0.25</v>
      </c>
      <c r="S63" s="54">
        <v>1</v>
      </c>
      <c r="T63" s="54" t="s">
        <v>146</v>
      </c>
      <c r="U63" s="54" t="s">
        <v>185</v>
      </c>
      <c r="V63" s="54" t="s">
        <v>478</v>
      </c>
      <c r="W63" s="54" t="s">
        <v>505</v>
      </c>
      <c r="X63" s="54" t="s">
        <v>505</v>
      </c>
      <c r="Y63" s="54"/>
      <c r="Z63" s="54"/>
      <c r="AA63" s="54"/>
      <c r="AB63" s="54" t="s">
        <v>290</v>
      </c>
      <c r="AC63" s="54" t="s">
        <v>290</v>
      </c>
      <c r="AD63" s="54" t="s">
        <v>290</v>
      </c>
      <c r="AE63" s="54" t="s">
        <v>290</v>
      </c>
      <c r="AF63" s="54" t="s">
        <v>291</v>
      </c>
      <c r="AG63" s="54" t="s">
        <v>291</v>
      </c>
      <c r="AH63" s="54" t="s">
        <v>290</v>
      </c>
      <c r="AI63" s="54">
        <v>0</v>
      </c>
      <c r="AJ63" s="57" t="s">
        <v>291</v>
      </c>
    </row>
    <row r="64" spans="1:36" x14ac:dyDescent="0.45">
      <c r="A64" s="53">
        <v>59</v>
      </c>
      <c r="B64" s="43">
        <v>814</v>
      </c>
      <c r="C64" s="54" t="s">
        <v>279</v>
      </c>
      <c r="D64" s="54" t="s">
        <v>100</v>
      </c>
      <c r="E64" s="55"/>
      <c r="F64" s="54" t="s">
        <v>512</v>
      </c>
      <c r="G64" s="54" t="s">
        <v>281</v>
      </c>
      <c r="H64" s="54" t="s">
        <v>298</v>
      </c>
      <c r="I64" s="54" t="s">
        <v>518</v>
      </c>
      <c r="J64" s="54" t="s">
        <v>514</v>
      </c>
      <c r="K64" s="54" t="s">
        <v>285</v>
      </c>
      <c r="L64" s="54" t="s">
        <v>298</v>
      </c>
      <c r="M64" s="54" t="s">
        <v>519</v>
      </c>
      <c r="N64" s="54" t="s">
        <v>516</v>
      </c>
      <c r="O64" s="54" t="s">
        <v>286</v>
      </c>
      <c r="P64" s="54" t="s">
        <v>298</v>
      </c>
      <c r="Q64" s="54" t="s">
        <v>520</v>
      </c>
      <c r="R64" s="56">
        <v>0.5</v>
      </c>
      <c r="S64" s="54">
        <v>1</v>
      </c>
      <c r="T64" s="54" t="s">
        <v>146</v>
      </c>
      <c r="U64" s="54" t="s">
        <v>185</v>
      </c>
      <c r="V64" s="54" t="s">
        <v>478</v>
      </c>
      <c r="W64" s="54" t="s">
        <v>505</v>
      </c>
      <c r="X64" s="54" t="s">
        <v>505</v>
      </c>
      <c r="Y64" s="54"/>
      <c r="Z64" s="54"/>
      <c r="AA64" s="54"/>
      <c r="AB64" s="54" t="s">
        <v>290</v>
      </c>
      <c r="AC64" s="54" t="s">
        <v>290</v>
      </c>
      <c r="AD64" s="54" t="s">
        <v>290</v>
      </c>
      <c r="AE64" s="54" t="s">
        <v>290</v>
      </c>
      <c r="AF64" s="54" t="s">
        <v>291</v>
      </c>
      <c r="AG64" s="54" t="s">
        <v>291</v>
      </c>
      <c r="AH64" s="54" t="s">
        <v>290</v>
      </c>
      <c r="AI64" s="54">
        <v>0</v>
      </c>
      <c r="AJ64" s="57" t="s">
        <v>291</v>
      </c>
    </row>
    <row r="65" spans="1:36" x14ac:dyDescent="0.45">
      <c r="A65" s="53">
        <v>61</v>
      </c>
      <c r="B65" s="43">
        <v>815</v>
      </c>
      <c r="C65" s="54" t="s">
        <v>279</v>
      </c>
      <c r="D65" s="54" t="s">
        <v>100</v>
      </c>
      <c r="E65" s="55"/>
      <c r="F65" s="54" t="s">
        <v>521</v>
      </c>
      <c r="G65" s="54" t="s">
        <v>281</v>
      </c>
      <c r="H65" s="54" t="s">
        <v>522</v>
      </c>
      <c r="I65" s="54" t="s">
        <v>523</v>
      </c>
      <c r="J65" s="54" t="s">
        <v>524</v>
      </c>
      <c r="K65" s="54" t="s">
        <v>285</v>
      </c>
      <c r="L65" s="54" t="s">
        <v>522</v>
      </c>
      <c r="M65" s="54" t="s">
        <v>525</v>
      </c>
      <c r="N65" s="54" t="s">
        <v>526</v>
      </c>
      <c r="O65" s="54" t="s">
        <v>286</v>
      </c>
      <c r="P65" s="54" t="s">
        <v>522</v>
      </c>
      <c r="Q65" s="54" t="s">
        <v>527</v>
      </c>
      <c r="R65" s="56">
        <v>0.15</v>
      </c>
      <c r="S65" s="54">
        <v>1</v>
      </c>
      <c r="T65" s="54" t="s">
        <v>146</v>
      </c>
      <c r="U65" s="54" t="s">
        <v>185</v>
      </c>
      <c r="V65" s="54" t="s">
        <v>478</v>
      </c>
      <c r="W65" s="54" t="s">
        <v>505</v>
      </c>
      <c r="X65" s="54" t="s">
        <v>505</v>
      </c>
      <c r="Y65" s="54"/>
      <c r="Z65" s="54"/>
      <c r="AA65" s="54"/>
      <c r="AB65" s="54" t="s">
        <v>290</v>
      </c>
      <c r="AC65" s="54" t="s">
        <v>290</v>
      </c>
      <c r="AD65" s="54" t="s">
        <v>290</v>
      </c>
      <c r="AE65" s="54" t="s">
        <v>290</v>
      </c>
      <c r="AF65" s="54" t="s">
        <v>291</v>
      </c>
      <c r="AG65" s="54" t="s">
        <v>291</v>
      </c>
      <c r="AH65" s="54" t="s">
        <v>290</v>
      </c>
      <c r="AI65" s="54">
        <v>0</v>
      </c>
      <c r="AJ65" s="57" t="s">
        <v>291</v>
      </c>
    </row>
    <row r="66" spans="1:36" x14ac:dyDescent="0.45">
      <c r="A66" s="53">
        <v>61</v>
      </c>
      <c r="B66" s="43">
        <v>816</v>
      </c>
      <c r="C66" s="54" t="s">
        <v>279</v>
      </c>
      <c r="D66" s="54" t="s">
        <v>100</v>
      </c>
      <c r="E66" s="55"/>
      <c r="F66" s="54" t="s">
        <v>521</v>
      </c>
      <c r="G66" s="54" t="s">
        <v>281</v>
      </c>
      <c r="H66" s="54" t="s">
        <v>282</v>
      </c>
      <c r="I66" s="54" t="s">
        <v>528</v>
      </c>
      <c r="J66" s="54" t="s">
        <v>524</v>
      </c>
      <c r="K66" s="54" t="s">
        <v>285</v>
      </c>
      <c r="L66" s="54" t="s">
        <v>282</v>
      </c>
      <c r="M66" s="54" t="s">
        <v>529</v>
      </c>
      <c r="N66" s="54" t="s">
        <v>526</v>
      </c>
      <c r="O66" s="54" t="s">
        <v>286</v>
      </c>
      <c r="P66" s="54" t="s">
        <v>282</v>
      </c>
      <c r="Q66" s="54" t="s">
        <v>530</v>
      </c>
      <c r="R66" s="56">
        <v>0.25</v>
      </c>
      <c r="S66" s="54">
        <v>1</v>
      </c>
      <c r="T66" s="54" t="s">
        <v>146</v>
      </c>
      <c r="U66" s="54" t="s">
        <v>185</v>
      </c>
      <c r="V66" s="54" t="s">
        <v>478</v>
      </c>
      <c r="W66" s="54" t="s">
        <v>505</v>
      </c>
      <c r="X66" s="54" t="s">
        <v>505</v>
      </c>
      <c r="Y66" s="54"/>
      <c r="Z66" s="54"/>
      <c r="AA66" s="54"/>
      <c r="AB66" s="54" t="s">
        <v>290</v>
      </c>
      <c r="AC66" s="54" t="s">
        <v>290</v>
      </c>
      <c r="AD66" s="54" t="s">
        <v>290</v>
      </c>
      <c r="AE66" s="54" t="s">
        <v>290</v>
      </c>
      <c r="AF66" s="54" t="s">
        <v>291</v>
      </c>
      <c r="AG66" s="54" t="s">
        <v>291</v>
      </c>
      <c r="AH66" s="54" t="s">
        <v>290</v>
      </c>
      <c r="AI66" s="54">
        <v>0</v>
      </c>
      <c r="AJ66" s="57" t="s">
        <v>291</v>
      </c>
    </row>
    <row r="67" spans="1:36" x14ac:dyDescent="0.45">
      <c r="A67" s="53">
        <v>61</v>
      </c>
      <c r="B67" s="43">
        <v>817</v>
      </c>
      <c r="C67" s="54" t="s">
        <v>279</v>
      </c>
      <c r="D67" s="54" t="s">
        <v>100</v>
      </c>
      <c r="E67" s="55"/>
      <c r="F67" s="54" t="s">
        <v>521</v>
      </c>
      <c r="G67" s="54" t="s">
        <v>281</v>
      </c>
      <c r="H67" s="54" t="s">
        <v>531</v>
      </c>
      <c r="I67" s="54" t="s">
        <v>532</v>
      </c>
      <c r="J67" s="54" t="s">
        <v>524</v>
      </c>
      <c r="K67" s="54" t="s">
        <v>285</v>
      </c>
      <c r="L67" s="54" t="s">
        <v>531</v>
      </c>
      <c r="M67" s="54" t="s">
        <v>533</v>
      </c>
      <c r="N67" s="54" t="s">
        <v>526</v>
      </c>
      <c r="O67" s="54" t="s">
        <v>286</v>
      </c>
      <c r="P67" s="54" t="s">
        <v>531</v>
      </c>
      <c r="Q67" s="54" t="s">
        <v>534</v>
      </c>
      <c r="R67" s="56">
        <v>0.35</v>
      </c>
      <c r="S67" s="54">
        <v>1</v>
      </c>
      <c r="T67" s="54" t="s">
        <v>146</v>
      </c>
      <c r="U67" s="54" t="s">
        <v>185</v>
      </c>
      <c r="V67" s="54" t="s">
        <v>478</v>
      </c>
      <c r="W67" s="54" t="s">
        <v>505</v>
      </c>
      <c r="X67" s="54" t="s">
        <v>505</v>
      </c>
      <c r="Y67" s="54"/>
      <c r="Z67" s="54"/>
      <c r="AA67" s="54"/>
      <c r="AB67" s="54" t="s">
        <v>290</v>
      </c>
      <c r="AC67" s="54" t="s">
        <v>290</v>
      </c>
      <c r="AD67" s="54" t="s">
        <v>290</v>
      </c>
      <c r="AE67" s="54" t="s">
        <v>290</v>
      </c>
      <c r="AF67" s="54" t="s">
        <v>291</v>
      </c>
      <c r="AG67" s="54" t="s">
        <v>291</v>
      </c>
      <c r="AH67" s="54" t="s">
        <v>290</v>
      </c>
      <c r="AI67" s="54">
        <v>0</v>
      </c>
      <c r="AJ67" s="57" t="s">
        <v>291</v>
      </c>
    </row>
    <row r="68" spans="1:36" x14ac:dyDescent="0.45">
      <c r="A68" s="53">
        <v>61</v>
      </c>
      <c r="B68" s="43">
        <v>818</v>
      </c>
      <c r="C68" s="54" t="s">
        <v>279</v>
      </c>
      <c r="D68" s="54" t="s">
        <v>100</v>
      </c>
      <c r="E68" s="55"/>
      <c r="F68" s="54" t="s">
        <v>521</v>
      </c>
      <c r="G68" s="54" t="s">
        <v>281</v>
      </c>
      <c r="H68" s="54" t="s">
        <v>535</v>
      </c>
      <c r="I68" s="54" t="s">
        <v>536</v>
      </c>
      <c r="J68" s="54" t="s">
        <v>524</v>
      </c>
      <c r="K68" s="54" t="s">
        <v>285</v>
      </c>
      <c r="L68" s="54" t="s">
        <v>535</v>
      </c>
      <c r="M68" s="54" t="s">
        <v>537</v>
      </c>
      <c r="N68" s="54" t="s">
        <v>526</v>
      </c>
      <c r="O68" s="54" t="s">
        <v>286</v>
      </c>
      <c r="P68" s="54" t="s">
        <v>535</v>
      </c>
      <c r="Q68" s="54" t="s">
        <v>538</v>
      </c>
      <c r="R68" s="56">
        <v>0.45</v>
      </c>
      <c r="S68" s="54">
        <v>1</v>
      </c>
      <c r="T68" s="54" t="s">
        <v>146</v>
      </c>
      <c r="U68" s="54" t="s">
        <v>185</v>
      </c>
      <c r="V68" s="54" t="s">
        <v>478</v>
      </c>
      <c r="W68" s="54" t="s">
        <v>505</v>
      </c>
      <c r="X68" s="54" t="s">
        <v>505</v>
      </c>
      <c r="Y68" s="54"/>
      <c r="Z68" s="54"/>
      <c r="AA68" s="54"/>
      <c r="AB68" s="54" t="s">
        <v>290</v>
      </c>
      <c r="AC68" s="54" t="s">
        <v>290</v>
      </c>
      <c r="AD68" s="54" t="s">
        <v>290</v>
      </c>
      <c r="AE68" s="54" t="s">
        <v>290</v>
      </c>
      <c r="AF68" s="54" t="s">
        <v>291</v>
      </c>
      <c r="AG68" s="54" t="s">
        <v>291</v>
      </c>
      <c r="AH68" s="54" t="s">
        <v>290</v>
      </c>
      <c r="AI68" s="54">
        <v>0</v>
      </c>
      <c r="AJ68" s="57" t="s">
        <v>291</v>
      </c>
    </row>
    <row r="69" spans="1:36" x14ac:dyDescent="0.45">
      <c r="A69" s="53">
        <v>60</v>
      </c>
      <c r="B69" s="43">
        <v>819</v>
      </c>
      <c r="C69" s="54" t="s">
        <v>279</v>
      </c>
      <c r="D69" s="54" t="s">
        <v>100</v>
      </c>
      <c r="E69" s="55"/>
      <c r="F69" s="54" t="s">
        <v>539</v>
      </c>
      <c r="G69" s="54" t="s">
        <v>281</v>
      </c>
      <c r="H69" s="54" t="s">
        <v>303</v>
      </c>
      <c r="I69" s="54" t="s">
        <v>539</v>
      </c>
      <c r="J69" s="54" t="s">
        <v>540</v>
      </c>
      <c r="K69" s="54" t="s">
        <v>285</v>
      </c>
      <c r="L69" s="54" t="s">
        <v>305</v>
      </c>
      <c r="M69" s="54" t="s">
        <v>540</v>
      </c>
      <c r="N69" s="54" t="s">
        <v>541</v>
      </c>
      <c r="O69" s="54" t="s">
        <v>286</v>
      </c>
      <c r="P69" s="54" t="s">
        <v>306</v>
      </c>
      <c r="Q69" s="54" t="s">
        <v>541</v>
      </c>
      <c r="R69" s="56">
        <v>1</v>
      </c>
      <c r="S69" s="54">
        <v>1</v>
      </c>
      <c r="T69" s="54" t="s">
        <v>153</v>
      </c>
      <c r="U69" s="54" t="s">
        <v>185</v>
      </c>
      <c r="V69" s="54" t="s">
        <v>478</v>
      </c>
      <c r="W69" s="54" t="s">
        <v>542</v>
      </c>
      <c r="X69" s="54" t="s">
        <v>542</v>
      </c>
      <c r="Y69" s="54"/>
      <c r="Z69" s="54"/>
      <c r="AA69" s="54"/>
      <c r="AB69" s="54" t="s">
        <v>290</v>
      </c>
      <c r="AC69" s="54" t="s">
        <v>290</v>
      </c>
      <c r="AD69" s="54" t="s">
        <v>290</v>
      </c>
      <c r="AE69" s="54" t="s">
        <v>290</v>
      </c>
      <c r="AF69" s="54" t="s">
        <v>291</v>
      </c>
      <c r="AG69" s="54" t="s">
        <v>291</v>
      </c>
      <c r="AH69" s="54" t="s">
        <v>290</v>
      </c>
      <c r="AI69" s="54">
        <v>0.05</v>
      </c>
      <c r="AJ69" s="57" t="s">
        <v>291</v>
      </c>
    </row>
    <row r="70" spans="1:36" x14ac:dyDescent="0.45">
      <c r="A70" s="53">
        <v>74</v>
      </c>
      <c r="B70" s="43">
        <v>820</v>
      </c>
      <c r="C70" s="54" t="s">
        <v>279</v>
      </c>
      <c r="D70" s="54" t="s">
        <v>100</v>
      </c>
      <c r="E70" s="55"/>
      <c r="F70" s="54" t="s">
        <v>543</v>
      </c>
      <c r="G70" s="54" t="s">
        <v>281</v>
      </c>
      <c r="H70" s="54" t="s">
        <v>544</v>
      </c>
      <c r="I70" s="54" t="s">
        <v>545</v>
      </c>
      <c r="J70" s="54" t="s">
        <v>546</v>
      </c>
      <c r="K70" s="54" t="s">
        <v>285</v>
      </c>
      <c r="L70" s="54" t="s">
        <v>547</v>
      </c>
      <c r="M70" s="54" t="s">
        <v>548</v>
      </c>
      <c r="N70" s="54" t="s">
        <v>549</v>
      </c>
      <c r="O70" s="54" t="s">
        <v>286</v>
      </c>
      <c r="P70" s="54" t="s">
        <v>550</v>
      </c>
      <c r="Q70" s="54" t="s">
        <v>551</v>
      </c>
      <c r="R70" s="56">
        <v>4</v>
      </c>
      <c r="S70" s="54">
        <v>1</v>
      </c>
      <c r="T70" s="54" t="s">
        <v>153</v>
      </c>
      <c r="U70" s="54" t="s">
        <v>185</v>
      </c>
      <c r="V70" s="54" t="s">
        <v>552</v>
      </c>
      <c r="W70" s="54" t="s">
        <v>553</v>
      </c>
      <c r="X70" s="54" t="s">
        <v>543</v>
      </c>
      <c r="Y70" s="54"/>
      <c r="Z70" s="54"/>
      <c r="AA70" s="54"/>
      <c r="AB70" s="54" t="s">
        <v>290</v>
      </c>
      <c r="AC70" s="54" t="s">
        <v>290</v>
      </c>
      <c r="AD70" s="54" t="s">
        <v>290</v>
      </c>
      <c r="AE70" s="54" t="s">
        <v>290</v>
      </c>
      <c r="AF70" s="54" t="s">
        <v>291</v>
      </c>
      <c r="AG70" s="54" t="s">
        <v>291</v>
      </c>
      <c r="AH70" s="54" t="s">
        <v>290</v>
      </c>
      <c r="AI70" s="54">
        <v>0.05</v>
      </c>
      <c r="AJ70" s="57" t="s">
        <v>291</v>
      </c>
    </row>
    <row r="71" spans="1:36" x14ac:dyDescent="0.45">
      <c r="A71" s="53">
        <v>75</v>
      </c>
      <c r="B71" s="43">
        <v>821</v>
      </c>
      <c r="C71" s="54" t="s">
        <v>279</v>
      </c>
      <c r="D71" s="54" t="s">
        <v>100</v>
      </c>
      <c r="E71" s="55"/>
      <c r="F71" s="54" t="s">
        <v>554</v>
      </c>
      <c r="G71" s="54" t="s">
        <v>281</v>
      </c>
      <c r="H71" s="54" t="s">
        <v>555</v>
      </c>
      <c r="I71" s="54" t="s">
        <v>556</v>
      </c>
      <c r="J71" s="54" t="s">
        <v>546</v>
      </c>
      <c r="K71" s="54" t="s">
        <v>285</v>
      </c>
      <c r="L71" s="54" t="s">
        <v>557</v>
      </c>
      <c r="M71" s="54" t="s">
        <v>558</v>
      </c>
      <c r="N71" s="54" t="s">
        <v>549</v>
      </c>
      <c r="O71" s="54" t="s">
        <v>286</v>
      </c>
      <c r="P71" s="54" t="s">
        <v>559</v>
      </c>
      <c r="Q71" s="54" t="s">
        <v>560</v>
      </c>
      <c r="R71" s="56">
        <v>10</v>
      </c>
      <c r="S71" s="54">
        <v>1</v>
      </c>
      <c r="T71" s="54" t="s">
        <v>153</v>
      </c>
      <c r="U71" s="54" t="s">
        <v>185</v>
      </c>
      <c r="V71" s="54" t="s">
        <v>552</v>
      </c>
      <c r="W71" s="54" t="s">
        <v>553</v>
      </c>
      <c r="X71" s="54" t="s">
        <v>543</v>
      </c>
      <c r="Y71" s="54"/>
      <c r="Z71" s="54"/>
      <c r="AA71" s="54"/>
      <c r="AB71" s="54" t="s">
        <v>290</v>
      </c>
      <c r="AC71" s="54" t="s">
        <v>290</v>
      </c>
      <c r="AD71" s="54" t="s">
        <v>290</v>
      </c>
      <c r="AE71" s="54" t="s">
        <v>290</v>
      </c>
      <c r="AF71" s="54" t="s">
        <v>291</v>
      </c>
      <c r="AG71" s="54" t="s">
        <v>291</v>
      </c>
      <c r="AH71" s="54" t="s">
        <v>290</v>
      </c>
      <c r="AI71" s="54">
        <v>0.05</v>
      </c>
      <c r="AJ71" s="57" t="s">
        <v>291</v>
      </c>
    </row>
    <row r="72" spans="1:36" x14ac:dyDescent="0.45">
      <c r="A72" s="53">
        <v>76</v>
      </c>
      <c r="B72" s="43">
        <v>822</v>
      </c>
      <c r="C72" s="54" t="s">
        <v>279</v>
      </c>
      <c r="D72" s="54" t="s">
        <v>100</v>
      </c>
      <c r="E72" s="55"/>
      <c r="F72" s="54" t="s">
        <v>554</v>
      </c>
      <c r="G72" s="54" t="s">
        <v>281</v>
      </c>
      <c r="H72" s="54" t="s">
        <v>303</v>
      </c>
      <c r="I72" s="54" t="s">
        <v>561</v>
      </c>
      <c r="J72" s="54" t="s">
        <v>562</v>
      </c>
      <c r="K72" s="54" t="s">
        <v>285</v>
      </c>
      <c r="L72" s="54" t="s">
        <v>305</v>
      </c>
      <c r="M72" s="54" t="s">
        <v>563</v>
      </c>
      <c r="N72" s="54" t="s">
        <v>564</v>
      </c>
      <c r="O72" s="54" t="s">
        <v>286</v>
      </c>
      <c r="P72" s="54" t="s">
        <v>306</v>
      </c>
      <c r="Q72" s="54" t="s">
        <v>565</v>
      </c>
      <c r="R72" s="56">
        <v>1</v>
      </c>
      <c r="S72" s="54">
        <v>1</v>
      </c>
      <c r="T72" s="54" t="s">
        <v>153</v>
      </c>
      <c r="U72" s="54" t="s">
        <v>185</v>
      </c>
      <c r="V72" s="54" t="s">
        <v>552</v>
      </c>
      <c r="W72" s="54" t="s">
        <v>553</v>
      </c>
      <c r="X72" s="54" t="s">
        <v>543</v>
      </c>
      <c r="Y72" s="54"/>
      <c r="Z72" s="54"/>
      <c r="AA72" s="54"/>
      <c r="AB72" s="54" t="s">
        <v>290</v>
      </c>
      <c r="AC72" s="54" t="s">
        <v>290</v>
      </c>
      <c r="AD72" s="54" t="s">
        <v>290</v>
      </c>
      <c r="AE72" s="54" t="s">
        <v>290</v>
      </c>
      <c r="AF72" s="54" t="s">
        <v>291</v>
      </c>
      <c r="AG72" s="54" t="s">
        <v>291</v>
      </c>
      <c r="AH72" s="54" t="s">
        <v>290</v>
      </c>
      <c r="AI72" s="54">
        <v>0.05</v>
      </c>
      <c r="AJ72" s="57" t="s">
        <v>291</v>
      </c>
    </row>
    <row r="73" spans="1:36" x14ac:dyDescent="0.45">
      <c r="A73" s="53">
        <v>77</v>
      </c>
      <c r="B73" s="43">
        <v>823</v>
      </c>
      <c r="C73" s="54" t="s">
        <v>279</v>
      </c>
      <c r="D73" s="54" t="s">
        <v>100</v>
      </c>
      <c r="E73" s="55"/>
      <c r="F73" s="54" t="s">
        <v>554</v>
      </c>
      <c r="G73" s="54" t="s">
        <v>281</v>
      </c>
      <c r="H73" s="54" t="s">
        <v>566</v>
      </c>
      <c r="I73" s="54" t="s">
        <v>567</v>
      </c>
      <c r="J73" s="54" t="s">
        <v>546</v>
      </c>
      <c r="K73" s="54" t="s">
        <v>285</v>
      </c>
      <c r="L73" s="54" t="s">
        <v>568</v>
      </c>
      <c r="M73" s="54" t="s">
        <v>569</v>
      </c>
      <c r="N73" s="54" t="s">
        <v>549</v>
      </c>
      <c r="O73" s="54" t="s">
        <v>286</v>
      </c>
      <c r="P73" s="54" t="s">
        <v>570</v>
      </c>
      <c r="Q73" s="54" t="s">
        <v>571</v>
      </c>
      <c r="R73" s="56">
        <v>6</v>
      </c>
      <c r="S73" s="54">
        <v>1</v>
      </c>
      <c r="T73" s="54" t="s">
        <v>153</v>
      </c>
      <c r="U73" s="54" t="s">
        <v>185</v>
      </c>
      <c r="V73" s="54" t="s">
        <v>552</v>
      </c>
      <c r="W73" s="54" t="s">
        <v>553</v>
      </c>
      <c r="X73" s="54" t="s">
        <v>543</v>
      </c>
      <c r="Y73" s="54"/>
      <c r="Z73" s="54"/>
      <c r="AA73" s="54"/>
      <c r="AB73" s="54" t="s">
        <v>290</v>
      </c>
      <c r="AC73" s="54" t="s">
        <v>290</v>
      </c>
      <c r="AD73" s="54" t="s">
        <v>290</v>
      </c>
      <c r="AE73" s="54" t="s">
        <v>290</v>
      </c>
      <c r="AF73" s="54" t="s">
        <v>291</v>
      </c>
      <c r="AG73" s="54" t="s">
        <v>291</v>
      </c>
      <c r="AH73" s="54" t="s">
        <v>290</v>
      </c>
      <c r="AI73" s="54">
        <v>0.05</v>
      </c>
      <c r="AJ73" s="57" t="s">
        <v>291</v>
      </c>
    </row>
    <row r="74" spans="1:36" x14ac:dyDescent="0.45">
      <c r="A74" s="53">
        <v>94</v>
      </c>
      <c r="B74" s="43">
        <v>824</v>
      </c>
      <c r="C74" s="54" t="s">
        <v>279</v>
      </c>
      <c r="D74" s="54" t="s">
        <v>100</v>
      </c>
      <c r="E74" s="55"/>
      <c r="F74" s="54" t="s">
        <v>572</v>
      </c>
      <c r="G74" s="54" t="s">
        <v>281</v>
      </c>
      <c r="H74" s="54" t="s">
        <v>566</v>
      </c>
      <c r="I74" s="54" t="s">
        <v>573</v>
      </c>
      <c r="J74" s="54" t="s">
        <v>574</v>
      </c>
      <c r="K74" s="54" t="s">
        <v>285</v>
      </c>
      <c r="L74" s="54" t="s">
        <v>568</v>
      </c>
      <c r="M74" s="54" t="s">
        <v>575</v>
      </c>
      <c r="N74" s="54" t="s">
        <v>576</v>
      </c>
      <c r="O74" s="54" t="s">
        <v>286</v>
      </c>
      <c r="P74" s="54" t="s">
        <v>570</v>
      </c>
      <c r="Q74" s="54" t="s">
        <v>577</v>
      </c>
      <c r="R74" s="56">
        <v>6</v>
      </c>
      <c r="S74" s="54">
        <v>1</v>
      </c>
      <c r="T74" s="54" t="s">
        <v>153</v>
      </c>
      <c r="U74" s="54" t="s">
        <v>185</v>
      </c>
      <c r="V74" s="54" t="s">
        <v>552</v>
      </c>
      <c r="W74" s="54" t="s">
        <v>553</v>
      </c>
      <c r="X74" s="54" t="s">
        <v>543</v>
      </c>
      <c r="Y74" s="54"/>
      <c r="Z74" s="54"/>
      <c r="AA74" s="54"/>
      <c r="AB74" s="54" t="s">
        <v>290</v>
      </c>
      <c r="AC74" s="54" t="s">
        <v>290</v>
      </c>
      <c r="AD74" s="54" t="s">
        <v>290</v>
      </c>
      <c r="AE74" s="54" t="s">
        <v>290</v>
      </c>
      <c r="AF74" s="54" t="s">
        <v>291</v>
      </c>
      <c r="AG74" s="54" t="s">
        <v>291</v>
      </c>
      <c r="AH74" s="54" t="s">
        <v>290</v>
      </c>
      <c r="AI74" s="54">
        <v>0.05</v>
      </c>
      <c r="AJ74" s="57" t="s">
        <v>291</v>
      </c>
    </row>
    <row r="75" spans="1:36" x14ac:dyDescent="0.45">
      <c r="A75" s="53">
        <v>95</v>
      </c>
      <c r="B75" s="43">
        <v>825</v>
      </c>
      <c r="C75" s="54" t="s">
        <v>279</v>
      </c>
      <c r="D75" s="54" t="s">
        <v>100</v>
      </c>
      <c r="E75" s="55"/>
      <c r="F75" s="54" t="s">
        <v>578</v>
      </c>
      <c r="G75" s="54" t="s">
        <v>281</v>
      </c>
      <c r="H75" s="54" t="s">
        <v>303</v>
      </c>
      <c r="I75" s="54" t="s">
        <v>579</v>
      </c>
      <c r="J75" s="54" t="s">
        <v>580</v>
      </c>
      <c r="K75" s="54" t="s">
        <v>285</v>
      </c>
      <c r="L75" s="54" t="s">
        <v>305</v>
      </c>
      <c r="M75" s="54" t="s">
        <v>581</v>
      </c>
      <c r="N75" s="54" t="s">
        <v>582</v>
      </c>
      <c r="O75" s="54" t="s">
        <v>286</v>
      </c>
      <c r="P75" s="54" t="s">
        <v>306</v>
      </c>
      <c r="Q75" s="54" t="s">
        <v>583</v>
      </c>
      <c r="R75" s="56">
        <v>1</v>
      </c>
      <c r="S75" s="54">
        <v>1</v>
      </c>
      <c r="T75" s="54" t="s">
        <v>153</v>
      </c>
      <c r="U75" s="54" t="s">
        <v>185</v>
      </c>
      <c r="V75" s="54" t="s">
        <v>552</v>
      </c>
      <c r="W75" s="54" t="s">
        <v>553</v>
      </c>
      <c r="X75" s="54" t="s">
        <v>543</v>
      </c>
      <c r="Y75" s="54"/>
      <c r="Z75" s="54"/>
      <c r="AA75" s="54"/>
      <c r="AB75" s="54" t="s">
        <v>290</v>
      </c>
      <c r="AC75" s="54" t="s">
        <v>290</v>
      </c>
      <c r="AD75" s="54" t="s">
        <v>290</v>
      </c>
      <c r="AE75" s="54" t="s">
        <v>290</v>
      </c>
      <c r="AF75" s="54" t="s">
        <v>291</v>
      </c>
      <c r="AG75" s="54" t="s">
        <v>291</v>
      </c>
      <c r="AH75" s="54" t="s">
        <v>290</v>
      </c>
      <c r="AI75" s="54">
        <v>0.05</v>
      </c>
      <c r="AJ75" s="57" t="s">
        <v>291</v>
      </c>
    </row>
    <row r="76" spans="1:36" x14ac:dyDescent="0.45">
      <c r="A76" s="53">
        <v>100</v>
      </c>
      <c r="B76" s="43">
        <v>826</v>
      </c>
      <c r="C76" s="54" t="s">
        <v>279</v>
      </c>
      <c r="D76" s="54" t="s">
        <v>100</v>
      </c>
      <c r="E76" s="55"/>
      <c r="F76" s="54" t="s">
        <v>584</v>
      </c>
      <c r="G76" s="54" t="s">
        <v>281</v>
      </c>
      <c r="H76" s="54" t="s">
        <v>585</v>
      </c>
      <c r="I76" s="54" t="s">
        <v>586</v>
      </c>
      <c r="J76" s="54" t="s">
        <v>587</v>
      </c>
      <c r="K76" s="54" t="s">
        <v>285</v>
      </c>
      <c r="L76" s="54" t="s">
        <v>588</v>
      </c>
      <c r="M76" s="54" t="s">
        <v>589</v>
      </c>
      <c r="N76" s="54" t="s">
        <v>590</v>
      </c>
      <c r="O76" s="54" t="s">
        <v>286</v>
      </c>
      <c r="P76" s="54" t="s">
        <v>591</v>
      </c>
      <c r="Q76" s="54" t="s">
        <v>592</v>
      </c>
      <c r="R76" s="56">
        <v>8</v>
      </c>
      <c r="S76" s="54">
        <v>1</v>
      </c>
      <c r="T76" s="54" t="s">
        <v>153</v>
      </c>
      <c r="U76" s="54" t="s">
        <v>185</v>
      </c>
      <c r="V76" s="54" t="s">
        <v>552</v>
      </c>
      <c r="W76" s="54" t="s">
        <v>553</v>
      </c>
      <c r="X76" s="54" t="s">
        <v>543</v>
      </c>
      <c r="Y76" s="54"/>
      <c r="Z76" s="54"/>
      <c r="AA76" s="54"/>
      <c r="AB76" s="54" t="s">
        <v>290</v>
      </c>
      <c r="AC76" s="54" t="s">
        <v>290</v>
      </c>
      <c r="AD76" s="54" t="s">
        <v>290</v>
      </c>
      <c r="AE76" s="54" t="s">
        <v>290</v>
      </c>
      <c r="AF76" s="54" t="s">
        <v>291</v>
      </c>
      <c r="AG76" s="54" t="s">
        <v>291</v>
      </c>
      <c r="AH76" s="54" t="s">
        <v>290</v>
      </c>
      <c r="AI76" s="54">
        <v>0.05</v>
      </c>
      <c r="AJ76" s="57" t="s">
        <v>291</v>
      </c>
    </row>
    <row r="77" spans="1:36" x14ac:dyDescent="0.45">
      <c r="A77" s="53">
        <v>100</v>
      </c>
      <c r="B77" s="43">
        <v>827</v>
      </c>
      <c r="C77" s="54" t="s">
        <v>279</v>
      </c>
      <c r="D77" s="54" t="s">
        <v>100</v>
      </c>
      <c r="E77" s="55"/>
      <c r="F77" s="54" t="s">
        <v>584</v>
      </c>
      <c r="G77" s="54" t="s">
        <v>281</v>
      </c>
      <c r="H77" s="54" t="s">
        <v>566</v>
      </c>
      <c r="I77" s="54" t="s">
        <v>593</v>
      </c>
      <c r="J77" s="54" t="s">
        <v>587</v>
      </c>
      <c r="K77" s="54" t="s">
        <v>285</v>
      </c>
      <c r="L77" s="54" t="s">
        <v>568</v>
      </c>
      <c r="M77" s="54" t="s">
        <v>594</v>
      </c>
      <c r="N77" s="54" t="s">
        <v>590</v>
      </c>
      <c r="O77" s="54" t="s">
        <v>286</v>
      </c>
      <c r="P77" s="54" t="s">
        <v>570</v>
      </c>
      <c r="Q77" s="54" t="s">
        <v>595</v>
      </c>
      <c r="R77" s="56">
        <v>6</v>
      </c>
      <c r="S77" s="54">
        <v>1</v>
      </c>
      <c r="T77" s="54" t="s">
        <v>153</v>
      </c>
      <c r="U77" s="54" t="s">
        <v>185</v>
      </c>
      <c r="V77" s="54" t="s">
        <v>552</v>
      </c>
      <c r="W77" s="54" t="s">
        <v>553</v>
      </c>
      <c r="X77" s="54" t="s">
        <v>543</v>
      </c>
      <c r="Y77" s="54"/>
      <c r="Z77" s="54"/>
      <c r="AA77" s="54"/>
      <c r="AB77" s="54" t="s">
        <v>290</v>
      </c>
      <c r="AC77" s="54" t="s">
        <v>290</v>
      </c>
      <c r="AD77" s="54" t="s">
        <v>290</v>
      </c>
      <c r="AE77" s="54" t="s">
        <v>290</v>
      </c>
      <c r="AF77" s="54" t="s">
        <v>291</v>
      </c>
      <c r="AG77" s="54" t="s">
        <v>291</v>
      </c>
      <c r="AH77" s="54" t="s">
        <v>290</v>
      </c>
      <c r="AI77" s="54">
        <v>0.05</v>
      </c>
      <c r="AJ77" s="57" t="s">
        <v>291</v>
      </c>
    </row>
    <row r="78" spans="1:36" x14ac:dyDescent="0.45">
      <c r="A78" s="53">
        <v>100</v>
      </c>
      <c r="B78" s="43">
        <v>828</v>
      </c>
      <c r="C78" s="54" t="s">
        <v>279</v>
      </c>
      <c r="D78" s="54" t="s">
        <v>100</v>
      </c>
      <c r="E78" s="55"/>
      <c r="F78" s="54" t="s">
        <v>584</v>
      </c>
      <c r="G78" s="54" t="s">
        <v>281</v>
      </c>
      <c r="H78" s="54" t="s">
        <v>303</v>
      </c>
      <c r="I78" s="54" t="s">
        <v>596</v>
      </c>
      <c r="J78" s="54" t="s">
        <v>587</v>
      </c>
      <c r="K78" s="54" t="s">
        <v>285</v>
      </c>
      <c r="L78" s="54" t="s">
        <v>305</v>
      </c>
      <c r="M78" s="54" t="s">
        <v>587</v>
      </c>
      <c r="N78" s="54" t="s">
        <v>590</v>
      </c>
      <c r="O78" s="54" t="s">
        <v>286</v>
      </c>
      <c r="P78" s="54" t="s">
        <v>306</v>
      </c>
      <c r="Q78" s="54" t="s">
        <v>590</v>
      </c>
      <c r="R78" s="56">
        <v>1</v>
      </c>
      <c r="S78" s="54">
        <v>1</v>
      </c>
      <c r="T78" s="54" t="s">
        <v>153</v>
      </c>
      <c r="U78" s="54" t="s">
        <v>185</v>
      </c>
      <c r="V78" s="54" t="s">
        <v>552</v>
      </c>
      <c r="W78" s="54" t="s">
        <v>553</v>
      </c>
      <c r="X78" s="54" t="s">
        <v>543</v>
      </c>
      <c r="Y78" s="54"/>
      <c r="Z78" s="54"/>
      <c r="AA78" s="54"/>
      <c r="AB78" s="54" t="s">
        <v>290</v>
      </c>
      <c r="AC78" s="54" t="s">
        <v>290</v>
      </c>
      <c r="AD78" s="54" t="s">
        <v>290</v>
      </c>
      <c r="AE78" s="54" t="s">
        <v>290</v>
      </c>
      <c r="AF78" s="54" t="s">
        <v>291</v>
      </c>
      <c r="AG78" s="54" t="s">
        <v>291</v>
      </c>
      <c r="AH78" s="54" t="s">
        <v>290</v>
      </c>
      <c r="AI78" s="54">
        <v>0.05</v>
      </c>
      <c r="AJ78" s="57" t="s">
        <v>291</v>
      </c>
    </row>
    <row r="79" spans="1:36" x14ac:dyDescent="0.45">
      <c r="A79" s="53">
        <v>73</v>
      </c>
      <c r="B79" s="54">
        <v>829</v>
      </c>
      <c r="C79" s="54" t="s">
        <v>597</v>
      </c>
      <c r="D79" s="54" t="s">
        <v>100</v>
      </c>
      <c r="E79" s="55"/>
      <c r="F79" s="54" t="s">
        <v>598</v>
      </c>
      <c r="G79" s="54" t="s">
        <v>281</v>
      </c>
      <c r="H79" s="54" t="s">
        <v>303</v>
      </c>
      <c r="I79" s="54" t="s">
        <v>598</v>
      </c>
      <c r="J79" s="54" t="s">
        <v>599</v>
      </c>
      <c r="K79" s="54" t="s">
        <v>285</v>
      </c>
      <c r="L79" s="54" t="s">
        <v>305</v>
      </c>
      <c r="M79" s="54" t="s">
        <v>599</v>
      </c>
      <c r="N79" s="54" t="s">
        <v>600</v>
      </c>
      <c r="O79" s="54" t="s">
        <v>286</v>
      </c>
      <c r="P79" s="54" t="s">
        <v>306</v>
      </c>
      <c r="Q79" s="54" t="s">
        <v>600</v>
      </c>
      <c r="R79" s="56">
        <v>1</v>
      </c>
      <c r="S79" s="54">
        <v>100</v>
      </c>
      <c r="T79" s="54" t="s">
        <v>146</v>
      </c>
      <c r="U79" s="54" t="s">
        <v>185</v>
      </c>
      <c r="V79" s="54" t="s">
        <v>552</v>
      </c>
      <c r="W79" s="54" t="s">
        <v>601</v>
      </c>
      <c r="X79" s="54" t="s">
        <v>602</v>
      </c>
      <c r="Y79" s="54"/>
      <c r="Z79" s="54"/>
      <c r="AA79" s="54"/>
      <c r="AB79" s="54" t="s">
        <v>290</v>
      </c>
      <c r="AC79" s="54" t="s">
        <v>290</v>
      </c>
      <c r="AD79" s="54" t="s">
        <v>290</v>
      </c>
      <c r="AE79" s="54" t="s">
        <v>290</v>
      </c>
      <c r="AF79" s="54" t="s">
        <v>291</v>
      </c>
      <c r="AG79" s="54" t="s">
        <v>291</v>
      </c>
      <c r="AH79" s="54" t="s">
        <v>290</v>
      </c>
      <c r="AI79" s="54">
        <v>0.05</v>
      </c>
      <c r="AJ79" s="57" t="s">
        <v>291</v>
      </c>
    </row>
    <row r="80" spans="1:36" x14ac:dyDescent="0.45">
      <c r="A80" s="53">
        <v>98</v>
      </c>
      <c r="B80" s="54">
        <v>830</v>
      </c>
      <c r="C80" s="54" t="s">
        <v>597</v>
      </c>
      <c r="D80" s="54" t="s">
        <v>100</v>
      </c>
      <c r="E80" s="55"/>
      <c r="F80" s="54" t="s">
        <v>603</v>
      </c>
      <c r="G80" s="54" t="s">
        <v>281</v>
      </c>
      <c r="H80" s="54" t="s">
        <v>303</v>
      </c>
      <c r="I80" s="54" t="s">
        <v>603</v>
      </c>
      <c r="J80" s="54" t="s">
        <v>604</v>
      </c>
      <c r="K80" s="54" t="s">
        <v>285</v>
      </c>
      <c r="L80" s="54" t="s">
        <v>305</v>
      </c>
      <c r="M80" s="54" t="s">
        <v>604</v>
      </c>
      <c r="N80" s="54" t="s">
        <v>605</v>
      </c>
      <c r="O80" s="54" t="s">
        <v>286</v>
      </c>
      <c r="P80" s="54" t="s">
        <v>306</v>
      </c>
      <c r="Q80" s="54" t="s">
        <v>605</v>
      </c>
      <c r="R80" s="56">
        <v>1</v>
      </c>
      <c r="S80" s="54">
        <v>100</v>
      </c>
      <c r="T80" s="54" t="s">
        <v>146</v>
      </c>
      <c r="U80" s="54" t="s">
        <v>185</v>
      </c>
      <c r="V80" s="54" t="s">
        <v>552</v>
      </c>
      <c r="W80" s="54" t="s">
        <v>601</v>
      </c>
      <c r="X80" s="54" t="s">
        <v>606</v>
      </c>
      <c r="Y80" s="54"/>
      <c r="Z80" s="54"/>
      <c r="AA80" s="54"/>
      <c r="AB80" s="54" t="s">
        <v>290</v>
      </c>
      <c r="AC80" s="54" t="s">
        <v>290</v>
      </c>
      <c r="AD80" s="54" t="s">
        <v>290</v>
      </c>
      <c r="AE80" s="54" t="s">
        <v>290</v>
      </c>
      <c r="AF80" s="54" t="s">
        <v>291</v>
      </c>
      <c r="AG80" s="54" t="s">
        <v>291</v>
      </c>
      <c r="AH80" s="54" t="s">
        <v>290</v>
      </c>
      <c r="AI80" s="54">
        <v>0.05</v>
      </c>
      <c r="AJ80" s="57" t="s">
        <v>291</v>
      </c>
    </row>
    <row r="81" spans="1:36" x14ac:dyDescent="0.45">
      <c r="A81" s="53">
        <v>99</v>
      </c>
      <c r="B81" s="43">
        <v>831</v>
      </c>
      <c r="C81" s="54" t="s">
        <v>279</v>
      </c>
      <c r="D81" s="54" t="s">
        <v>100</v>
      </c>
      <c r="E81" s="55"/>
      <c r="F81" s="54" t="s">
        <v>607</v>
      </c>
      <c r="G81" s="54" t="s">
        <v>281</v>
      </c>
      <c r="H81" s="54" t="s">
        <v>303</v>
      </c>
      <c r="I81" s="54" t="s">
        <v>607</v>
      </c>
      <c r="J81" s="54" t="s">
        <v>608</v>
      </c>
      <c r="K81" s="54" t="s">
        <v>285</v>
      </c>
      <c r="L81" s="54" t="s">
        <v>305</v>
      </c>
      <c r="M81" s="54" t="s">
        <v>608</v>
      </c>
      <c r="N81" s="54" t="s">
        <v>609</v>
      </c>
      <c r="O81" s="54" t="s">
        <v>286</v>
      </c>
      <c r="P81" s="54" t="s">
        <v>306</v>
      </c>
      <c r="Q81" s="54" t="s">
        <v>609</v>
      </c>
      <c r="R81" s="56">
        <v>1</v>
      </c>
      <c r="S81" s="54">
        <v>1</v>
      </c>
      <c r="T81" s="54" t="s">
        <v>153</v>
      </c>
      <c r="U81" s="54" t="s">
        <v>185</v>
      </c>
      <c r="V81" s="54" t="s">
        <v>552</v>
      </c>
      <c r="W81" s="54" t="s">
        <v>610</v>
      </c>
      <c r="X81" s="54" t="s">
        <v>611</v>
      </c>
      <c r="Y81" s="54"/>
      <c r="Z81" s="54"/>
      <c r="AA81" s="54"/>
      <c r="AB81" s="54" t="s">
        <v>290</v>
      </c>
      <c r="AC81" s="54" t="s">
        <v>290</v>
      </c>
      <c r="AD81" s="54" t="s">
        <v>290</v>
      </c>
      <c r="AE81" s="54" t="s">
        <v>290</v>
      </c>
      <c r="AF81" s="54" t="s">
        <v>291</v>
      </c>
      <c r="AG81" s="54" t="s">
        <v>291</v>
      </c>
      <c r="AH81" s="54" t="s">
        <v>290</v>
      </c>
      <c r="AI81" s="54">
        <v>0</v>
      </c>
      <c r="AJ81" s="57" t="s">
        <v>291</v>
      </c>
    </row>
    <row r="82" spans="1:36" x14ac:dyDescent="0.45">
      <c r="A82" s="53">
        <v>101</v>
      </c>
      <c r="B82" s="43">
        <v>832</v>
      </c>
      <c r="C82" s="54" t="s">
        <v>279</v>
      </c>
      <c r="D82" s="54" t="s">
        <v>100</v>
      </c>
      <c r="E82" s="55"/>
      <c r="F82" s="54" t="s">
        <v>612</v>
      </c>
      <c r="G82" s="54" t="s">
        <v>281</v>
      </c>
      <c r="H82" s="54" t="s">
        <v>303</v>
      </c>
      <c r="I82" s="54" t="s">
        <v>612</v>
      </c>
      <c r="J82" s="54" t="s">
        <v>613</v>
      </c>
      <c r="K82" s="54" t="s">
        <v>285</v>
      </c>
      <c r="L82" s="54" t="s">
        <v>305</v>
      </c>
      <c r="M82" s="54" t="s">
        <v>613</v>
      </c>
      <c r="N82" s="54" t="s">
        <v>614</v>
      </c>
      <c r="O82" s="54" t="s">
        <v>286</v>
      </c>
      <c r="P82" s="54" t="s">
        <v>306</v>
      </c>
      <c r="Q82" s="54" t="s">
        <v>614</v>
      </c>
      <c r="R82" s="56">
        <v>1</v>
      </c>
      <c r="S82" s="54">
        <v>1</v>
      </c>
      <c r="T82" s="54" t="s">
        <v>153</v>
      </c>
      <c r="U82" s="54" t="s">
        <v>185</v>
      </c>
      <c r="V82" s="54" t="s">
        <v>552</v>
      </c>
      <c r="W82" s="54" t="s">
        <v>610</v>
      </c>
      <c r="X82" s="54" t="s">
        <v>611</v>
      </c>
      <c r="Y82" s="54"/>
      <c r="Z82" s="54"/>
      <c r="AA82" s="54"/>
      <c r="AB82" s="54" t="s">
        <v>290</v>
      </c>
      <c r="AC82" s="54" t="s">
        <v>290</v>
      </c>
      <c r="AD82" s="54" t="s">
        <v>290</v>
      </c>
      <c r="AE82" s="54" t="s">
        <v>290</v>
      </c>
      <c r="AF82" s="54" t="s">
        <v>291</v>
      </c>
      <c r="AG82" s="54" t="s">
        <v>291</v>
      </c>
      <c r="AH82" s="54" t="s">
        <v>290</v>
      </c>
      <c r="AI82" s="54">
        <v>0</v>
      </c>
      <c r="AJ82" s="57" t="s">
        <v>291</v>
      </c>
    </row>
    <row r="83" spans="1:36" x14ac:dyDescent="0.45">
      <c r="A83" s="53">
        <v>66</v>
      </c>
      <c r="B83" s="43">
        <v>833</v>
      </c>
      <c r="C83" s="54" t="s">
        <v>279</v>
      </c>
      <c r="D83" s="54" t="s">
        <v>100</v>
      </c>
      <c r="E83" s="55"/>
      <c r="F83" s="54" t="s">
        <v>615</v>
      </c>
      <c r="G83" s="54" t="s">
        <v>281</v>
      </c>
      <c r="H83" s="54" t="s">
        <v>616</v>
      </c>
      <c r="I83" s="54" t="s">
        <v>617</v>
      </c>
      <c r="J83" s="54" t="s">
        <v>618</v>
      </c>
      <c r="K83" s="54" t="s">
        <v>285</v>
      </c>
      <c r="L83" s="54" t="s">
        <v>619</v>
      </c>
      <c r="M83" s="54" t="s">
        <v>615</v>
      </c>
      <c r="N83" s="54" t="s">
        <v>615</v>
      </c>
      <c r="O83" s="54" t="s">
        <v>286</v>
      </c>
      <c r="P83" s="54" t="s">
        <v>620</v>
      </c>
      <c r="Q83" s="54" t="s">
        <v>621</v>
      </c>
      <c r="R83" s="58">
        <v>2</v>
      </c>
      <c r="S83" s="54">
        <v>1</v>
      </c>
      <c r="T83" s="54" t="s">
        <v>153</v>
      </c>
      <c r="U83" s="54" t="s">
        <v>185</v>
      </c>
      <c r="V83" s="54" t="s">
        <v>552</v>
      </c>
      <c r="W83" s="54" t="s">
        <v>622</v>
      </c>
      <c r="X83" s="54" t="s">
        <v>622</v>
      </c>
      <c r="Y83" s="54"/>
      <c r="Z83" s="54"/>
      <c r="AA83" s="54"/>
      <c r="AB83" s="54" t="s">
        <v>290</v>
      </c>
      <c r="AC83" s="54" t="s">
        <v>290</v>
      </c>
      <c r="AD83" s="54" t="s">
        <v>290</v>
      </c>
      <c r="AE83" s="54" t="s">
        <v>290</v>
      </c>
      <c r="AF83" s="54" t="s">
        <v>291</v>
      </c>
      <c r="AG83" s="54" t="s">
        <v>291</v>
      </c>
      <c r="AH83" s="54" t="s">
        <v>290</v>
      </c>
      <c r="AI83" s="54">
        <v>0.05</v>
      </c>
      <c r="AJ83" s="57" t="s">
        <v>291</v>
      </c>
    </row>
    <row r="84" spans="1:36" x14ac:dyDescent="0.45">
      <c r="A84" s="53">
        <v>79</v>
      </c>
      <c r="B84" s="43">
        <v>834</v>
      </c>
      <c r="C84" s="54" t="s">
        <v>279</v>
      </c>
      <c r="D84" s="54" t="s">
        <v>100</v>
      </c>
      <c r="E84" s="55"/>
      <c r="F84" s="54" t="s">
        <v>623</v>
      </c>
      <c r="G84" s="54" t="s">
        <v>281</v>
      </c>
      <c r="H84" s="54" t="s">
        <v>426</v>
      </c>
      <c r="I84" s="54" t="s">
        <v>624</v>
      </c>
      <c r="J84" s="54" t="s">
        <v>623</v>
      </c>
      <c r="K84" s="54" t="s">
        <v>285</v>
      </c>
      <c r="L84" s="54" t="s">
        <v>426</v>
      </c>
      <c r="M84" s="54" t="s">
        <v>624</v>
      </c>
      <c r="N84" s="54" t="s">
        <v>623</v>
      </c>
      <c r="O84" s="54" t="s">
        <v>286</v>
      </c>
      <c r="P84" s="54" t="s">
        <v>426</v>
      </c>
      <c r="Q84" s="54" t="s">
        <v>624</v>
      </c>
      <c r="R84" s="58">
        <v>0.4</v>
      </c>
      <c r="S84" s="54">
        <v>100</v>
      </c>
      <c r="T84" s="54" t="s">
        <v>146</v>
      </c>
      <c r="U84" s="54" t="s">
        <v>185</v>
      </c>
      <c r="V84" s="54" t="s">
        <v>552</v>
      </c>
      <c r="W84" s="54" t="s">
        <v>622</v>
      </c>
      <c r="X84" s="54" t="s">
        <v>622</v>
      </c>
      <c r="Y84" s="54"/>
      <c r="Z84" s="54"/>
      <c r="AA84" s="54"/>
      <c r="AB84" s="54" t="s">
        <v>290</v>
      </c>
      <c r="AC84" s="54" t="s">
        <v>290</v>
      </c>
      <c r="AD84" s="54" t="s">
        <v>290</v>
      </c>
      <c r="AE84" s="54" t="s">
        <v>290</v>
      </c>
      <c r="AF84" s="54" t="s">
        <v>291</v>
      </c>
      <c r="AG84" s="54" t="s">
        <v>291</v>
      </c>
      <c r="AH84" s="54" t="s">
        <v>290</v>
      </c>
      <c r="AI84" s="54">
        <v>0.05</v>
      </c>
      <c r="AJ84" s="57" t="s">
        <v>291</v>
      </c>
    </row>
    <row r="85" spans="1:36" x14ac:dyDescent="0.45">
      <c r="A85" s="53">
        <v>80</v>
      </c>
      <c r="B85" s="43">
        <v>835</v>
      </c>
      <c r="C85" s="54" t="s">
        <v>279</v>
      </c>
      <c r="D85" s="54" t="s">
        <v>100</v>
      </c>
      <c r="E85" s="55"/>
      <c r="F85" s="54" t="s">
        <v>623</v>
      </c>
      <c r="G85" s="54" t="s">
        <v>281</v>
      </c>
      <c r="H85" s="54" t="s">
        <v>625</v>
      </c>
      <c r="I85" s="54" t="s">
        <v>626</v>
      </c>
      <c r="J85" s="54" t="s">
        <v>623</v>
      </c>
      <c r="K85" s="54" t="s">
        <v>285</v>
      </c>
      <c r="L85" s="54" t="s">
        <v>625</v>
      </c>
      <c r="M85" s="54" t="s">
        <v>626</v>
      </c>
      <c r="N85" s="54" t="s">
        <v>623</v>
      </c>
      <c r="O85" s="54" t="s">
        <v>286</v>
      </c>
      <c r="P85" s="54" t="s">
        <v>625</v>
      </c>
      <c r="Q85" s="54" t="s">
        <v>626</v>
      </c>
      <c r="R85" s="58">
        <v>0.6</v>
      </c>
      <c r="S85" s="54">
        <v>100</v>
      </c>
      <c r="T85" s="54" t="s">
        <v>146</v>
      </c>
      <c r="U85" s="54" t="s">
        <v>185</v>
      </c>
      <c r="V85" s="54" t="s">
        <v>552</v>
      </c>
      <c r="W85" s="54" t="s">
        <v>622</v>
      </c>
      <c r="X85" s="54" t="s">
        <v>622</v>
      </c>
      <c r="Y85" s="54"/>
      <c r="Z85" s="54"/>
      <c r="AA85" s="54"/>
      <c r="AB85" s="54" t="s">
        <v>290</v>
      </c>
      <c r="AC85" s="54" t="s">
        <v>290</v>
      </c>
      <c r="AD85" s="54" t="s">
        <v>290</v>
      </c>
      <c r="AE85" s="54" t="s">
        <v>290</v>
      </c>
      <c r="AF85" s="54" t="s">
        <v>291</v>
      </c>
      <c r="AG85" s="54" t="s">
        <v>291</v>
      </c>
      <c r="AH85" s="54" t="s">
        <v>290</v>
      </c>
      <c r="AI85" s="54">
        <v>0.05</v>
      </c>
      <c r="AJ85" s="57" t="s">
        <v>291</v>
      </c>
    </row>
    <row r="86" spans="1:36" x14ac:dyDescent="0.45">
      <c r="A86" s="53">
        <v>81</v>
      </c>
      <c r="B86" s="43">
        <v>836</v>
      </c>
      <c r="C86" s="54" t="s">
        <v>279</v>
      </c>
      <c r="D86" s="54" t="s">
        <v>100</v>
      </c>
      <c r="E86" s="55"/>
      <c r="F86" s="54" t="s">
        <v>623</v>
      </c>
      <c r="G86" s="54" t="s">
        <v>281</v>
      </c>
      <c r="H86" s="54" t="s">
        <v>627</v>
      </c>
      <c r="I86" s="54" t="s">
        <v>628</v>
      </c>
      <c r="J86" s="54" t="s">
        <v>623</v>
      </c>
      <c r="K86" s="54" t="s">
        <v>285</v>
      </c>
      <c r="L86" s="54" t="s">
        <v>627</v>
      </c>
      <c r="M86" s="54" t="s">
        <v>628</v>
      </c>
      <c r="N86" s="54" t="s">
        <v>623</v>
      </c>
      <c r="O86" s="54" t="s">
        <v>286</v>
      </c>
      <c r="P86" s="54" t="s">
        <v>627</v>
      </c>
      <c r="Q86" s="54" t="s">
        <v>628</v>
      </c>
      <c r="R86" s="58">
        <v>0.8</v>
      </c>
      <c r="S86" s="54">
        <v>100</v>
      </c>
      <c r="T86" s="54" t="s">
        <v>146</v>
      </c>
      <c r="U86" s="54" t="s">
        <v>185</v>
      </c>
      <c r="V86" s="54" t="s">
        <v>552</v>
      </c>
      <c r="W86" s="54" t="s">
        <v>622</v>
      </c>
      <c r="X86" s="54" t="s">
        <v>622</v>
      </c>
      <c r="Y86" s="54"/>
      <c r="Z86" s="54"/>
      <c r="AA86" s="54"/>
      <c r="AB86" s="54" t="s">
        <v>290</v>
      </c>
      <c r="AC86" s="54" t="s">
        <v>290</v>
      </c>
      <c r="AD86" s="54" t="s">
        <v>290</v>
      </c>
      <c r="AE86" s="54" t="s">
        <v>290</v>
      </c>
      <c r="AF86" s="54" t="s">
        <v>291</v>
      </c>
      <c r="AG86" s="54" t="s">
        <v>291</v>
      </c>
      <c r="AH86" s="54" t="s">
        <v>290</v>
      </c>
      <c r="AI86" s="54">
        <v>0.05</v>
      </c>
      <c r="AJ86" s="57" t="s">
        <v>291</v>
      </c>
    </row>
    <row r="87" spans="1:36" x14ac:dyDescent="0.45">
      <c r="A87" s="53">
        <v>82</v>
      </c>
      <c r="B87" s="54">
        <v>837</v>
      </c>
      <c r="C87" s="54" t="s">
        <v>597</v>
      </c>
      <c r="D87" s="54" t="s">
        <v>100</v>
      </c>
      <c r="E87" s="55"/>
      <c r="F87" s="54" t="s">
        <v>629</v>
      </c>
      <c r="G87" s="54" t="s">
        <v>281</v>
      </c>
      <c r="H87" s="54" t="s">
        <v>616</v>
      </c>
      <c r="I87" s="54" t="s">
        <v>630</v>
      </c>
      <c r="J87" s="54" t="s">
        <v>631</v>
      </c>
      <c r="K87" s="54" t="s">
        <v>285</v>
      </c>
      <c r="L87" s="54" t="s">
        <v>619</v>
      </c>
      <c r="M87" s="54" t="s">
        <v>632</v>
      </c>
      <c r="N87" s="54" t="s">
        <v>633</v>
      </c>
      <c r="O87" s="54" t="s">
        <v>286</v>
      </c>
      <c r="P87" s="54" t="s">
        <v>620</v>
      </c>
      <c r="Q87" s="54" t="s">
        <v>634</v>
      </c>
      <c r="R87" s="58">
        <v>2</v>
      </c>
      <c r="S87" s="54">
        <v>100</v>
      </c>
      <c r="T87" s="54" t="s">
        <v>146</v>
      </c>
      <c r="U87" s="54" t="s">
        <v>185</v>
      </c>
      <c r="V87" s="54" t="s">
        <v>552</v>
      </c>
      <c r="W87" s="54" t="s">
        <v>622</v>
      </c>
      <c r="X87" s="54" t="s">
        <v>622</v>
      </c>
      <c r="Y87" s="54"/>
      <c r="Z87" s="54"/>
      <c r="AA87" s="54"/>
      <c r="AB87" s="54" t="s">
        <v>290</v>
      </c>
      <c r="AC87" s="54" t="s">
        <v>290</v>
      </c>
      <c r="AD87" s="54" t="s">
        <v>290</v>
      </c>
      <c r="AE87" s="54" t="s">
        <v>290</v>
      </c>
      <c r="AF87" s="54" t="s">
        <v>291</v>
      </c>
      <c r="AG87" s="54" t="s">
        <v>291</v>
      </c>
      <c r="AH87" s="54" t="s">
        <v>290</v>
      </c>
      <c r="AI87" s="54">
        <v>0.05</v>
      </c>
      <c r="AJ87" s="57" t="s">
        <v>291</v>
      </c>
    </row>
    <row r="88" spans="1:36" x14ac:dyDescent="0.45">
      <c r="A88" s="53">
        <v>83</v>
      </c>
      <c r="B88" s="54">
        <v>838</v>
      </c>
      <c r="C88" s="54" t="s">
        <v>597</v>
      </c>
      <c r="D88" s="54" t="s">
        <v>100</v>
      </c>
      <c r="E88" s="55"/>
      <c r="F88" s="54" t="s">
        <v>635</v>
      </c>
      <c r="G88" s="54" t="s">
        <v>281</v>
      </c>
      <c r="H88" s="54" t="s">
        <v>303</v>
      </c>
      <c r="I88" s="54" t="s">
        <v>635</v>
      </c>
      <c r="J88" s="54" t="s">
        <v>636</v>
      </c>
      <c r="K88" s="54" t="s">
        <v>285</v>
      </c>
      <c r="L88" s="54" t="s">
        <v>305</v>
      </c>
      <c r="M88" s="54" t="s">
        <v>636</v>
      </c>
      <c r="N88" s="54" t="s">
        <v>636</v>
      </c>
      <c r="O88" s="54" t="s">
        <v>286</v>
      </c>
      <c r="P88" s="54" t="s">
        <v>306</v>
      </c>
      <c r="Q88" s="54" t="s">
        <v>636</v>
      </c>
      <c r="R88" s="58">
        <v>1</v>
      </c>
      <c r="S88" s="54">
        <v>100</v>
      </c>
      <c r="T88" s="54" t="s">
        <v>146</v>
      </c>
      <c r="U88" s="54" t="s">
        <v>185</v>
      </c>
      <c r="V88" s="54" t="s">
        <v>552</v>
      </c>
      <c r="W88" s="54" t="s">
        <v>622</v>
      </c>
      <c r="X88" s="54" t="s">
        <v>622</v>
      </c>
      <c r="Y88" s="54"/>
      <c r="Z88" s="54"/>
      <c r="AA88" s="54"/>
      <c r="AB88" s="54" t="s">
        <v>290</v>
      </c>
      <c r="AC88" s="54" t="s">
        <v>290</v>
      </c>
      <c r="AD88" s="54" t="s">
        <v>290</v>
      </c>
      <c r="AE88" s="54" t="s">
        <v>290</v>
      </c>
      <c r="AF88" s="54" t="s">
        <v>291</v>
      </c>
      <c r="AG88" s="54" t="s">
        <v>291</v>
      </c>
      <c r="AH88" s="54" t="s">
        <v>290</v>
      </c>
      <c r="AI88" s="54">
        <v>0.05</v>
      </c>
      <c r="AJ88" s="57" t="s">
        <v>291</v>
      </c>
    </row>
    <row r="89" spans="1:36" x14ac:dyDescent="0.45">
      <c r="A89" s="53">
        <v>87</v>
      </c>
      <c r="B89" s="43">
        <v>839</v>
      </c>
      <c r="C89" s="54" t="s">
        <v>279</v>
      </c>
      <c r="D89" s="54" t="s">
        <v>100</v>
      </c>
      <c r="E89" s="55"/>
      <c r="F89" s="54" t="s">
        <v>637</v>
      </c>
      <c r="G89" s="54" t="s">
        <v>281</v>
      </c>
      <c r="H89" s="54" t="s">
        <v>303</v>
      </c>
      <c r="I89" s="54" t="s">
        <v>637</v>
      </c>
      <c r="J89" s="54" t="s">
        <v>638</v>
      </c>
      <c r="K89" s="54" t="s">
        <v>285</v>
      </c>
      <c r="L89" s="54" t="s">
        <v>305</v>
      </c>
      <c r="M89" s="54" t="s">
        <v>638</v>
      </c>
      <c r="N89" s="54" t="s">
        <v>639</v>
      </c>
      <c r="O89" s="54" t="s">
        <v>286</v>
      </c>
      <c r="P89" s="54" t="s">
        <v>306</v>
      </c>
      <c r="Q89" s="54" t="s">
        <v>639</v>
      </c>
      <c r="R89" s="58">
        <v>1</v>
      </c>
      <c r="S89" s="54">
        <v>1</v>
      </c>
      <c r="T89" s="54" t="s">
        <v>153</v>
      </c>
      <c r="U89" s="54" t="s">
        <v>185</v>
      </c>
      <c r="V89" s="54" t="s">
        <v>552</v>
      </c>
      <c r="W89" s="54" t="s">
        <v>622</v>
      </c>
      <c r="X89" s="54" t="s">
        <v>622</v>
      </c>
      <c r="Y89" s="54"/>
      <c r="Z89" s="54"/>
      <c r="AA89" s="54"/>
      <c r="AB89" s="54" t="s">
        <v>290</v>
      </c>
      <c r="AC89" s="54" t="s">
        <v>290</v>
      </c>
      <c r="AD89" s="54" t="s">
        <v>290</v>
      </c>
      <c r="AE89" s="54" t="s">
        <v>290</v>
      </c>
      <c r="AF89" s="54" t="s">
        <v>291</v>
      </c>
      <c r="AG89" s="54" t="s">
        <v>291</v>
      </c>
      <c r="AH89" s="54" t="s">
        <v>290</v>
      </c>
      <c r="AI89" s="54">
        <v>0</v>
      </c>
      <c r="AJ89" s="57" t="s">
        <v>291</v>
      </c>
    </row>
    <row r="90" spans="1:36" x14ac:dyDescent="0.45">
      <c r="A90" s="53">
        <v>88</v>
      </c>
      <c r="B90" s="43">
        <v>840</v>
      </c>
      <c r="C90" s="54" t="s">
        <v>279</v>
      </c>
      <c r="D90" s="54" t="s">
        <v>100</v>
      </c>
      <c r="E90" s="55"/>
      <c r="F90" s="54" t="s">
        <v>640</v>
      </c>
      <c r="G90" s="54" t="s">
        <v>281</v>
      </c>
      <c r="H90" s="54" t="s">
        <v>303</v>
      </c>
      <c r="I90" s="54" t="s">
        <v>640</v>
      </c>
      <c r="J90" s="54" t="s">
        <v>641</v>
      </c>
      <c r="K90" s="54" t="s">
        <v>285</v>
      </c>
      <c r="L90" s="54" t="s">
        <v>305</v>
      </c>
      <c r="M90" s="54" t="s">
        <v>641</v>
      </c>
      <c r="N90" s="54" t="s">
        <v>642</v>
      </c>
      <c r="O90" s="54" t="s">
        <v>286</v>
      </c>
      <c r="P90" s="54" t="s">
        <v>306</v>
      </c>
      <c r="Q90" s="54" t="s">
        <v>642</v>
      </c>
      <c r="R90" s="58">
        <v>1</v>
      </c>
      <c r="S90" s="54">
        <v>1</v>
      </c>
      <c r="T90" s="54" t="s">
        <v>153</v>
      </c>
      <c r="U90" s="54" t="s">
        <v>185</v>
      </c>
      <c r="V90" s="54" t="s">
        <v>552</v>
      </c>
      <c r="W90" s="54" t="s">
        <v>622</v>
      </c>
      <c r="X90" s="54" t="s">
        <v>622</v>
      </c>
      <c r="Y90" s="54"/>
      <c r="Z90" s="54"/>
      <c r="AA90" s="54"/>
      <c r="AB90" s="54" t="s">
        <v>290</v>
      </c>
      <c r="AC90" s="54" t="s">
        <v>290</v>
      </c>
      <c r="AD90" s="54" t="s">
        <v>290</v>
      </c>
      <c r="AE90" s="54" t="s">
        <v>290</v>
      </c>
      <c r="AF90" s="54" t="s">
        <v>291</v>
      </c>
      <c r="AG90" s="54" t="s">
        <v>291</v>
      </c>
      <c r="AH90" s="54" t="s">
        <v>290</v>
      </c>
      <c r="AI90" s="54">
        <v>0</v>
      </c>
      <c r="AJ90" s="57" t="s">
        <v>291</v>
      </c>
    </row>
    <row r="91" spans="1:36" x14ac:dyDescent="0.45">
      <c r="A91" s="53">
        <v>93</v>
      </c>
      <c r="B91" s="54">
        <v>841</v>
      </c>
      <c r="C91" s="54" t="s">
        <v>597</v>
      </c>
      <c r="D91" s="54" t="s">
        <v>100</v>
      </c>
      <c r="E91" s="55"/>
      <c r="F91" s="54" t="s">
        <v>643</v>
      </c>
      <c r="G91" s="54" t="s">
        <v>281</v>
      </c>
      <c r="H91" s="54" t="s">
        <v>303</v>
      </c>
      <c r="I91" s="54" t="s">
        <v>643</v>
      </c>
      <c r="J91" s="54" t="s">
        <v>644</v>
      </c>
      <c r="K91" s="54" t="s">
        <v>285</v>
      </c>
      <c r="L91" s="54" t="s">
        <v>305</v>
      </c>
      <c r="M91" s="54" t="s">
        <v>644</v>
      </c>
      <c r="N91" s="54" t="s">
        <v>645</v>
      </c>
      <c r="O91" s="54" t="s">
        <v>286</v>
      </c>
      <c r="P91" s="54" t="s">
        <v>306</v>
      </c>
      <c r="Q91" s="54" t="s">
        <v>645</v>
      </c>
      <c r="R91" s="56">
        <v>1</v>
      </c>
      <c r="S91" s="54">
        <v>100</v>
      </c>
      <c r="T91" s="54" t="s">
        <v>146</v>
      </c>
      <c r="U91" s="54" t="s">
        <v>185</v>
      </c>
      <c r="V91" s="54" t="s">
        <v>552</v>
      </c>
      <c r="W91" s="54" t="s">
        <v>622</v>
      </c>
      <c r="X91" s="54" t="s">
        <v>622</v>
      </c>
      <c r="Y91" s="54"/>
      <c r="Z91" s="54"/>
      <c r="AA91" s="54"/>
      <c r="AB91" s="54" t="s">
        <v>290</v>
      </c>
      <c r="AC91" s="54" t="s">
        <v>290</v>
      </c>
      <c r="AD91" s="54" t="s">
        <v>290</v>
      </c>
      <c r="AE91" s="54" t="s">
        <v>290</v>
      </c>
      <c r="AF91" s="54" t="s">
        <v>291</v>
      </c>
      <c r="AG91" s="54" t="s">
        <v>291</v>
      </c>
      <c r="AH91" s="54" t="s">
        <v>290</v>
      </c>
      <c r="AI91" s="54">
        <v>0.05</v>
      </c>
      <c r="AJ91" s="57" t="s">
        <v>291</v>
      </c>
    </row>
    <row r="92" spans="1:36" x14ac:dyDescent="0.45">
      <c r="A92" s="53">
        <v>96</v>
      </c>
      <c r="B92" s="54">
        <v>842</v>
      </c>
      <c r="C92" s="54" t="s">
        <v>597</v>
      </c>
      <c r="D92" s="54" t="s">
        <v>100</v>
      </c>
      <c r="E92" s="55"/>
      <c r="F92" s="54" t="s">
        <v>646</v>
      </c>
      <c r="G92" s="54" t="s">
        <v>281</v>
      </c>
      <c r="H92" s="54" t="s">
        <v>303</v>
      </c>
      <c r="I92" s="54" t="s">
        <v>646</v>
      </c>
      <c r="J92" s="54" t="s">
        <v>647</v>
      </c>
      <c r="K92" s="54" t="s">
        <v>285</v>
      </c>
      <c r="L92" s="54" t="s">
        <v>305</v>
      </c>
      <c r="M92" s="54" t="s">
        <v>647</v>
      </c>
      <c r="N92" s="54" t="s">
        <v>646</v>
      </c>
      <c r="O92" s="54" t="s">
        <v>286</v>
      </c>
      <c r="P92" s="54" t="s">
        <v>306</v>
      </c>
      <c r="Q92" s="54" t="s">
        <v>646</v>
      </c>
      <c r="R92" s="56">
        <v>1</v>
      </c>
      <c r="S92" s="54">
        <v>100</v>
      </c>
      <c r="T92" s="54" t="s">
        <v>146</v>
      </c>
      <c r="U92" s="54" t="s">
        <v>185</v>
      </c>
      <c r="V92" s="54" t="s">
        <v>552</v>
      </c>
      <c r="W92" s="54" t="s">
        <v>622</v>
      </c>
      <c r="X92" s="54" t="s">
        <v>622</v>
      </c>
      <c r="Y92" s="54"/>
      <c r="Z92" s="54"/>
      <c r="AA92" s="54"/>
      <c r="AB92" s="54" t="s">
        <v>290</v>
      </c>
      <c r="AC92" s="54" t="s">
        <v>290</v>
      </c>
      <c r="AD92" s="54" t="s">
        <v>290</v>
      </c>
      <c r="AE92" s="54" t="s">
        <v>290</v>
      </c>
      <c r="AF92" s="54" t="s">
        <v>291</v>
      </c>
      <c r="AG92" s="54" t="s">
        <v>291</v>
      </c>
      <c r="AH92" s="54" t="s">
        <v>290</v>
      </c>
      <c r="AI92" s="54">
        <v>0.05</v>
      </c>
      <c r="AJ92" s="57" t="s">
        <v>291</v>
      </c>
    </row>
    <row r="93" spans="1:36" x14ac:dyDescent="0.45">
      <c r="A93" s="53">
        <v>102</v>
      </c>
      <c r="B93" s="43">
        <v>843</v>
      </c>
      <c r="C93" s="54" t="s">
        <v>279</v>
      </c>
      <c r="D93" s="54" t="s">
        <v>100</v>
      </c>
      <c r="E93" s="55"/>
      <c r="F93" s="54" t="s">
        <v>648</v>
      </c>
      <c r="G93" s="54" t="s">
        <v>281</v>
      </c>
      <c r="H93" s="54" t="s">
        <v>303</v>
      </c>
      <c r="I93" s="54" t="s">
        <v>648</v>
      </c>
      <c r="J93" s="54" t="s">
        <v>648</v>
      </c>
      <c r="K93" s="54" t="s">
        <v>285</v>
      </c>
      <c r="L93" s="54" t="s">
        <v>305</v>
      </c>
      <c r="M93" s="54" t="s">
        <v>648</v>
      </c>
      <c r="N93" s="54" t="s">
        <v>648</v>
      </c>
      <c r="O93" s="54" t="s">
        <v>286</v>
      </c>
      <c r="P93" s="54" t="s">
        <v>306</v>
      </c>
      <c r="Q93" s="54" t="s">
        <v>648</v>
      </c>
      <c r="R93" s="56">
        <v>1</v>
      </c>
      <c r="S93" s="54">
        <v>1</v>
      </c>
      <c r="T93" s="54" t="s">
        <v>153</v>
      </c>
      <c r="U93" s="54" t="s">
        <v>185</v>
      </c>
      <c r="V93" s="54" t="s">
        <v>552</v>
      </c>
      <c r="W93" s="54" t="s">
        <v>622</v>
      </c>
      <c r="X93" s="54" t="s">
        <v>622</v>
      </c>
      <c r="Y93" s="54"/>
      <c r="Z93" s="54"/>
      <c r="AA93" s="54"/>
      <c r="AB93" s="54" t="s">
        <v>290</v>
      </c>
      <c r="AC93" s="54" t="s">
        <v>290</v>
      </c>
      <c r="AD93" s="54" t="s">
        <v>290</v>
      </c>
      <c r="AE93" s="54" t="s">
        <v>290</v>
      </c>
      <c r="AF93" s="54" t="s">
        <v>291</v>
      </c>
      <c r="AG93" s="54" t="s">
        <v>291</v>
      </c>
      <c r="AH93" s="54" t="s">
        <v>290</v>
      </c>
      <c r="AI93" s="54">
        <v>0.05</v>
      </c>
      <c r="AJ93" s="57" t="s">
        <v>291</v>
      </c>
    </row>
    <row r="94" spans="1:36" x14ac:dyDescent="0.45">
      <c r="A94" s="53">
        <v>67</v>
      </c>
      <c r="B94" s="43">
        <v>844</v>
      </c>
      <c r="C94" s="54" t="s">
        <v>279</v>
      </c>
      <c r="D94" s="54" t="s">
        <v>100</v>
      </c>
      <c r="E94" s="55"/>
      <c r="F94" s="54" t="s">
        <v>649</v>
      </c>
      <c r="G94" s="54" t="s">
        <v>281</v>
      </c>
      <c r="H94" s="54" t="s">
        <v>499</v>
      </c>
      <c r="I94" s="54" t="s">
        <v>650</v>
      </c>
      <c r="J94" s="54" t="s">
        <v>651</v>
      </c>
      <c r="K94" s="54" t="s">
        <v>285</v>
      </c>
      <c r="L94" s="54" t="s">
        <v>499</v>
      </c>
      <c r="M94" s="54" t="s">
        <v>652</v>
      </c>
      <c r="N94" s="54" t="s">
        <v>653</v>
      </c>
      <c r="O94" s="54" t="s">
        <v>286</v>
      </c>
      <c r="P94" s="54" t="s">
        <v>499</v>
      </c>
      <c r="Q94" s="54" t="s">
        <v>654</v>
      </c>
      <c r="R94" s="56">
        <v>0.1</v>
      </c>
      <c r="S94" s="54">
        <v>100</v>
      </c>
      <c r="T94" s="54" t="s">
        <v>146</v>
      </c>
      <c r="U94" s="54" t="s">
        <v>185</v>
      </c>
      <c r="V94" s="54" t="s">
        <v>552</v>
      </c>
      <c r="W94" s="54" t="s">
        <v>553</v>
      </c>
      <c r="X94" s="54" t="s">
        <v>655</v>
      </c>
      <c r="Y94" s="54"/>
      <c r="Z94" s="54"/>
      <c r="AA94" s="54"/>
      <c r="AB94" s="54" t="s">
        <v>290</v>
      </c>
      <c r="AC94" s="54" t="s">
        <v>290</v>
      </c>
      <c r="AD94" s="54" t="s">
        <v>290</v>
      </c>
      <c r="AE94" s="54" t="s">
        <v>290</v>
      </c>
      <c r="AF94" s="54" t="s">
        <v>291</v>
      </c>
      <c r="AG94" s="54" t="s">
        <v>291</v>
      </c>
      <c r="AH94" s="54" t="s">
        <v>290</v>
      </c>
      <c r="AI94" s="54">
        <v>0.05</v>
      </c>
      <c r="AJ94" s="57" t="s">
        <v>291</v>
      </c>
    </row>
    <row r="95" spans="1:36" x14ac:dyDescent="0.45">
      <c r="A95" s="53">
        <v>68</v>
      </c>
      <c r="B95" s="43">
        <v>845</v>
      </c>
      <c r="C95" s="54" t="s">
        <v>279</v>
      </c>
      <c r="D95" s="54" t="s">
        <v>100</v>
      </c>
      <c r="E95" s="55"/>
      <c r="F95" s="54" t="s">
        <v>649</v>
      </c>
      <c r="G95" s="54" t="s">
        <v>281</v>
      </c>
      <c r="H95" s="54" t="s">
        <v>656</v>
      </c>
      <c r="I95" s="54" t="s">
        <v>657</v>
      </c>
      <c r="J95" s="54" t="s">
        <v>658</v>
      </c>
      <c r="K95" s="54" t="s">
        <v>285</v>
      </c>
      <c r="L95" s="54" t="s">
        <v>656</v>
      </c>
      <c r="M95" s="54" t="s">
        <v>659</v>
      </c>
      <c r="N95" s="54" t="s">
        <v>653</v>
      </c>
      <c r="O95" s="54" t="s">
        <v>286</v>
      </c>
      <c r="P95" s="54" t="s">
        <v>656</v>
      </c>
      <c r="Q95" s="54" t="s">
        <v>660</v>
      </c>
      <c r="R95" s="56">
        <v>0.2</v>
      </c>
      <c r="S95" s="54">
        <v>100</v>
      </c>
      <c r="T95" s="54" t="s">
        <v>146</v>
      </c>
      <c r="U95" s="54" t="s">
        <v>185</v>
      </c>
      <c r="V95" s="54" t="s">
        <v>552</v>
      </c>
      <c r="W95" s="54" t="s">
        <v>553</v>
      </c>
      <c r="X95" s="54" t="s">
        <v>655</v>
      </c>
      <c r="Y95" s="54"/>
      <c r="Z95" s="54"/>
      <c r="AA95" s="54"/>
      <c r="AB95" s="54" t="s">
        <v>290</v>
      </c>
      <c r="AC95" s="54" t="s">
        <v>290</v>
      </c>
      <c r="AD95" s="54" t="s">
        <v>290</v>
      </c>
      <c r="AE95" s="54" t="s">
        <v>290</v>
      </c>
      <c r="AF95" s="54" t="s">
        <v>291</v>
      </c>
      <c r="AG95" s="54" t="s">
        <v>291</v>
      </c>
      <c r="AH95" s="54" t="s">
        <v>290</v>
      </c>
      <c r="AI95" s="54">
        <v>0.05</v>
      </c>
      <c r="AJ95" s="57" t="s">
        <v>291</v>
      </c>
    </row>
    <row r="96" spans="1:36" x14ac:dyDescent="0.45">
      <c r="A96" s="53">
        <v>69</v>
      </c>
      <c r="B96" s="43">
        <v>846</v>
      </c>
      <c r="C96" s="54" t="s">
        <v>279</v>
      </c>
      <c r="D96" s="54" t="s">
        <v>100</v>
      </c>
      <c r="E96" s="55"/>
      <c r="F96" s="54" t="s">
        <v>649</v>
      </c>
      <c r="G96" s="54" t="s">
        <v>281</v>
      </c>
      <c r="H96" s="54" t="s">
        <v>282</v>
      </c>
      <c r="I96" s="54" t="s">
        <v>661</v>
      </c>
      <c r="J96" s="54" t="s">
        <v>658</v>
      </c>
      <c r="K96" s="54" t="s">
        <v>285</v>
      </c>
      <c r="L96" s="54" t="s">
        <v>282</v>
      </c>
      <c r="M96" s="54" t="s">
        <v>662</v>
      </c>
      <c r="N96" s="54" t="s">
        <v>653</v>
      </c>
      <c r="O96" s="54" t="s">
        <v>286</v>
      </c>
      <c r="P96" s="54" t="s">
        <v>282</v>
      </c>
      <c r="Q96" s="54" t="s">
        <v>663</v>
      </c>
      <c r="R96" s="56">
        <v>0.25</v>
      </c>
      <c r="S96" s="54">
        <v>100</v>
      </c>
      <c r="T96" s="54" t="s">
        <v>146</v>
      </c>
      <c r="U96" s="54" t="s">
        <v>185</v>
      </c>
      <c r="V96" s="54" t="s">
        <v>552</v>
      </c>
      <c r="W96" s="54" t="s">
        <v>553</v>
      </c>
      <c r="X96" s="54" t="s">
        <v>655</v>
      </c>
      <c r="Y96" s="54"/>
      <c r="Z96" s="54"/>
      <c r="AA96" s="54"/>
      <c r="AB96" s="54" t="s">
        <v>290</v>
      </c>
      <c r="AC96" s="54" t="s">
        <v>290</v>
      </c>
      <c r="AD96" s="54" t="s">
        <v>290</v>
      </c>
      <c r="AE96" s="54" t="s">
        <v>290</v>
      </c>
      <c r="AF96" s="54" t="s">
        <v>291</v>
      </c>
      <c r="AG96" s="54" t="s">
        <v>291</v>
      </c>
      <c r="AH96" s="54" t="s">
        <v>290</v>
      </c>
      <c r="AI96" s="54">
        <v>0.05</v>
      </c>
      <c r="AJ96" s="57" t="s">
        <v>291</v>
      </c>
    </row>
    <row r="97" spans="1:36" x14ac:dyDescent="0.45">
      <c r="A97" s="53">
        <v>71</v>
      </c>
      <c r="B97" s="43">
        <v>847</v>
      </c>
      <c r="C97" s="54" t="s">
        <v>279</v>
      </c>
      <c r="D97" s="54" t="s">
        <v>100</v>
      </c>
      <c r="E97" s="55"/>
      <c r="F97" s="54" t="s">
        <v>664</v>
      </c>
      <c r="G97" s="54" t="s">
        <v>281</v>
      </c>
      <c r="H97" s="54" t="s">
        <v>665</v>
      </c>
      <c r="I97" s="54" t="s">
        <v>666</v>
      </c>
      <c r="J97" s="54" t="s">
        <v>667</v>
      </c>
      <c r="K97" s="54" t="s">
        <v>285</v>
      </c>
      <c r="L97" s="54" t="s">
        <v>665</v>
      </c>
      <c r="M97" s="54" t="s">
        <v>668</v>
      </c>
      <c r="N97" s="54" t="s">
        <v>669</v>
      </c>
      <c r="O97" s="54" t="s">
        <v>286</v>
      </c>
      <c r="P97" s="54" t="s">
        <v>665</v>
      </c>
      <c r="Q97" s="54" t="s">
        <v>670</v>
      </c>
      <c r="R97" s="56">
        <v>0.2</v>
      </c>
      <c r="S97" s="54">
        <v>100</v>
      </c>
      <c r="T97" s="54" t="s">
        <v>150</v>
      </c>
      <c r="U97" s="54" t="s">
        <v>185</v>
      </c>
      <c r="V97" s="54" t="s">
        <v>552</v>
      </c>
      <c r="W97" s="54" t="s">
        <v>553</v>
      </c>
      <c r="X97" s="54" t="s">
        <v>655</v>
      </c>
      <c r="Y97" s="54"/>
      <c r="Z97" s="54"/>
      <c r="AA97" s="54"/>
      <c r="AB97" s="54" t="s">
        <v>290</v>
      </c>
      <c r="AC97" s="54" t="s">
        <v>290</v>
      </c>
      <c r="AD97" s="54" t="s">
        <v>290</v>
      </c>
      <c r="AE97" s="54" t="s">
        <v>290</v>
      </c>
      <c r="AF97" s="54" t="s">
        <v>291</v>
      </c>
      <c r="AG97" s="54" t="s">
        <v>291</v>
      </c>
      <c r="AH97" s="54" t="s">
        <v>290</v>
      </c>
      <c r="AI97" s="54">
        <v>0.05</v>
      </c>
      <c r="AJ97" s="57" t="s">
        <v>291</v>
      </c>
    </row>
    <row r="98" spans="1:36" x14ac:dyDescent="0.45">
      <c r="A98" s="53">
        <v>72</v>
      </c>
      <c r="B98" s="43">
        <v>848</v>
      </c>
      <c r="C98" s="54" t="s">
        <v>279</v>
      </c>
      <c r="D98" s="54" t="s">
        <v>100</v>
      </c>
      <c r="E98" s="55"/>
      <c r="F98" s="54" t="s">
        <v>664</v>
      </c>
      <c r="G98" s="54" t="s">
        <v>281</v>
      </c>
      <c r="H98" s="54" t="s">
        <v>671</v>
      </c>
      <c r="I98" s="54" t="s">
        <v>672</v>
      </c>
      <c r="J98" s="54" t="s">
        <v>667</v>
      </c>
      <c r="K98" s="54" t="s">
        <v>285</v>
      </c>
      <c r="L98" s="54" t="s">
        <v>671</v>
      </c>
      <c r="M98" s="54" t="s">
        <v>673</v>
      </c>
      <c r="N98" s="54" t="s">
        <v>669</v>
      </c>
      <c r="O98" s="54" t="s">
        <v>286</v>
      </c>
      <c r="P98" s="54" t="s">
        <v>671</v>
      </c>
      <c r="Q98" s="54" t="s">
        <v>674</v>
      </c>
      <c r="R98" s="56">
        <v>0.25</v>
      </c>
      <c r="S98" s="54">
        <v>100</v>
      </c>
      <c r="T98" s="54" t="s">
        <v>150</v>
      </c>
      <c r="U98" s="54" t="s">
        <v>185</v>
      </c>
      <c r="V98" s="54" t="s">
        <v>552</v>
      </c>
      <c r="W98" s="54" t="s">
        <v>553</v>
      </c>
      <c r="X98" s="54" t="s">
        <v>655</v>
      </c>
      <c r="Y98" s="54"/>
      <c r="Z98" s="54"/>
      <c r="AA98" s="54"/>
      <c r="AB98" s="54" t="s">
        <v>290</v>
      </c>
      <c r="AC98" s="54" t="s">
        <v>290</v>
      </c>
      <c r="AD98" s="54" t="s">
        <v>290</v>
      </c>
      <c r="AE98" s="54" t="s">
        <v>290</v>
      </c>
      <c r="AF98" s="54" t="s">
        <v>291</v>
      </c>
      <c r="AG98" s="54" t="s">
        <v>291</v>
      </c>
      <c r="AH98" s="54" t="s">
        <v>290</v>
      </c>
      <c r="AI98" s="54">
        <v>0.05</v>
      </c>
      <c r="AJ98" s="57" t="s">
        <v>291</v>
      </c>
    </row>
    <row r="99" spans="1:36" x14ac:dyDescent="0.45">
      <c r="A99" s="53">
        <v>85</v>
      </c>
      <c r="B99" s="43">
        <v>849</v>
      </c>
      <c r="C99" s="54" t="s">
        <v>279</v>
      </c>
      <c r="D99" s="54" t="s">
        <v>100</v>
      </c>
      <c r="E99" s="55"/>
      <c r="F99" s="54" t="s">
        <v>675</v>
      </c>
      <c r="G99" s="54" t="s">
        <v>281</v>
      </c>
      <c r="H99" s="54" t="s">
        <v>676</v>
      </c>
      <c r="I99" s="54" t="s">
        <v>677</v>
      </c>
      <c r="J99" s="54" t="s">
        <v>678</v>
      </c>
      <c r="K99" s="54" t="s">
        <v>285</v>
      </c>
      <c r="L99" s="54" t="s">
        <v>676</v>
      </c>
      <c r="M99" s="54" t="s">
        <v>679</v>
      </c>
      <c r="N99" s="54" t="s">
        <v>678</v>
      </c>
      <c r="O99" s="54" t="s">
        <v>286</v>
      </c>
      <c r="P99" s="54" t="s">
        <v>676</v>
      </c>
      <c r="Q99" s="54" t="s">
        <v>679</v>
      </c>
      <c r="R99" s="56">
        <v>0.13</v>
      </c>
      <c r="S99" s="54">
        <v>100</v>
      </c>
      <c r="T99" s="54" t="s">
        <v>146</v>
      </c>
      <c r="U99" s="54" t="s">
        <v>185</v>
      </c>
      <c r="V99" s="54" t="s">
        <v>552</v>
      </c>
      <c r="W99" s="54" t="s">
        <v>553</v>
      </c>
      <c r="X99" s="54" t="s">
        <v>655</v>
      </c>
      <c r="Y99" s="54"/>
      <c r="Z99" s="54"/>
      <c r="AA99" s="54"/>
      <c r="AB99" s="54" t="s">
        <v>290</v>
      </c>
      <c r="AC99" s="54" t="s">
        <v>290</v>
      </c>
      <c r="AD99" s="54" t="s">
        <v>290</v>
      </c>
      <c r="AE99" s="54" t="s">
        <v>290</v>
      </c>
      <c r="AF99" s="54" t="s">
        <v>291</v>
      </c>
      <c r="AG99" s="54" t="s">
        <v>291</v>
      </c>
      <c r="AH99" s="54" t="s">
        <v>290</v>
      </c>
      <c r="AI99" s="54">
        <v>0</v>
      </c>
      <c r="AJ99" s="57" t="s">
        <v>291</v>
      </c>
    </row>
    <row r="100" spans="1:36" x14ac:dyDescent="0.45">
      <c r="A100" s="53">
        <v>85</v>
      </c>
      <c r="B100" s="43">
        <v>850</v>
      </c>
      <c r="C100" s="54" t="s">
        <v>279</v>
      </c>
      <c r="D100" s="54" t="s">
        <v>100</v>
      </c>
      <c r="E100" s="55"/>
      <c r="F100" s="54" t="s">
        <v>675</v>
      </c>
      <c r="G100" s="54" t="s">
        <v>281</v>
      </c>
      <c r="H100" s="54" t="s">
        <v>522</v>
      </c>
      <c r="I100" s="54" t="s">
        <v>680</v>
      </c>
      <c r="J100" s="54" t="s">
        <v>678</v>
      </c>
      <c r="K100" s="54" t="s">
        <v>285</v>
      </c>
      <c r="L100" s="54" t="s">
        <v>522</v>
      </c>
      <c r="M100" s="54" t="s">
        <v>681</v>
      </c>
      <c r="N100" s="54" t="s">
        <v>678</v>
      </c>
      <c r="O100" s="54" t="s">
        <v>286</v>
      </c>
      <c r="P100" s="54" t="s">
        <v>522</v>
      </c>
      <c r="Q100" s="54" t="s">
        <v>681</v>
      </c>
      <c r="R100" s="56">
        <v>0.15</v>
      </c>
      <c r="S100" s="54">
        <v>100</v>
      </c>
      <c r="T100" s="54" t="s">
        <v>146</v>
      </c>
      <c r="U100" s="54" t="s">
        <v>185</v>
      </c>
      <c r="V100" s="54" t="s">
        <v>552</v>
      </c>
      <c r="W100" s="54" t="s">
        <v>553</v>
      </c>
      <c r="X100" s="54" t="s">
        <v>655</v>
      </c>
      <c r="Y100" s="54"/>
      <c r="Z100" s="54"/>
      <c r="AA100" s="54"/>
      <c r="AB100" s="54" t="s">
        <v>290</v>
      </c>
      <c r="AC100" s="54" t="s">
        <v>290</v>
      </c>
      <c r="AD100" s="54" t="s">
        <v>290</v>
      </c>
      <c r="AE100" s="54" t="s">
        <v>290</v>
      </c>
      <c r="AF100" s="54" t="s">
        <v>291</v>
      </c>
      <c r="AG100" s="54" t="s">
        <v>291</v>
      </c>
      <c r="AH100" s="54" t="s">
        <v>290</v>
      </c>
      <c r="AI100" s="54">
        <v>0</v>
      </c>
      <c r="AJ100" s="57" t="s">
        <v>291</v>
      </c>
    </row>
    <row r="101" spans="1:36" x14ac:dyDescent="0.45">
      <c r="A101" s="53">
        <v>85</v>
      </c>
      <c r="B101" s="43">
        <v>851</v>
      </c>
      <c r="C101" s="54" t="s">
        <v>279</v>
      </c>
      <c r="D101" s="54" t="s">
        <v>100</v>
      </c>
      <c r="E101" s="55"/>
      <c r="F101" s="54" t="s">
        <v>675</v>
      </c>
      <c r="G101" s="54" t="s">
        <v>281</v>
      </c>
      <c r="H101" s="54" t="s">
        <v>682</v>
      </c>
      <c r="I101" s="54" t="s">
        <v>683</v>
      </c>
      <c r="J101" s="54" t="s">
        <v>678</v>
      </c>
      <c r="K101" s="54" t="s">
        <v>285</v>
      </c>
      <c r="L101" s="54" t="s">
        <v>682</v>
      </c>
      <c r="M101" s="54" t="s">
        <v>684</v>
      </c>
      <c r="N101" s="54" t="s">
        <v>678</v>
      </c>
      <c r="O101" s="54" t="s">
        <v>286</v>
      </c>
      <c r="P101" s="54" t="s">
        <v>682</v>
      </c>
      <c r="Q101" s="54" t="s">
        <v>684</v>
      </c>
      <c r="R101" s="56">
        <v>0.18</v>
      </c>
      <c r="S101" s="54">
        <v>100</v>
      </c>
      <c r="T101" s="54" t="s">
        <v>146</v>
      </c>
      <c r="U101" s="54" t="s">
        <v>185</v>
      </c>
      <c r="V101" s="54" t="s">
        <v>552</v>
      </c>
      <c r="W101" s="54" t="s">
        <v>553</v>
      </c>
      <c r="X101" s="54" t="s">
        <v>655</v>
      </c>
      <c r="Y101" s="54"/>
      <c r="Z101" s="54"/>
      <c r="AA101" s="54"/>
      <c r="AB101" s="54" t="s">
        <v>290</v>
      </c>
      <c r="AC101" s="54" t="s">
        <v>290</v>
      </c>
      <c r="AD101" s="54" t="s">
        <v>290</v>
      </c>
      <c r="AE101" s="54" t="s">
        <v>290</v>
      </c>
      <c r="AF101" s="54" t="s">
        <v>291</v>
      </c>
      <c r="AG101" s="54" t="s">
        <v>291</v>
      </c>
      <c r="AH101" s="54" t="s">
        <v>290</v>
      </c>
      <c r="AI101" s="54">
        <v>0</v>
      </c>
      <c r="AJ101" s="57" t="s">
        <v>291</v>
      </c>
    </row>
    <row r="102" spans="1:36" x14ac:dyDescent="0.45">
      <c r="A102" s="53">
        <v>85</v>
      </c>
      <c r="B102" s="43">
        <v>852</v>
      </c>
      <c r="C102" s="54" t="s">
        <v>279</v>
      </c>
      <c r="D102" s="54" t="s">
        <v>100</v>
      </c>
      <c r="E102" s="55"/>
      <c r="F102" s="54" t="s">
        <v>675</v>
      </c>
      <c r="G102" s="54" t="s">
        <v>281</v>
      </c>
      <c r="H102" s="54" t="s">
        <v>656</v>
      </c>
      <c r="I102" s="54" t="s">
        <v>685</v>
      </c>
      <c r="J102" s="54" t="s">
        <v>678</v>
      </c>
      <c r="K102" s="54" t="s">
        <v>285</v>
      </c>
      <c r="L102" s="54" t="s">
        <v>656</v>
      </c>
      <c r="M102" s="54" t="s">
        <v>686</v>
      </c>
      <c r="N102" s="54" t="s">
        <v>678</v>
      </c>
      <c r="O102" s="54" t="s">
        <v>286</v>
      </c>
      <c r="P102" s="54" t="s">
        <v>656</v>
      </c>
      <c r="Q102" s="54" t="s">
        <v>686</v>
      </c>
      <c r="R102" s="56">
        <v>0.2</v>
      </c>
      <c r="S102" s="54">
        <v>100</v>
      </c>
      <c r="T102" s="54" t="s">
        <v>146</v>
      </c>
      <c r="U102" s="54" t="s">
        <v>185</v>
      </c>
      <c r="V102" s="54" t="s">
        <v>552</v>
      </c>
      <c r="W102" s="54" t="s">
        <v>553</v>
      </c>
      <c r="X102" s="54" t="s">
        <v>655</v>
      </c>
      <c r="Y102" s="54"/>
      <c r="Z102" s="54"/>
      <c r="AA102" s="54"/>
      <c r="AB102" s="54" t="s">
        <v>290</v>
      </c>
      <c r="AC102" s="54" t="s">
        <v>290</v>
      </c>
      <c r="AD102" s="54" t="s">
        <v>290</v>
      </c>
      <c r="AE102" s="54" t="s">
        <v>290</v>
      </c>
      <c r="AF102" s="54" t="s">
        <v>291</v>
      </c>
      <c r="AG102" s="54" t="s">
        <v>291</v>
      </c>
      <c r="AH102" s="54" t="s">
        <v>290</v>
      </c>
      <c r="AI102" s="54">
        <v>0</v>
      </c>
      <c r="AJ102" s="57" t="s">
        <v>291</v>
      </c>
    </row>
    <row r="103" spans="1:36" x14ac:dyDescent="0.45">
      <c r="A103" s="53">
        <v>85</v>
      </c>
      <c r="B103" s="43">
        <v>853</v>
      </c>
      <c r="C103" s="54" t="s">
        <v>279</v>
      </c>
      <c r="D103" s="54" t="s">
        <v>100</v>
      </c>
      <c r="E103" s="55"/>
      <c r="F103" s="54" t="s">
        <v>675</v>
      </c>
      <c r="G103" s="54" t="s">
        <v>281</v>
      </c>
      <c r="H103" s="54" t="s">
        <v>282</v>
      </c>
      <c r="I103" s="54" t="s">
        <v>687</v>
      </c>
      <c r="J103" s="54" t="s">
        <v>678</v>
      </c>
      <c r="K103" s="54" t="s">
        <v>285</v>
      </c>
      <c r="L103" s="54" t="s">
        <v>282</v>
      </c>
      <c r="M103" s="54" t="s">
        <v>688</v>
      </c>
      <c r="N103" s="54" t="s">
        <v>678</v>
      </c>
      <c r="O103" s="54" t="s">
        <v>286</v>
      </c>
      <c r="P103" s="54" t="s">
        <v>282</v>
      </c>
      <c r="Q103" s="54" t="s">
        <v>688</v>
      </c>
      <c r="R103" s="56">
        <v>0.25</v>
      </c>
      <c r="S103" s="54">
        <v>100</v>
      </c>
      <c r="T103" s="54" t="s">
        <v>146</v>
      </c>
      <c r="U103" s="54" t="s">
        <v>185</v>
      </c>
      <c r="V103" s="54" t="s">
        <v>552</v>
      </c>
      <c r="W103" s="54" t="s">
        <v>553</v>
      </c>
      <c r="X103" s="54" t="s">
        <v>655</v>
      </c>
      <c r="Y103" s="54"/>
      <c r="Z103" s="54"/>
      <c r="AA103" s="54"/>
      <c r="AB103" s="54" t="s">
        <v>290</v>
      </c>
      <c r="AC103" s="54" t="s">
        <v>290</v>
      </c>
      <c r="AD103" s="54" t="s">
        <v>290</v>
      </c>
      <c r="AE103" s="54" t="s">
        <v>290</v>
      </c>
      <c r="AF103" s="54" t="s">
        <v>291</v>
      </c>
      <c r="AG103" s="54" t="s">
        <v>291</v>
      </c>
      <c r="AH103" s="54" t="s">
        <v>290</v>
      </c>
      <c r="AI103" s="54">
        <v>0</v>
      </c>
      <c r="AJ103" s="57" t="s">
        <v>291</v>
      </c>
    </row>
    <row r="104" spans="1:36" x14ac:dyDescent="0.45">
      <c r="A104" s="53">
        <v>86</v>
      </c>
      <c r="B104" s="43">
        <v>854</v>
      </c>
      <c r="C104" s="54" t="s">
        <v>279</v>
      </c>
      <c r="D104" s="54" t="s">
        <v>100</v>
      </c>
      <c r="E104" s="55"/>
      <c r="F104" s="54" t="s">
        <v>675</v>
      </c>
      <c r="G104" s="54" t="s">
        <v>281</v>
      </c>
      <c r="H104" s="54" t="s">
        <v>426</v>
      </c>
      <c r="I104" s="54" t="s">
        <v>689</v>
      </c>
      <c r="J104" s="54" t="s">
        <v>678</v>
      </c>
      <c r="K104" s="54" t="s">
        <v>285</v>
      </c>
      <c r="L104" s="54" t="s">
        <v>426</v>
      </c>
      <c r="M104" s="54" t="s">
        <v>690</v>
      </c>
      <c r="N104" s="54" t="s">
        <v>678</v>
      </c>
      <c r="O104" s="54" t="s">
        <v>286</v>
      </c>
      <c r="P104" s="54" t="s">
        <v>426</v>
      </c>
      <c r="Q104" s="54" t="s">
        <v>690</v>
      </c>
      <c r="R104" s="56">
        <v>0.4</v>
      </c>
      <c r="S104" s="54">
        <v>100</v>
      </c>
      <c r="T104" s="54" t="s">
        <v>146</v>
      </c>
      <c r="U104" s="54" t="s">
        <v>185</v>
      </c>
      <c r="V104" s="54" t="s">
        <v>552</v>
      </c>
      <c r="W104" s="54" t="s">
        <v>553</v>
      </c>
      <c r="X104" s="54" t="s">
        <v>655</v>
      </c>
      <c r="Y104" s="54"/>
      <c r="Z104" s="54"/>
      <c r="AA104" s="54"/>
      <c r="AB104" s="54" t="s">
        <v>290</v>
      </c>
      <c r="AC104" s="54" t="s">
        <v>290</v>
      </c>
      <c r="AD104" s="54" t="s">
        <v>290</v>
      </c>
      <c r="AE104" s="54" t="s">
        <v>290</v>
      </c>
      <c r="AF104" s="54" t="s">
        <v>291</v>
      </c>
      <c r="AG104" s="54" t="s">
        <v>291</v>
      </c>
      <c r="AH104" s="54" t="s">
        <v>290</v>
      </c>
      <c r="AI104" s="54">
        <v>0</v>
      </c>
      <c r="AJ104" s="57" t="s">
        <v>291</v>
      </c>
    </row>
    <row r="105" spans="1:36" x14ac:dyDescent="0.45">
      <c r="A105" s="53">
        <v>86</v>
      </c>
      <c r="B105" s="43">
        <v>855</v>
      </c>
      <c r="C105" s="54" t="s">
        <v>279</v>
      </c>
      <c r="D105" s="54" t="s">
        <v>100</v>
      </c>
      <c r="E105" s="55"/>
      <c r="F105" s="54" t="s">
        <v>675</v>
      </c>
      <c r="G105" s="54" t="s">
        <v>281</v>
      </c>
      <c r="H105" s="54" t="s">
        <v>298</v>
      </c>
      <c r="I105" s="54" t="s">
        <v>691</v>
      </c>
      <c r="J105" s="54" t="s">
        <v>678</v>
      </c>
      <c r="K105" s="54" t="s">
        <v>285</v>
      </c>
      <c r="L105" s="54" t="s">
        <v>298</v>
      </c>
      <c r="M105" s="54" t="s">
        <v>692</v>
      </c>
      <c r="N105" s="54" t="s">
        <v>678</v>
      </c>
      <c r="O105" s="54" t="s">
        <v>286</v>
      </c>
      <c r="P105" s="54" t="s">
        <v>298</v>
      </c>
      <c r="Q105" s="54" t="s">
        <v>692</v>
      </c>
      <c r="R105" s="56">
        <v>0.5</v>
      </c>
      <c r="S105" s="54">
        <v>100</v>
      </c>
      <c r="T105" s="54" t="s">
        <v>146</v>
      </c>
      <c r="U105" s="54" t="s">
        <v>185</v>
      </c>
      <c r="V105" s="54" t="s">
        <v>552</v>
      </c>
      <c r="W105" s="54" t="s">
        <v>553</v>
      </c>
      <c r="X105" s="54" t="s">
        <v>655</v>
      </c>
      <c r="Y105" s="54"/>
      <c r="Z105" s="54"/>
      <c r="AA105" s="54"/>
      <c r="AB105" s="54" t="s">
        <v>290</v>
      </c>
      <c r="AC105" s="54" t="s">
        <v>290</v>
      </c>
      <c r="AD105" s="54" t="s">
        <v>290</v>
      </c>
      <c r="AE105" s="54" t="s">
        <v>290</v>
      </c>
      <c r="AF105" s="54" t="s">
        <v>291</v>
      </c>
      <c r="AG105" s="54" t="s">
        <v>291</v>
      </c>
      <c r="AH105" s="54" t="s">
        <v>290</v>
      </c>
      <c r="AI105" s="54">
        <v>0</v>
      </c>
      <c r="AJ105" s="57" t="s">
        <v>291</v>
      </c>
    </row>
    <row r="106" spans="1:36" x14ac:dyDescent="0.45">
      <c r="A106" s="53">
        <v>89</v>
      </c>
      <c r="B106" s="43">
        <v>856</v>
      </c>
      <c r="C106" s="54" t="s">
        <v>279</v>
      </c>
      <c r="D106" s="54" t="s">
        <v>100</v>
      </c>
      <c r="E106" s="55"/>
      <c r="F106" s="54" t="s">
        <v>693</v>
      </c>
      <c r="G106" s="54" t="s">
        <v>281</v>
      </c>
      <c r="H106" s="54" t="s">
        <v>694</v>
      </c>
      <c r="I106" s="54" t="s">
        <v>695</v>
      </c>
      <c r="J106" s="54" t="s">
        <v>696</v>
      </c>
      <c r="K106" s="54" t="s">
        <v>285</v>
      </c>
      <c r="L106" s="54" t="s">
        <v>694</v>
      </c>
      <c r="M106" s="54" t="s">
        <v>697</v>
      </c>
      <c r="N106" s="54" t="s">
        <v>698</v>
      </c>
      <c r="O106" s="54" t="s">
        <v>286</v>
      </c>
      <c r="P106" s="54" t="s">
        <v>694</v>
      </c>
      <c r="Q106" s="54" t="s">
        <v>699</v>
      </c>
      <c r="R106" s="56">
        <v>0.04</v>
      </c>
      <c r="S106" s="54">
        <v>100</v>
      </c>
      <c r="T106" s="54" t="s">
        <v>146</v>
      </c>
      <c r="U106" s="54" t="s">
        <v>185</v>
      </c>
      <c r="V106" s="54" t="s">
        <v>552</v>
      </c>
      <c r="W106" s="54" t="s">
        <v>553</v>
      </c>
      <c r="X106" s="54" t="s">
        <v>655</v>
      </c>
      <c r="Y106" s="54"/>
      <c r="Z106" s="54"/>
      <c r="AA106" s="54"/>
      <c r="AB106" s="54" t="s">
        <v>290</v>
      </c>
      <c r="AC106" s="54" t="s">
        <v>290</v>
      </c>
      <c r="AD106" s="54" t="s">
        <v>290</v>
      </c>
      <c r="AE106" s="54" t="s">
        <v>290</v>
      </c>
      <c r="AF106" s="54" t="s">
        <v>291</v>
      </c>
      <c r="AG106" s="54" t="s">
        <v>291</v>
      </c>
      <c r="AH106" s="54" t="s">
        <v>290</v>
      </c>
      <c r="AI106" s="54">
        <v>0.05</v>
      </c>
      <c r="AJ106" s="57" t="s">
        <v>291</v>
      </c>
    </row>
    <row r="107" spans="1:36" x14ac:dyDescent="0.45">
      <c r="A107" s="53">
        <v>89</v>
      </c>
      <c r="B107" s="43">
        <v>857</v>
      </c>
      <c r="C107" s="54" t="s">
        <v>279</v>
      </c>
      <c r="D107" s="54" t="s">
        <v>100</v>
      </c>
      <c r="E107" s="55"/>
      <c r="F107" s="54" t="s">
        <v>693</v>
      </c>
      <c r="G107" s="54" t="s">
        <v>281</v>
      </c>
      <c r="H107" s="54" t="s">
        <v>700</v>
      </c>
      <c r="I107" s="54" t="s">
        <v>701</v>
      </c>
      <c r="J107" s="54" t="s">
        <v>696</v>
      </c>
      <c r="K107" s="54" t="s">
        <v>285</v>
      </c>
      <c r="L107" s="54" t="s">
        <v>700</v>
      </c>
      <c r="M107" s="54" t="s">
        <v>702</v>
      </c>
      <c r="N107" s="54" t="s">
        <v>698</v>
      </c>
      <c r="O107" s="54" t="s">
        <v>286</v>
      </c>
      <c r="P107" s="54" t="s">
        <v>700</v>
      </c>
      <c r="Q107" s="54" t="s">
        <v>703</v>
      </c>
      <c r="R107" s="56">
        <v>0.06</v>
      </c>
      <c r="S107" s="54">
        <v>100</v>
      </c>
      <c r="T107" s="54" t="s">
        <v>146</v>
      </c>
      <c r="U107" s="54" t="s">
        <v>185</v>
      </c>
      <c r="V107" s="54" t="s">
        <v>552</v>
      </c>
      <c r="W107" s="54" t="s">
        <v>553</v>
      </c>
      <c r="X107" s="54" t="s">
        <v>655</v>
      </c>
      <c r="Y107" s="54"/>
      <c r="Z107" s="54"/>
      <c r="AA107" s="54"/>
      <c r="AB107" s="54" t="s">
        <v>290</v>
      </c>
      <c r="AC107" s="54" t="s">
        <v>290</v>
      </c>
      <c r="AD107" s="54" t="s">
        <v>290</v>
      </c>
      <c r="AE107" s="54" t="s">
        <v>290</v>
      </c>
      <c r="AF107" s="54" t="s">
        <v>291</v>
      </c>
      <c r="AG107" s="54" t="s">
        <v>291</v>
      </c>
      <c r="AH107" s="54" t="s">
        <v>290</v>
      </c>
      <c r="AI107" s="54">
        <v>0.05</v>
      </c>
      <c r="AJ107" s="57" t="s">
        <v>291</v>
      </c>
    </row>
    <row r="108" spans="1:36" x14ac:dyDescent="0.45">
      <c r="A108" s="53">
        <v>89</v>
      </c>
      <c r="B108" s="43">
        <v>858</v>
      </c>
      <c r="C108" s="54" t="s">
        <v>279</v>
      </c>
      <c r="D108" s="54" t="s">
        <v>100</v>
      </c>
      <c r="E108" s="55"/>
      <c r="F108" s="54" t="s">
        <v>693</v>
      </c>
      <c r="G108" s="54" t="s">
        <v>281</v>
      </c>
      <c r="H108" s="54" t="s">
        <v>499</v>
      </c>
      <c r="I108" s="54" t="s">
        <v>704</v>
      </c>
      <c r="J108" s="54" t="s">
        <v>696</v>
      </c>
      <c r="K108" s="54" t="s">
        <v>285</v>
      </c>
      <c r="L108" s="54" t="s">
        <v>499</v>
      </c>
      <c r="M108" s="54" t="s">
        <v>705</v>
      </c>
      <c r="N108" s="54" t="s">
        <v>698</v>
      </c>
      <c r="O108" s="54" t="s">
        <v>286</v>
      </c>
      <c r="P108" s="54" t="s">
        <v>499</v>
      </c>
      <c r="Q108" s="54" t="s">
        <v>706</v>
      </c>
      <c r="R108" s="56">
        <v>0.1</v>
      </c>
      <c r="S108" s="54">
        <v>100</v>
      </c>
      <c r="T108" s="54" t="s">
        <v>146</v>
      </c>
      <c r="U108" s="54" t="s">
        <v>185</v>
      </c>
      <c r="V108" s="54" t="s">
        <v>552</v>
      </c>
      <c r="W108" s="54" t="s">
        <v>553</v>
      </c>
      <c r="X108" s="54" t="s">
        <v>655</v>
      </c>
      <c r="Y108" s="54"/>
      <c r="Z108" s="54"/>
      <c r="AA108" s="54"/>
      <c r="AB108" s="54" t="s">
        <v>290</v>
      </c>
      <c r="AC108" s="54" t="s">
        <v>290</v>
      </c>
      <c r="AD108" s="54" t="s">
        <v>290</v>
      </c>
      <c r="AE108" s="54" t="s">
        <v>290</v>
      </c>
      <c r="AF108" s="54" t="s">
        <v>291</v>
      </c>
      <c r="AG108" s="54" t="s">
        <v>291</v>
      </c>
      <c r="AH108" s="54" t="s">
        <v>290</v>
      </c>
      <c r="AI108" s="54">
        <v>0.05</v>
      </c>
      <c r="AJ108" s="57" t="s">
        <v>291</v>
      </c>
    </row>
    <row r="109" spans="1:36" x14ac:dyDescent="0.45">
      <c r="A109" s="53">
        <v>92</v>
      </c>
      <c r="B109" s="43">
        <v>859</v>
      </c>
      <c r="C109" s="54" t="s">
        <v>279</v>
      </c>
      <c r="D109" s="54" t="s">
        <v>100</v>
      </c>
      <c r="E109" s="55"/>
      <c r="F109" s="54" t="s">
        <v>707</v>
      </c>
      <c r="G109" s="54" t="s">
        <v>281</v>
      </c>
      <c r="H109" s="54" t="s">
        <v>303</v>
      </c>
      <c r="I109" s="54" t="s">
        <v>707</v>
      </c>
      <c r="J109" s="54" t="s">
        <v>708</v>
      </c>
      <c r="K109" s="54" t="s">
        <v>285</v>
      </c>
      <c r="L109" s="54" t="s">
        <v>305</v>
      </c>
      <c r="M109" s="54" t="s">
        <v>708</v>
      </c>
      <c r="N109" s="54" t="s">
        <v>709</v>
      </c>
      <c r="O109" s="54" t="s">
        <v>286</v>
      </c>
      <c r="P109" s="54" t="s">
        <v>306</v>
      </c>
      <c r="Q109" s="54" t="s">
        <v>709</v>
      </c>
      <c r="R109" s="56">
        <v>1</v>
      </c>
      <c r="S109" s="54">
        <v>1</v>
      </c>
      <c r="T109" s="54" t="s">
        <v>153</v>
      </c>
      <c r="U109" s="54" t="s">
        <v>185</v>
      </c>
      <c r="V109" s="54" t="s">
        <v>552</v>
      </c>
      <c r="W109" s="54" t="s">
        <v>553</v>
      </c>
      <c r="X109" s="54" t="s">
        <v>655</v>
      </c>
      <c r="Y109" s="54"/>
      <c r="Z109" s="54"/>
      <c r="AA109" s="54"/>
      <c r="AB109" s="54" t="s">
        <v>290</v>
      </c>
      <c r="AC109" s="54" t="s">
        <v>290</v>
      </c>
      <c r="AD109" s="54" t="s">
        <v>290</v>
      </c>
      <c r="AE109" s="54" t="s">
        <v>290</v>
      </c>
      <c r="AF109" s="54" t="s">
        <v>291</v>
      </c>
      <c r="AG109" s="54" t="s">
        <v>291</v>
      </c>
      <c r="AH109" s="54" t="s">
        <v>290</v>
      </c>
      <c r="AI109" s="54">
        <v>0</v>
      </c>
      <c r="AJ109" s="57" t="s">
        <v>291</v>
      </c>
    </row>
    <row r="110" spans="1:36" x14ac:dyDescent="0.45">
      <c r="A110" s="53">
        <v>78</v>
      </c>
      <c r="B110" s="43">
        <v>860</v>
      </c>
      <c r="C110" s="54" t="s">
        <v>279</v>
      </c>
      <c r="D110" s="54" t="s">
        <v>100</v>
      </c>
      <c r="E110" s="55"/>
      <c r="F110" s="54" t="s">
        <v>710</v>
      </c>
      <c r="G110" s="54" t="s">
        <v>281</v>
      </c>
      <c r="H110" s="54" t="s">
        <v>303</v>
      </c>
      <c r="I110" s="54" t="s">
        <v>710</v>
      </c>
      <c r="J110" s="54" t="s">
        <v>711</v>
      </c>
      <c r="K110" s="54" t="s">
        <v>285</v>
      </c>
      <c r="L110" s="54" t="s">
        <v>305</v>
      </c>
      <c r="M110" s="54" t="s">
        <v>711</v>
      </c>
      <c r="N110" s="54" t="s">
        <v>712</v>
      </c>
      <c r="O110" s="54" t="s">
        <v>286</v>
      </c>
      <c r="P110" s="54" t="s">
        <v>306</v>
      </c>
      <c r="Q110" s="54" t="s">
        <v>712</v>
      </c>
      <c r="R110" s="56">
        <v>1</v>
      </c>
      <c r="S110" s="54">
        <v>1</v>
      </c>
      <c r="T110" s="54" t="s">
        <v>153</v>
      </c>
      <c r="U110" s="54" t="s">
        <v>185</v>
      </c>
      <c r="V110" s="54" t="s">
        <v>552</v>
      </c>
      <c r="W110" s="54" t="s">
        <v>601</v>
      </c>
      <c r="X110" s="54" t="s">
        <v>713</v>
      </c>
      <c r="Y110" s="54"/>
      <c r="Z110" s="54"/>
      <c r="AA110" s="54"/>
      <c r="AB110" s="54" t="s">
        <v>290</v>
      </c>
      <c r="AC110" s="54" t="s">
        <v>290</v>
      </c>
      <c r="AD110" s="54" t="s">
        <v>290</v>
      </c>
      <c r="AE110" s="54" t="s">
        <v>290</v>
      </c>
      <c r="AF110" s="54" t="s">
        <v>291</v>
      </c>
      <c r="AG110" s="54" t="s">
        <v>291</v>
      </c>
      <c r="AH110" s="54" t="s">
        <v>290</v>
      </c>
      <c r="AI110" s="54">
        <v>0</v>
      </c>
      <c r="AJ110" s="57" t="s">
        <v>291</v>
      </c>
    </row>
    <row r="111" spans="1:36" x14ac:dyDescent="0.45">
      <c r="A111" s="53">
        <v>65</v>
      </c>
      <c r="B111" s="54">
        <v>861</v>
      </c>
      <c r="C111" s="54" t="s">
        <v>597</v>
      </c>
      <c r="D111" s="54" t="s">
        <v>100</v>
      </c>
      <c r="E111" s="55"/>
      <c r="F111" s="54" t="s">
        <v>714</v>
      </c>
      <c r="G111" s="54" t="s">
        <v>281</v>
      </c>
      <c r="H111" s="54" t="s">
        <v>616</v>
      </c>
      <c r="I111" s="54" t="s">
        <v>715</v>
      </c>
      <c r="J111" s="54" t="s">
        <v>716</v>
      </c>
      <c r="K111" s="54" t="s">
        <v>285</v>
      </c>
      <c r="L111" s="54" t="s">
        <v>619</v>
      </c>
      <c r="M111" s="54" t="s">
        <v>717</v>
      </c>
      <c r="N111" s="54" t="s">
        <v>718</v>
      </c>
      <c r="O111" s="54" t="s">
        <v>286</v>
      </c>
      <c r="P111" s="54" t="s">
        <v>620</v>
      </c>
      <c r="Q111" s="54" t="s">
        <v>719</v>
      </c>
      <c r="R111" s="56">
        <v>2</v>
      </c>
      <c r="S111" s="54">
        <v>100</v>
      </c>
      <c r="T111" s="54" t="s">
        <v>146</v>
      </c>
      <c r="U111" s="54" t="s">
        <v>185</v>
      </c>
      <c r="V111" s="54" t="s">
        <v>552</v>
      </c>
      <c r="W111" s="54" t="s">
        <v>610</v>
      </c>
      <c r="X111" s="54" t="s">
        <v>720</v>
      </c>
      <c r="Y111" s="54"/>
      <c r="Z111" s="54"/>
      <c r="AA111" s="54"/>
      <c r="AB111" s="54" t="s">
        <v>290</v>
      </c>
      <c r="AC111" s="54" t="s">
        <v>290</v>
      </c>
      <c r="AD111" s="54" t="s">
        <v>290</v>
      </c>
      <c r="AE111" s="54" t="s">
        <v>290</v>
      </c>
      <c r="AF111" s="54" t="s">
        <v>291</v>
      </c>
      <c r="AG111" s="54" t="s">
        <v>291</v>
      </c>
      <c r="AH111" s="54" t="s">
        <v>290</v>
      </c>
      <c r="AI111" s="54">
        <v>0.05</v>
      </c>
      <c r="AJ111" s="57" t="s">
        <v>291</v>
      </c>
    </row>
    <row r="112" spans="1:36" x14ac:dyDescent="0.45">
      <c r="A112" s="53">
        <v>70</v>
      </c>
      <c r="B112" s="54">
        <v>862</v>
      </c>
      <c r="C112" s="54" t="s">
        <v>597</v>
      </c>
      <c r="D112" s="54" t="s">
        <v>100</v>
      </c>
      <c r="E112" s="55"/>
      <c r="F112" s="54" t="s">
        <v>721</v>
      </c>
      <c r="G112" s="54" t="s">
        <v>281</v>
      </c>
      <c r="H112" s="54" t="s">
        <v>616</v>
      </c>
      <c r="I112" s="54" t="s">
        <v>722</v>
      </c>
      <c r="J112" s="54" t="s">
        <v>723</v>
      </c>
      <c r="K112" s="54" t="s">
        <v>285</v>
      </c>
      <c r="L112" s="54" t="s">
        <v>619</v>
      </c>
      <c r="M112" s="54" t="s">
        <v>724</v>
      </c>
      <c r="N112" s="54" t="s">
        <v>721</v>
      </c>
      <c r="O112" s="54" t="s">
        <v>286</v>
      </c>
      <c r="P112" s="54" t="s">
        <v>620</v>
      </c>
      <c r="Q112" s="54" t="s">
        <v>725</v>
      </c>
      <c r="R112" s="56">
        <v>2</v>
      </c>
      <c r="S112" s="54">
        <v>100</v>
      </c>
      <c r="T112" s="54" t="s">
        <v>146</v>
      </c>
      <c r="U112" s="54" t="s">
        <v>185</v>
      </c>
      <c r="V112" s="54" t="s">
        <v>552</v>
      </c>
      <c r="W112" s="54" t="s">
        <v>610</v>
      </c>
      <c r="X112" s="54" t="s">
        <v>720</v>
      </c>
      <c r="Y112" s="54"/>
      <c r="Z112" s="54"/>
      <c r="AA112" s="54"/>
      <c r="AB112" s="54" t="s">
        <v>290</v>
      </c>
      <c r="AC112" s="54" t="s">
        <v>290</v>
      </c>
      <c r="AD112" s="54" t="s">
        <v>290</v>
      </c>
      <c r="AE112" s="54" t="s">
        <v>290</v>
      </c>
      <c r="AF112" s="54" t="s">
        <v>291</v>
      </c>
      <c r="AG112" s="54" t="s">
        <v>291</v>
      </c>
      <c r="AH112" s="54" t="s">
        <v>290</v>
      </c>
      <c r="AI112" s="54">
        <v>0.05</v>
      </c>
      <c r="AJ112" s="57" t="s">
        <v>291</v>
      </c>
    </row>
    <row r="113" spans="1:36" x14ac:dyDescent="0.45">
      <c r="A113" s="53">
        <v>84</v>
      </c>
      <c r="B113" s="54">
        <v>863</v>
      </c>
      <c r="C113" s="54" t="s">
        <v>597</v>
      </c>
      <c r="D113" s="54" t="s">
        <v>100</v>
      </c>
      <c r="E113" s="55"/>
      <c r="F113" s="54" t="s">
        <v>726</v>
      </c>
      <c r="G113" s="54" t="s">
        <v>281</v>
      </c>
      <c r="H113" s="54" t="s">
        <v>616</v>
      </c>
      <c r="I113" s="54" t="s">
        <v>727</v>
      </c>
      <c r="J113" s="54" t="s">
        <v>728</v>
      </c>
      <c r="K113" s="54" t="s">
        <v>285</v>
      </c>
      <c r="L113" s="54" t="s">
        <v>619</v>
      </c>
      <c r="M113" s="54" t="s">
        <v>729</v>
      </c>
      <c r="N113" s="54" t="s">
        <v>730</v>
      </c>
      <c r="O113" s="54" t="s">
        <v>286</v>
      </c>
      <c r="P113" s="54" t="s">
        <v>620</v>
      </c>
      <c r="Q113" s="54" t="s">
        <v>731</v>
      </c>
      <c r="R113" s="56">
        <v>2</v>
      </c>
      <c r="S113" s="54">
        <v>100</v>
      </c>
      <c r="T113" s="54" t="s">
        <v>146</v>
      </c>
      <c r="U113" s="54" t="s">
        <v>185</v>
      </c>
      <c r="V113" s="54" t="s">
        <v>552</v>
      </c>
      <c r="W113" s="54" t="s">
        <v>610</v>
      </c>
      <c r="X113" s="54" t="s">
        <v>720</v>
      </c>
      <c r="Y113" s="54"/>
      <c r="Z113" s="54"/>
      <c r="AA113" s="54"/>
      <c r="AB113" s="54" t="s">
        <v>290</v>
      </c>
      <c r="AC113" s="54" t="s">
        <v>290</v>
      </c>
      <c r="AD113" s="54" t="s">
        <v>290</v>
      </c>
      <c r="AE113" s="54" t="s">
        <v>290</v>
      </c>
      <c r="AF113" s="54" t="s">
        <v>291</v>
      </c>
      <c r="AG113" s="54" t="s">
        <v>291</v>
      </c>
      <c r="AH113" s="54" t="s">
        <v>290</v>
      </c>
      <c r="AI113" s="54">
        <v>0</v>
      </c>
      <c r="AJ113" s="57" t="s">
        <v>291</v>
      </c>
    </row>
    <row r="114" spans="1:36" x14ac:dyDescent="0.45">
      <c r="A114" s="53">
        <v>90</v>
      </c>
      <c r="B114" s="54">
        <v>864</v>
      </c>
      <c r="C114" s="54" t="s">
        <v>597</v>
      </c>
      <c r="D114" s="54" t="s">
        <v>100</v>
      </c>
      <c r="E114" s="55"/>
      <c r="F114" s="54" t="s">
        <v>732</v>
      </c>
      <c r="G114" s="54" t="s">
        <v>281</v>
      </c>
      <c r="H114" s="54" t="s">
        <v>616</v>
      </c>
      <c r="I114" s="54" t="s">
        <v>733</v>
      </c>
      <c r="J114" s="54" t="s">
        <v>734</v>
      </c>
      <c r="K114" s="54" t="s">
        <v>285</v>
      </c>
      <c r="L114" s="54" t="s">
        <v>619</v>
      </c>
      <c r="M114" s="54" t="s">
        <v>735</v>
      </c>
      <c r="N114" s="54" t="s">
        <v>736</v>
      </c>
      <c r="O114" s="54" t="s">
        <v>286</v>
      </c>
      <c r="P114" s="54" t="s">
        <v>620</v>
      </c>
      <c r="Q114" s="54" t="s">
        <v>737</v>
      </c>
      <c r="R114" s="56">
        <v>2</v>
      </c>
      <c r="S114" s="54">
        <v>100</v>
      </c>
      <c r="T114" s="54" t="s">
        <v>146</v>
      </c>
      <c r="U114" s="54" t="s">
        <v>185</v>
      </c>
      <c r="V114" s="54" t="s">
        <v>552</v>
      </c>
      <c r="W114" s="54" t="s">
        <v>610</v>
      </c>
      <c r="X114" s="54" t="s">
        <v>720</v>
      </c>
      <c r="Y114" s="54"/>
      <c r="Z114" s="54"/>
      <c r="AA114" s="54"/>
      <c r="AB114" s="54" t="s">
        <v>290</v>
      </c>
      <c r="AC114" s="54" t="s">
        <v>290</v>
      </c>
      <c r="AD114" s="54" t="s">
        <v>290</v>
      </c>
      <c r="AE114" s="54" t="s">
        <v>290</v>
      </c>
      <c r="AF114" s="54" t="s">
        <v>291</v>
      </c>
      <c r="AG114" s="54" t="s">
        <v>291</v>
      </c>
      <c r="AH114" s="54" t="s">
        <v>290</v>
      </c>
      <c r="AI114" s="54">
        <v>0.05</v>
      </c>
      <c r="AJ114" s="57" t="s">
        <v>291</v>
      </c>
    </row>
    <row r="115" spans="1:36" x14ac:dyDescent="0.45">
      <c r="A115" s="53">
        <v>91</v>
      </c>
      <c r="B115" s="54">
        <v>865</v>
      </c>
      <c r="C115" s="54" t="s">
        <v>597</v>
      </c>
      <c r="D115" s="54" t="s">
        <v>100</v>
      </c>
      <c r="E115" s="55"/>
      <c r="F115" s="54" t="s">
        <v>738</v>
      </c>
      <c r="G115" s="54" t="s">
        <v>281</v>
      </c>
      <c r="H115" s="54" t="s">
        <v>616</v>
      </c>
      <c r="I115" s="54" t="s">
        <v>739</v>
      </c>
      <c r="J115" s="54" t="s">
        <v>740</v>
      </c>
      <c r="K115" s="54" t="s">
        <v>285</v>
      </c>
      <c r="L115" s="54" t="s">
        <v>619</v>
      </c>
      <c r="M115" s="54" t="s">
        <v>741</v>
      </c>
      <c r="N115" s="54" t="s">
        <v>742</v>
      </c>
      <c r="O115" s="54" t="s">
        <v>286</v>
      </c>
      <c r="P115" s="54" t="s">
        <v>620</v>
      </c>
      <c r="Q115" s="54" t="s">
        <v>743</v>
      </c>
      <c r="R115" s="56">
        <v>2</v>
      </c>
      <c r="S115" s="54">
        <v>100</v>
      </c>
      <c r="T115" s="54" t="s">
        <v>146</v>
      </c>
      <c r="U115" s="54" t="s">
        <v>185</v>
      </c>
      <c r="V115" s="54" t="s">
        <v>552</v>
      </c>
      <c r="W115" s="54" t="s">
        <v>610</v>
      </c>
      <c r="X115" s="54" t="s">
        <v>720</v>
      </c>
      <c r="Y115" s="54"/>
      <c r="Z115" s="54"/>
      <c r="AA115" s="54"/>
      <c r="AB115" s="54" t="s">
        <v>290</v>
      </c>
      <c r="AC115" s="54" t="s">
        <v>290</v>
      </c>
      <c r="AD115" s="54" t="s">
        <v>290</v>
      </c>
      <c r="AE115" s="54" t="s">
        <v>290</v>
      </c>
      <c r="AF115" s="54" t="s">
        <v>291</v>
      </c>
      <c r="AG115" s="54" t="s">
        <v>291</v>
      </c>
      <c r="AH115" s="54" t="s">
        <v>290</v>
      </c>
      <c r="AI115" s="54">
        <v>0.05</v>
      </c>
      <c r="AJ115" s="57" t="s">
        <v>291</v>
      </c>
    </row>
    <row r="116" spans="1:36" x14ac:dyDescent="0.45">
      <c r="A116" s="53">
        <v>97</v>
      </c>
      <c r="B116" s="54">
        <v>866</v>
      </c>
      <c r="C116" s="54" t="s">
        <v>597</v>
      </c>
      <c r="D116" s="54" t="s">
        <v>100</v>
      </c>
      <c r="E116" s="55"/>
      <c r="F116" s="54" t="s">
        <v>744</v>
      </c>
      <c r="G116" s="54" t="s">
        <v>281</v>
      </c>
      <c r="H116" s="54" t="s">
        <v>616</v>
      </c>
      <c r="I116" s="54" t="s">
        <v>745</v>
      </c>
      <c r="J116" s="54" t="s">
        <v>746</v>
      </c>
      <c r="K116" s="54" t="s">
        <v>285</v>
      </c>
      <c r="L116" s="54" t="s">
        <v>619</v>
      </c>
      <c r="M116" s="54" t="s">
        <v>747</v>
      </c>
      <c r="N116" s="54" t="s">
        <v>748</v>
      </c>
      <c r="O116" s="54" t="s">
        <v>286</v>
      </c>
      <c r="P116" s="54" t="s">
        <v>620</v>
      </c>
      <c r="Q116" s="54" t="s">
        <v>749</v>
      </c>
      <c r="R116" s="56">
        <v>2</v>
      </c>
      <c r="S116" s="54">
        <v>100</v>
      </c>
      <c r="T116" s="54" t="s">
        <v>146</v>
      </c>
      <c r="U116" s="54" t="s">
        <v>185</v>
      </c>
      <c r="V116" s="54" t="s">
        <v>552</v>
      </c>
      <c r="W116" s="54" t="s">
        <v>610</v>
      </c>
      <c r="X116" s="54" t="s">
        <v>720</v>
      </c>
      <c r="Y116" s="54"/>
      <c r="Z116" s="54"/>
      <c r="AA116" s="54"/>
      <c r="AB116" s="54" t="s">
        <v>290</v>
      </c>
      <c r="AC116" s="54" t="s">
        <v>290</v>
      </c>
      <c r="AD116" s="54" t="s">
        <v>290</v>
      </c>
      <c r="AE116" s="54" t="s">
        <v>290</v>
      </c>
      <c r="AF116" s="54" t="s">
        <v>291</v>
      </c>
      <c r="AG116" s="54" t="s">
        <v>291</v>
      </c>
      <c r="AH116" s="54" t="s">
        <v>290</v>
      </c>
      <c r="AI116" s="54">
        <v>0.05</v>
      </c>
      <c r="AJ116" s="57" t="s">
        <v>291</v>
      </c>
    </row>
    <row r="117" spans="1:36" x14ac:dyDescent="0.45">
      <c r="A117" s="53">
        <v>109</v>
      </c>
      <c r="B117" s="43">
        <v>867</v>
      </c>
      <c r="C117" s="54" t="s">
        <v>279</v>
      </c>
      <c r="D117" s="54" t="s">
        <v>100</v>
      </c>
      <c r="E117" s="55"/>
      <c r="F117" s="54" t="s">
        <v>207</v>
      </c>
      <c r="G117" s="54" t="s">
        <v>281</v>
      </c>
      <c r="H117" s="54" t="s">
        <v>750</v>
      </c>
      <c r="I117" s="54" t="s">
        <v>751</v>
      </c>
      <c r="J117" s="54" t="s">
        <v>215</v>
      </c>
      <c r="K117" s="54" t="s">
        <v>285</v>
      </c>
      <c r="L117" s="54" t="s">
        <v>750</v>
      </c>
      <c r="M117" s="54" t="s">
        <v>752</v>
      </c>
      <c r="N117" s="54" t="s">
        <v>221</v>
      </c>
      <c r="O117" s="54" t="s">
        <v>286</v>
      </c>
      <c r="P117" s="54" t="s">
        <v>750</v>
      </c>
      <c r="Q117" s="54" t="s">
        <v>753</v>
      </c>
      <c r="R117" s="59">
        <v>0.25</v>
      </c>
      <c r="S117" s="54">
        <v>10</v>
      </c>
      <c r="T117" s="54" t="s">
        <v>144</v>
      </c>
      <c r="U117" s="54" t="s">
        <v>185</v>
      </c>
      <c r="V117" s="54" t="s">
        <v>754</v>
      </c>
      <c r="W117" s="54" t="s">
        <v>207</v>
      </c>
      <c r="X117" s="54" t="s">
        <v>207</v>
      </c>
      <c r="Y117" s="54"/>
      <c r="Z117" s="54"/>
      <c r="AA117" s="54"/>
      <c r="AB117" s="54" t="s">
        <v>290</v>
      </c>
      <c r="AC117" s="54" t="s">
        <v>290</v>
      </c>
      <c r="AD117" s="54" t="s">
        <v>290</v>
      </c>
      <c r="AE117" s="54" t="s">
        <v>290</v>
      </c>
      <c r="AF117" s="54" t="s">
        <v>291</v>
      </c>
      <c r="AG117" s="54" t="s">
        <v>291</v>
      </c>
      <c r="AH117" s="54" t="s">
        <v>290</v>
      </c>
      <c r="AI117" s="54">
        <v>0</v>
      </c>
      <c r="AJ117" s="57" t="s">
        <v>291</v>
      </c>
    </row>
    <row r="118" spans="1:36" x14ac:dyDescent="0.45">
      <c r="A118" s="53">
        <v>109</v>
      </c>
      <c r="B118" s="43">
        <v>868</v>
      </c>
      <c r="C118" s="54" t="s">
        <v>279</v>
      </c>
      <c r="D118" s="54" t="s">
        <v>100</v>
      </c>
      <c r="E118" s="55"/>
      <c r="F118" s="54" t="s">
        <v>207</v>
      </c>
      <c r="G118" s="54" t="s">
        <v>281</v>
      </c>
      <c r="H118" s="54" t="s">
        <v>755</v>
      </c>
      <c r="I118" s="54" t="s">
        <v>756</v>
      </c>
      <c r="J118" s="54" t="s">
        <v>215</v>
      </c>
      <c r="K118" s="54" t="s">
        <v>285</v>
      </c>
      <c r="L118" s="54" t="s">
        <v>755</v>
      </c>
      <c r="M118" s="54" t="s">
        <v>757</v>
      </c>
      <c r="N118" s="54" t="s">
        <v>221</v>
      </c>
      <c r="O118" s="54" t="s">
        <v>286</v>
      </c>
      <c r="P118" s="54" t="s">
        <v>755</v>
      </c>
      <c r="Q118" s="54" t="s">
        <v>758</v>
      </c>
      <c r="R118" s="59">
        <v>0.25</v>
      </c>
      <c r="S118" s="54">
        <v>10</v>
      </c>
      <c r="T118" s="54" t="s">
        <v>144</v>
      </c>
      <c r="U118" s="54" t="s">
        <v>185</v>
      </c>
      <c r="V118" s="54" t="s">
        <v>754</v>
      </c>
      <c r="W118" s="54" t="s">
        <v>207</v>
      </c>
      <c r="X118" s="54" t="s">
        <v>207</v>
      </c>
      <c r="Y118" s="54"/>
      <c r="Z118" s="54"/>
      <c r="AA118" s="54"/>
      <c r="AB118" s="54" t="s">
        <v>290</v>
      </c>
      <c r="AC118" s="54" t="s">
        <v>290</v>
      </c>
      <c r="AD118" s="54" t="s">
        <v>290</v>
      </c>
      <c r="AE118" s="54" t="s">
        <v>290</v>
      </c>
      <c r="AF118" s="54" t="s">
        <v>291</v>
      </c>
      <c r="AG118" s="54" t="s">
        <v>291</v>
      </c>
      <c r="AH118" s="54" t="s">
        <v>290</v>
      </c>
      <c r="AI118" s="54">
        <v>0</v>
      </c>
      <c r="AJ118" s="57" t="s">
        <v>291</v>
      </c>
    </row>
    <row r="119" spans="1:36" x14ac:dyDescent="0.45">
      <c r="A119" s="53">
        <v>109</v>
      </c>
      <c r="B119" s="43">
        <v>869</v>
      </c>
      <c r="C119" s="54" t="s">
        <v>279</v>
      </c>
      <c r="D119" s="54" t="s">
        <v>100</v>
      </c>
      <c r="E119" s="55"/>
      <c r="F119" s="54" t="s">
        <v>207</v>
      </c>
      <c r="G119" s="54" t="s">
        <v>281</v>
      </c>
      <c r="H119" s="54" t="s">
        <v>759</v>
      </c>
      <c r="I119" s="54" t="s">
        <v>760</v>
      </c>
      <c r="J119" s="54" t="s">
        <v>215</v>
      </c>
      <c r="K119" s="54" t="s">
        <v>285</v>
      </c>
      <c r="L119" s="54" t="s">
        <v>759</v>
      </c>
      <c r="M119" s="54" t="s">
        <v>761</v>
      </c>
      <c r="N119" s="54" t="s">
        <v>221</v>
      </c>
      <c r="O119" s="54" t="s">
        <v>286</v>
      </c>
      <c r="P119" s="54" t="s">
        <v>759</v>
      </c>
      <c r="Q119" s="54" t="s">
        <v>762</v>
      </c>
      <c r="R119" s="56">
        <v>0.25</v>
      </c>
      <c r="S119" s="54">
        <v>10</v>
      </c>
      <c r="T119" s="54" t="s">
        <v>144</v>
      </c>
      <c r="U119" s="54" t="s">
        <v>185</v>
      </c>
      <c r="V119" s="54" t="s">
        <v>754</v>
      </c>
      <c r="W119" s="54" t="s">
        <v>207</v>
      </c>
      <c r="X119" s="54" t="s">
        <v>207</v>
      </c>
      <c r="Y119" s="54"/>
      <c r="Z119" s="54"/>
      <c r="AA119" s="54"/>
      <c r="AB119" s="54" t="s">
        <v>290</v>
      </c>
      <c r="AC119" s="54" t="s">
        <v>290</v>
      </c>
      <c r="AD119" s="54" t="s">
        <v>290</v>
      </c>
      <c r="AE119" s="54" t="s">
        <v>290</v>
      </c>
      <c r="AF119" s="54" t="s">
        <v>291</v>
      </c>
      <c r="AG119" s="54" t="s">
        <v>291</v>
      </c>
      <c r="AH119" s="54" t="s">
        <v>290</v>
      </c>
      <c r="AI119" s="54">
        <v>0</v>
      </c>
      <c r="AJ119" s="57" t="s">
        <v>291</v>
      </c>
    </row>
    <row r="120" spans="1:36" x14ac:dyDescent="0.45">
      <c r="A120" s="53">
        <v>108</v>
      </c>
      <c r="B120" s="43">
        <v>870</v>
      </c>
      <c r="C120" s="54" t="s">
        <v>279</v>
      </c>
      <c r="D120" s="54" t="s">
        <v>100</v>
      </c>
      <c r="E120" s="55"/>
      <c r="F120" s="54" t="s">
        <v>207</v>
      </c>
      <c r="G120" s="54" t="s">
        <v>281</v>
      </c>
      <c r="H120" s="54" t="s">
        <v>763</v>
      </c>
      <c r="I120" s="54" t="s">
        <v>764</v>
      </c>
      <c r="J120" s="54" t="s">
        <v>215</v>
      </c>
      <c r="K120" s="54" t="s">
        <v>285</v>
      </c>
      <c r="L120" s="54" t="s">
        <v>763</v>
      </c>
      <c r="M120" s="54" t="s">
        <v>765</v>
      </c>
      <c r="N120" s="54" t="s">
        <v>221</v>
      </c>
      <c r="O120" s="54" t="s">
        <v>286</v>
      </c>
      <c r="P120" s="54" t="s">
        <v>763</v>
      </c>
      <c r="Q120" s="54" t="s">
        <v>766</v>
      </c>
      <c r="R120" s="59">
        <v>0.33</v>
      </c>
      <c r="S120" s="54">
        <v>10</v>
      </c>
      <c r="T120" s="54" t="s">
        <v>144</v>
      </c>
      <c r="U120" s="54" t="s">
        <v>185</v>
      </c>
      <c r="V120" s="54" t="s">
        <v>754</v>
      </c>
      <c r="W120" s="54" t="s">
        <v>207</v>
      </c>
      <c r="X120" s="54" t="s">
        <v>207</v>
      </c>
      <c r="Y120" s="54"/>
      <c r="Z120" s="54"/>
      <c r="AA120" s="54"/>
      <c r="AB120" s="54" t="s">
        <v>290</v>
      </c>
      <c r="AC120" s="54" t="s">
        <v>290</v>
      </c>
      <c r="AD120" s="54" t="s">
        <v>290</v>
      </c>
      <c r="AE120" s="54" t="s">
        <v>290</v>
      </c>
      <c r="AF120" s="54" t="s">
        <v>291</v>
      </c>
      <c r="AG120" s="54" t="s">
        <v>291</v>
      </c>
      <c r="AH120" s="54" t="s">
        <v>290</v>
      </c>
      <c r="AI120" s="54">
        <v>0</v>
      </c>
      <c r="AJ120" s="57" t="s">
        <v>291</v>
      </c>
    </row>
    <row r="121" spans="1:36" x14ac:dyDescent="0.45">
      <c r="A121" s="53">
        <v>108</v>
      </c>
      <c r="B121" s="43">
        <v>871</v>
      </c>
      <c r="C121" s="54" t="s">
        <v>279</v>
      </c>
      <c r="D121" s="54" t="s">
        <v>100</v>
      </c>
      <c r="E121" s="55"/>
      <c r="F121" s="54" t="s">
        <v>207</v>
      </c>
      <c r="G121" s="54" t="s">
        <v>281</v>
      </c>
      <c r="H121" s="54" t="s">
        <v>767</v>
      </c>
      <c r="I121" s="54" t="s">
        <v>768</v>
      </c>
      <c r="J121" s="54" t="s">
        <v>215</v>
      </c>
      <c r="K121" s="54" t="s">
        <v>285</v>
      </c>
      <c r="L121" s="54" t="s">
        <v>767</v>
      </c>
      <c r="M121" s="54" t="s">
        <v>769</v>
      </c>
      <c r="N121" s="54" t="s">
        <v>221</v>
      </c>
      <c r="O121" s="54" t="s">
        <v>286</v>
      </c>
      <c r="P121" s="54" t="s">
        <v>767</v>
      </c>
      <c r="Q121" s="54" t="s">
        <v>770</v>
      </c>
      <c r="R121" s="59">
        <v>0.33</v>
      </c>
      <c r="S121" s="54">
        <v>10</v>
      </c>
      <c r="T121" s="54" t="s">
        <v>144</v>
      </c>
      <c r="U121" s="54" t="s">
        <v>185</v>
      </c>
      <c r="V121" s="54" t="s">
        <v>754</v>
      </c>
      <c r="W121" s="54" t="s">
        <v>207</v>
      </c>
      <c r="X121" s="54" t="s">
        <v>207</v>
      </c>
      <c r="Y121" s="54"/>
      <c r="Z121" s="54"/>
      <c r="AA121" s="54"/>
      <c r="AB121" s="54" t="s">
        <v>290</v>
      </c>
      <c r="AC121" s="54" t="s">
        <v>290</v>
      </c>
      <c r="AD121" s="54" t="s">
        <v>290</v>
      </c>
      <c r="AE121" s="54" t="s">
        <v>290</v>
      </c>
      <c r="AF121" s="54" t="s">
        <v>291</v>
      </c>
      <c r="AG121" s="54" t="s">
        <v>291</v>
      </c>
      <c r="AH121" s="54" t="s">
        <v>290</v>
      </c>
      <c r="AI121" s="54">
        <v>0</v>
      </c>
      <c r="AJ121" s="57" t="s">
        <v>291</v>
      </c>
    </row>
    <row r="122" spans="1:36" x14ac:dyDescent="0.45">
      <c r="A122" s="53">
        <v>108</v>
      </c>
      <c r="B122" s="43">
        <v>872</v>
      </c>
      <c r="C122" s="54" t="s">
        <v>279</v>
      </c>
      <c r="D122" s="54" t="s">
        <v>100</v>
      </c>
      <c r="E122" s="55"/>
      <c r="F122" s="54" t="s">
        <v>207</v>
      </c>
      <c r="G122" s="54" t="s">
        <v>281</v>
      </c>
      <c r="H122" s="54" t="s">
        <v>771</v>
      </c>
      <c r="I122" s="54" t="s">
        <v>772</v>
      </c>
      <c r="J122" s="54" t="s">
        <v>215</v>
      </c>
      <c r="K122" s="54" t="s">
        <v>285</v>
      </c>
      <c r="L122" s="54" t="s">
        <v>771</v>
      </c>
      <c r="M122" s="54" t="s">
        <v>773</v>
      </c>
      <c r="N122" s="54" t="s">
        <v>221</v>
      </c>
      <c r="O122" s="54" t="s">
        <v>286</v>
      </c>
      <c r="P122" s="54" t="s">
        <v>771</v>
      </c>
      <c r="Q122" s="54" t="s">
        <v>774</v>
      </c>
      <c r="R122" s="59">
        <v>0.33</v>
      </c>
      <c r="S122" s="54">
        <v>10</v>
      </c>
      <c r="T122" s="54" t="s">
        <v>144</v>
      </c>
      <c r="U122" s="54" t="s">
        <v>185</v>
      </c>
      <c r="V122" s="54" t="s">
        <v>754</v>
      </c>
      <c r="W122" s="54" t="s">
        <v>207</v>
      </c>
      <c r="X122" s="54" t="s">
        <v>207</v>
      </c>
      <c r="Y122" s="54"/>
      <c r="Z122" s="54"/>
      <c r="AA122" s="54"/>
      <c r="AB122" s="54" t="s">
        <v>290</v>
      </c>
      <c r="AC122" s="54" t="s">
        <v>290</v>
      </c>
      <c r="AD122" s="54" t="s">
        <v>290</v>
      </c>
      <c r="AE122" s="54" t="s">
        <v>290</v>
      </c>
      <c r="AF122" s="54" t="s">
        <v>291</v>
      </c>
      <c r="AG122" s="54" t="s">
        <v>291</v>
      </c>
      <c r="AH122" s="54" t="s">
        <v>290</v>
      </c>
      <c r="AI122" s="54">
        <v>0</v>
      </c>
      <c r="AJ122" s="57" t="s">
        <v>291</v>
      </c>
    </row>
    <row r="123" spans="1:36" x14ac:dyDescent="0.45">
      <c r="A123" s="53">
        <v>108</v>
      </c>
      <c r="B123" s="43">
        <v>873</v>
      </c>
      <c r="C123" s="54" t="s">
        <v>279</v>
      </c>
      <c r="D123" s="54" t="s">
        <v>100</v>
      </c>
      <c r="E123" s="55"/>
      <c r="F123" s="54" t="s">
        <v>207</v>
      </c>
      <c r="G123" s="54" t="s">
        <v>281</v>
      </c>
      <c r="H123" s="54" t="s">
        <v>775</v>
      </c>
      <c r="I123" s="54" t="s">
        <v>776</v>
      </c>
      <c r="J123" s="54" t="s">
        <v>215</v>
      </c>
      <c r="K123" s="54" t="s">
        <v>285</v>
      </c>
      <c r="L123" s="54" t="s">
        <v>775</v>
      </c>
      <c r="M123" s="54" t="s">
        <v>777</v>
      </c>
      <c r="N123" s="54" t="s">
        <v>221</v>
      </c>
      <c r="O123" s="54" t="s">
        <v>286</v>
      </c>
      <c r="P123" s="54" t="s">
        <v>775</v>
      </c>
      <c r="Q123" s="54" t="s">
        <v>778</v>
      </c>
      <c r="R123" s="59">
        <v>0.33</v>
      </c>
      <c r="S123" s="54">
        <v>10</v>
      </c>
      <c r="T123" s="54" t="s">
        <v>144</v>
      </c>
      <c r="U123" s="54" t="s">
        <v>185</v>
      </c>
      <c r="V123" s="54" t="s">
        <v>754</v>
      </c>
      <c r="W123" s="54" t="s">
        <v>207</v>
      </c>
      <c r="X123" s="54" t="s">
        <v>207</v>
      </c>
      <c r="Y123" s="54"/>
      <c r="Z123" s="54"/>
      <c r="AA123" s="54"/>
      <c r="AB123" s="54" t="s">
        <v>290</v>
      </c>
      <c r="AC123" s="54" t="s">
        <v>290</v>
      </c>
      <c r="AD123" s="54" t="s">
        <v>290</v>
      </c>
      <c r="AE123" s="54" t="s">
        <v>290</v>
      </c>
      <c r="AF123" s="54" t="s">
        <v>291</v>
      </c>
      <c r="AG123" s="54" t="s">
        <v>291</v>
      </c>
      <c r="AH123" s="54" t="s">
        <v>290</v>
      </c>
      <c r="AI123" s="54">
        <v>0</v>
      </c>
      <c r="AJ123" s="57" t="s">
        <v>291</v>
      </c>
    </row>
    <row r="124" spans="1:36" x14ac:dyDescent="0.45">
      <c r="A124" s="53">
        <v>108</v>
      </c>
      <c r="B124" s="43">
        <v>874</v>
      </c>
      <c r="C124" s="54" t="s">
        <v>279</v>
      </c>
      <c r="D124" s="54" t="s">
        <v>100</v>
      </c>
      <c r="E124" s="55"/>
      <c r="F124" s="54" t="s">
        <v>207</v>
      </c>
      <c r="G124" s="54" t="s">
        <v>281</v>
      </c>
      <c r="H124" s="54" t="s">
        <v>779</v>
      </c>
      <c r="I124" s="54" t="s">
        <v>780</v>
      </c>
      <c r="J124" s="54" t="s">
        <v>215</v>
      </c>
      <c r="K124" s="54" t="s">
        <v>285</v>
      </c>
      <c r="L124" s="54" t="s">
        <v>779</v>
      </c>
      <c r="M124" s="54" t="s">
        <v>781</v>
      </c>
      <c r="N124" s="54" t="s">
        <v>221</v>
      </c>
      <c r="O124" s="54" t="s">
        <v>286</v>
      </c>
      <c r="P124" s="54" t="s">
        <v>779</v>
      </c>
      <c r="Q124" s="54" t="s">
        <v>782</v>
      </c>
      <c r="R124" s="56">
        <v>0.33</v>
      </c>
      <c r="S124" s="54">
        <v>10</v>
      </c>
      <c r="T124" s="54" t="s">
        <v>144</v>
      </c>
      <c r="U124" s="54" t="s">
        <v>185</v>
      </c>
      <c r="V124" s="54" t="s">
        <v>754</v>
      </c>
      <c r="W124" s="54" t="s">
        <v>207</v>
      </c>
      <c r="X124" s="54" t="s">
        <v>207</v>
      </c>
      <c r="Y124" s="54"/>
      <c r="Z124" s="54"/>
      <c r="AA124" s="54"/>
      <c r="AB124" s="54" t="s">
        <v>290</v>
      </c>
      <c r="AC124" s="54" t="s">
        <v>290</v>
      </c>
      <c r="AD124" s="54" t="s">
        <v>290</v>
      </c>
      <c r="AE124" s="54" t="s">
        <v>290</v>
      </c>
      <c r="AF124" s="54" t="s">
        <v>291</v>
      </c>
      <c r="AG124" s="54" t="s">
        <v>291</v>
      </c>
      <c r="AH124" s="54" t="s">
        <v>290</v>
      </c>
      <c r="AI124" s="54">
        <v>0</v>
      </c>
      <c r="AJ124" s="57" t="s">
        <v>291</v>
      </c>
    </row>
    <row r="125" spans="1:36" x14ac:dyDescent="0.45">
      <c r="A125" s="53">
        <v>109</v>
      </c>
      <c r="B125" s="43">
        <v>875</v>
      </c>
      <c r="C125" s="54" t="s">
        <v>279</v>
      </c>
      <c r="D125" s="54" t="s">
        <v>100</v>
      </c>
      <c r="E125" s="55"/>
      <c r="F125" s="54" t="s">
        <v>207</v>
      </c>
      <c r="G125" s="54" t="s">
        <v>281</v>
      </c>
      <c r="H125" s="54" t="s">
        <v>783</v>
      </c>
      <c r="I125" s="54" t="s">
        <v>784</v>
      </c>
      <c r="J125" s="54" t="s">
        <v>215</v>
      </c>
      <c r="K125" s="54" t="s">
        <v>285</v>
      </c>
      <c r="L125" s="54" t="s">
        <v>783</v>
      </c>
      <c r="M125" s="54" t="s">
        <v>785</v>
      </c>
      <c r="N125" s="54" t="s">
        <v>221</v>
      </c>
      <c r="O125" s="54" t="s">
        <v>286</v>
      </c>
      <c r="P125" s="54" t="s">
        <v>783</v>
      </c>
      <c r="Q125" s="54" t="s">
        <v>786</v>
      </c>
      <c r="R125" s="59">
        <v>0.5</v>
      </c>
      <c r="S125" s="54">
        <v>10</v>
      </c>
      <c r="T125" s="54" t="s">
        <v>144</v>
      </c>
      <c r="U125" s="54" t="s">
        <v>185</v>
      </c>
      <c r="V125" s="54" t="s">
        <v>754</v>
      </c>
      <c r="W125" s="54" t="s">
        <v>207</v>
      </c>
      <c r="X125" s="54" t="s">
        <v>207</v>
      </c>
      <c r="Y125" s="54"/>
      <c r="Z125" s="54"/>
      <c r="AA125" s="54"/>
      <c r="AB125" s="54" t="s">
        <v>290</v>
      </c>
      <c r="AC125" s="54" t="s">
        <v>290</v>
      </c>
      <c r="AD125" s="54" t="s">
        <v>290</v>
      </c>
      <c r="AE125" s="54" t="s">
        <v>290</v>
      </c>
      <c r="AF125" s="54" t="s">
        <v>291</v>
      </c>
      <c r="AG125" s="54" t="s">
        <v>291</v>
      </c>
      <c r="AH125" s="54" t="s">
        <v>290</v>
      </c>
      <c r="AI125" s="54">
        <v>0</v>
      </c>
      <c r="AJ125" s="57" t="s">
        <v>291</v>
      </c>
    </row>
    <row r="126" spans="1:36" x14ac:dyDescent="0.45">
      <c r="A126" s="53">
        <v>109</v>
      </c>
      <c r="B126" s="43">
        <v>876</v>
      </c>
      <c r="C126" s="54" t="s">
        <v>279</v>
      </c>
      <c r="D126" s="54" t="s">
        <v>100</v>
      </c>
      <c r="E126" s="55"/>
      <c r="F126" s="54" t="s">
        <v>207</v>
      </c>
      <c r="G126" s="54" t="s">
        <v>281</v>
      </c>
      <c r="H126" s="54" t="s">
        <v>787</v>
      </c>
      <c r="I126" s="54" t="s">
        <v>788</v>
      </c>
      <c r="J126" s="54" t="s">
        <v>215</v>
      </c>
      <c r="K126" s="54" t="s">
        <v>285</v>
      </c>
      <c r="L126" s="54" t="s">
        <v>787</v>
      </c>
      <c r="M126" s="54" t="s">
        <v>789</v>
      </c>
      <c r="N126" s="54" t="s">
        <v>221</v>
      </c>
      <c r="O126" s="54" t="s">
        <v>286</v>
      </c>
      <c r="P126" s="54" t="s">
        <v>787</v>
      </c>
      <c r="Q126" s="54" t="s">
        <v>790</v>
      </c>
      <c r="R126" s="59">
        <v>0.5</v>
      </c>
      <c r="S126" s="54">
        <v>10</v>
      </c>
      <c r="T126" s="54" t="s">
        <v>144</v>
      </c>
      <c r="U126" s="54" t="s">
        <v>185</v>
      </c>
      <c r="V126" s="54" t="s">
        <v>754</v>
      </c>
      <c r="W126" s="54" t="s">
        <v>207</v>
      </c>
      <c r="X126" s="54" t="s">
        <v>207</v>
      </c>
      <c r="Y126" s="54"/>
      <c r="Z126" s="54"/>
      <c r="AA126" s="54"/>
      <c r="AB126" s="54" t="s">
        <v>290</v>
      </c>
      <c r="AC126" s="54" t="s">
        <v>290</v>
      </c>
      <c r="AD126" s="54" t="s">
        <v>290</v>
      </c>
      <c r="AE126" s="54" t="s">
        <v>290</v>
      </c>
      <c r="AF126" s="54" t="s">
        <v>291</v>
      </c>
      <c r="AG126" s="54" t="s">
        <v>291</v>
      </c>
      <c r="AH126" s="54" t="s">
        <v>290</v>
      </c>
      <c r="AI126" s="54">
        <v>0</v>
      </c>
      <c r="AJ126" s="57" t="s">
        <v>291</v>
      </c>
    </row>
    <row r="127" spans="1:36" x14ac:dyDescent="0.45">
      <c r="A127" s="53">
        <v>109</v>
      </c>
      <c r="B127" s="43">
        <v>877</v>
      </c>
      <c r="C127" s="54" t="s">
        <v>279</v>
      </c>
      <c r="D127" s="54" t="s">
        <v>100</v>
      </c>
      <c r="E127" s="55"/>
      <c r="F127" s="54" t="s">
        <v>207</v>
      </c>
      <c r="G127" s="54" t="s">
        <v>281</v>
      </c>
      <c r="H127" s="54" t="s">
        <v>791</v>
      </c>
      <c r="I127" s="54" t="s">
        <v>792</v>
      </c>
      <c r="J127" s="54" t="s">
        <v>215</v>
      </c>
      <c r="K127" s="54" t="s">
        <v>285</v>
      </c>
      <c r="L127" s="54" t="s">
        <v>791</v>
      </c>
      <c r="M127" s="54" t="s">
        <v>793</v>
      </c>
      <c r="N127" s="54" t="s">
        <v>221</v>
      </c>
      <c r="O127" s="54" t="s">
        <v>286</v>
      </c>
      <c r="P127" s="54" t="s">
        <v>791</v>
      </c>
      <c r="Q127" s="54" t="s">
        <v>794</v>
      </c>
      <c r="R127" s="56">
        <v>0.5</v>
      </c>
      <c r="S127" s="54">
        <v>10</v>
      </c>
      <c r="T127" s="54" t="s">
        <v>144</v>
      </c>
      <c r="U127" s="54" t="s">
        <v>185</v>
      </c>
      <c r="V127" s="54" t="s">
        <v>754</v>
      </c>
      <c r="W127" s="54" t="s">
        <v>207</v>
      </c>
      <c r="X127" s="54" t="s">
        <v>207</v>
      </c>
      <c r="Y127" s="54"/>
      <c r="Z127" s="54"/>
      <c r="AA127" s="54"/>
      <c r="AB127" s="54" t="s">
        <v>290</v>
      </c>
      <c r="AC127" s="54" t="s">
        <v>290</v>
      </c>
      <c r="AD127" s="54" t="s">
        <v>290</v>
      </c>
      <c r="AE127" s="54" t="s">
        <v>290</v>
      </c>
      <c r="AF127" s="54" t="s">
        <v>291</v>
      </c>
      <c r="AG127" s="54" t="s">
        <v>291</v>
      </c>
      <c r="AH127" s="54" t="s">
        <v>290</v>
      </c>
      <c r="AI127" s="54">
        <v>0</v>
      </c>
      <c r="AJ127" s="57" t="s">
        <v>291</v>
      </c>
    </row>
    <row r="128" spans="1:36" x14ac:dyDescent="0.45">
      <c r="A128" s="53">
        <v>109</v>
      </c>
      <c r="B128" s="43">
        <v>878</v>
      </c>
      <c r="C128" s="54" t="s">
        <v>279</v>
      </c>
      <c r="D128" s="54" t="s">
        <v>100</v>
      </c>
      <c r="E128" s="55"/>
      <c r="F128" s="54" t="s">
        <v>207</v>
      </c>
      <c r="G128" s="54" t="s">
        <v>281</v>
      </c>
      <c r="H128" s="54" t="s">
        <v>795</v>
      </c>
      <c r="I128" s="54" t="s">
        <v>796</v>
      </c>
      <c r="J128" s="54" t="s">
        <v>215</v>
      </c>
      <c r="K128" s="54" t="s">
        <v>285</v>
      </c>
      <c r="L128" s="54" t="s">
        <v>795</v>
      </c>
      <c r="M128" s="54" t="s">
        <v>797</v>
      </c>
      <c r="N128" s="54" t="s">
        <v>221</v>
      </c>
      <c r="O128" s="54" t="s">
        <v>286</v>
      </c>
      <c r="P128" s="54" t="s">
        <v>795</v>
      </c>
      <c r="Q128" s="54" t="s">
        <v>798</v>
      </c>
      <c r="R128" s="56">
        <v>0.75</v>
      </c>
      <c r="S128" s="54">
        <v>10</v>
      </c>
      <c r="T128" s="54" t="s">
        <v>144</v>
      </c>
      <c r="U128" s="54" t="s">
        <v>185</v>
      </c>
      <c r="V128" s="54" t="s">
        <v>754</v>
      </c>
      <c r="W128" s="54" t="s">
        <v>207</v>
      </c>
      <c r="X128" s="54" t="s">
        <v>207</v>
      </c>
      <c r="Y128" s="54"/>
      <c r="Z128" s="54"/>
      <c r="AA128" s="54"/>
      <c r="AB128" s="54" t="s">
        <v>290</v>
      </c>
      <c r="AC128" s="54" t="s">
        <v>290</v>
      </c>
      <c r="AD128" s="54" t="s">
        <v>290</v>
      </c>
      <c r="AE128" s="54" t="s">
        <v>290</v>
      </c>
      <c r="AF128" s="54" t="s">
        <v>291</v>
      </c>
      <c r="AG128" s="54" t="s">
        <v>291</v>
      </c>
      <c r="AH128" s="54" t="s">
        <v>290</v>
      </c>
      <c r="AI128" s="54">
        <v>0</v>
      </c>
      <c r="AJ128" s="57" t="s">
        <v>291</v>
      </c>
    </row>
    <row r="129" spans="1:36" x14ac:dyDescent="0.45">
      <c r="A129" s="53">
        <v>114</v>
      </c>
      <c r="B129" s="43">
        <v>879</v>
      </c>
      <c r="C129" s="54" t="s">
        <v>279</v>
      </c>
      <c r="D129" s="54" t="s">
        <v>100</v>
      </c>
      <c r="E129" s="55"/>
      <c r="F129" s="54" t="s">
        <v>799</v>
      </c>
      <c r="G129" s="54" t="s">
        <v>281</v>
      </c>
      <c r="H129" s="54" t="s">
        <v>303</v>
      </c>
      <c r="I129" s="54" t="s">
        <v>799</v>
      </c>
      <c r="J129" s="54" t="s">
        <v>800</v>
      </c>
      <c r="K129" s="54" t="s">
        <v>285</v>
      </c>
      <c r="L129" s="54" t="s">
        <v>305</v>
      </c>
      <c r="M129" s="54" t="s">
        <v>800</v>
      </c>
      <c r="N129" s="54" t="s">
        <v>801</v>
      </c>
      <c r="O129" s="54" t="s">
        <v>286</v>
      </c>
      <c r="P129" s="54" t="s">
        <v>306</v>
      </c>
      <c r="Q129" s="54" t="s">
        <v>801</v>
      </c>
      <c r="R129" s="56">
        <v>1</v>
      </c>
      <c r="S129" s="54">
        <v>10</v>
      </c>
      <c r="T129" s="54" t="s">
        <v>144</v>
      </c>
      <c r="U129" s="54" t="s">
        <v>185</v>
      </c>
      <c r="V129" s="54" t="s">
        <v>754</v>
      </c>
      <c r="W129" s="54" t="s">
        <v>802</v>
      </c>
      <c r="X129" s="54" t="s">
        <v>803</v>
      </c>
      <c r="Y129" s="54"/>
      <c r="Z129" s="54"/>
      <c r="AA129" s="54"/>
      <c r="AB129" s="54" t="s">
        <v>290</v>
      </c>
      <c r="AC129" s="54" t="s">
        <v>290</v>
      </c>
      <c r="AD129" s="54" t="s">
        <v>290</v>
      </c>
      <c r="AE129" s="54" t="s">
        <v>290</v>
      </c>
      <c r="AF129" s="54" t="s">
        <v>291</v>
      </c>
      <c r="AG129" s="54" t="s">
        <v>291</v>
      </c>
      <c r="AH129" s="54" t="s">
        <v>290</v>
      </c>
      <c r="AI129" s="54">
        <v>0</v>
      </c>
      <c r="AJ129" s="57" t="s">
        <v>291</v>
      </c>
    </row>
    <row r="130" spans="1:36" x14ac:dyDescent="0.45">
      <c r="A130" s="53">
        <v>115</v>
      </c>
      <c r="B130" s="43">
        <v>880</v>
      </c>
      <c r="C130" s="54" t="s">
        <v>279</v>
      </c>
      <c r="D130" s="54" t="s">
        <v>100</v>
      </c>
      <c r="E130" s="55"/>
      <c r="F130" s="54" t="s">
        <v>804</v>
      </c>
      <c r="G130" s="54" t="s">
        <v>281</v>
      </c>
      <c r="H130" s="54" t="s">
        <v>303</v>
      </c>
      <c r="I130" s="54" t="s">
        <v>804</v>
      </c>
      <c r="J130" s="54" t="s">
        <v>805</v>
      </c>
      <c r="K130" s="54" t="s">
        <v>285</v>
      </c>
      <c r="L130" s="54" t="s">
        <v>305</v>
      </c>
      <c r="M130" s="54" t="s">
        <v>805</v>
      </c>
      <c r="N130" s="54" t="s">
        <v>806</v>
      </c>
      <c r="O130" s="54" t="s">
        <v>286</v>
      </c>
      <c r="P130" s="54" t="s">
        <v>306</v>
      </c>
      <c r="Q130" s="54" t="s">
        <v>806</v>
      </c>
      <c r="R130" s="56">
        <v>1</v>
      </c>
      <c r="S130" s="54">
        <v>10</v>
      </c>
      <c r="T130" s="54" t="s">
        <v>144</v>
      </c>
      <c r="U130" s="54" t="s">
        <v>185</v>
      </c>
      <c r="V130" s="54" t="s">
        <v>754</v>
      </c>
      <c r="W130" s="54" t="s">
        <v>802</v>
      </c>
      <c r="X130" s="54" t="s">
        <v>803</v>
      </c>
      <c r="Y130" s="54"/>
      <c r="Z130" s="54"/>
      <c r="AA130" s="54"/>
      <c r="AB130" s="54" t="s">
        <v>290</v>
      </c>
      <c r="AC130" s="54" t="s">
        <v>290</v>
      </c>
      <c r="AD130" s="54" t="s">
        <v>290</v>
      </c>
      <c r="AE130" s="54" t="s">
        <v>290</v>
      </c>
      <c r="AF130" s="54" t="s">
        <v>291</v>
      </c>
      <c r="AG130" s="54" t="s">
        <v>291</v>
      </c>
      <c r="AH130" s="54" t="s">
        <v>290</v>
      </c>
      <c r="AI130" s="54">
        <v>0</v>
      </c>
      <c r="AJ130" s="57" t="s">
        <v>291</v>
      </c>
    </row>
    <row r="131" spans="1:36" x14ac:dyDescent="0.45">
      <c r="A131" s="53">
        <v>103</v>
      </c>
      <c r="B131" s="43">
        <v>881</v>
      </c>
      <c r="C131" s="54" t="s">
        <v>279</v>
      </c>
      <c r="D131" s="54" t="s">
        <v>100</v>
      </c>
      <c r="E131" s="55"/>
      <c r="F131" s="54" t="s">
        <v>807</v>
      </c>
      <c r="G131" s="54" t="s">
        <v>281</v>
      </c>
      <c r="H131" s="54" t="s">
        <v>466</v>
      </c>
      <c r="I131" s="54" t="s">
        <v>808</v>
      </c>
      <c r="J131" s="54" t="s">
        <v>809</v>
      </c>
      <c r="K131" s="54" t="s">
        <v>285</v>
      </c>
      <c r="L131" s="54" t="s">
        <v>466</v>
      </c>
      <c r="M131" s="54" t="s">
        <v>810</v>
      </c>
      <c r="N131" s="54" t="s">
        <v>811</v>
      </c>
      <c r="O131" s="54" t="s">
        <v>286</v>
      </c>
      <c r="P131" s="54" t="s">
        <v>466</v>
      </c>
      <c r="Q131" s="54" t="s">
        <v>812</v>
      </c>
      <c r="R131" s="56">
        <v>1</v>
      </c>
      <c r="S131" s="54">
        <v>10</v>
      </c>
      <c r="T131" s="54" t="s">
        <v>144</v>
      </c>
      <c r="U131" s="54" t="s">
        <v>185</v>
      </c>
      <c r="V131" s="54" t="s">
        <v>754</v>
      </c>
      <c r="W131" s="54" t="s">
        <v>210</v>
      </c>
      <c r="X131" s="54" t="s">
        <v>210</v>
      </c>
      <c r="Y131" s="54"/>
      <c r="Z131" s="54"/>
      <c r="AA131" s="54"/>
      <c r="AB131" s="54" t="s">
        <v>290</v>
      </c>
      <c r="AC131" s="54" t="s">
        <v>290</v>
      </c>
      <c r="AD131" s="54" t="s">
        <v>290</v>
      </c>
      <c r="AE131" s="54" t="s">
        <v>290</v>
      </c>
      <c r="AF131" s="54" t="s">
        <v>291</v>
      </c>
      <c r="AG131" s="54" t="s">
        <v>291</v>
      </c>
      <c r="AH131" s="54" t="s">
        <v>290</v>
      </c>
      <c r="AI131" s="54">
        <v>0.05</v>
      </c>
      <c r="AJ131" s="57" t="s">
        <v>291</v>
      </c>
    </row>
    <row r="132" spans="1:36" x14ac:dyDescent="0.45">
      <c r="A132" s="53">
        <v>104</v>
      </c>
      <c r="B132" s="43">
        <v>882</v>
      </c>
      <c r="C132" s="54" t="s">
        <v>279</v>
      </c>
      <c r="D132" s="54" t="s">
        <v>100</v>
      </c>
      <c r="E132" s="55"/>
      <c r="F132" s="54" t="s">
        <v>807</v>
      </c>
      <c r="G132" s="54" t="s">
        <v>281</v>
      </c>
      <c r="H132" s="54" t="s">
        <v>791</v>
      </c>
      <c r="I132" s="54" t="s">
        <v>813</v>
      </c>
      <c r="J132" s="54" t="s">
        <v>809</v>
      </c>
      <c r="K132" s="54" t="s">
        <v>285</v>
      </c>
      <c r="L132" s="54" t="s">
        <v>791</v>
      </c>
      <c r="M132" s="54" t="s">
        <v>814</v>
      </c>
      <c r="N132" s="54" t="s">
        <v>811</v>
      </c>
      <c r="O132" s="54" t="s">
        <v>286</v>
      </c>
      <c r="P132" s="54" t="s">
        <v>791</v>
      </c>
      <c r="Q132" s="54" t="s">
        <v>815</v>
      </c>
      <c r="R132" s="56">
        <v>0.5</v>
      </c>
      <c r="S132" s="54">
        <v>10</v>
      </c>
      <c r="T132" s="54" t="s">
        <v>144</v>
      </c>
      <c r="U132" s="54" t="s">
        <v>185</v>
      </c>
      <c r="V132" s="54" t="s">
        <v>754</v>
      </c>
      <c r="W132" s="54" t="s">
        <v>210</v>
      </c>
      <c r="X132" s="54" t="s">
        <v>210</v>
      </c>
      <c r="Y132" s="54"/>
      <c r="Z132" s="54"/>
      <c r="AA132" s="54"/>
      <c r="AB132" s="54" t="s">
        <v>290</v>
      </c>
      <c r="AC132" s="54" t="s">
        <v>290</v>
      </c>
      <c r="AD132" s="54" t="s">
        <v>290</v>
      </c>
      <c r="AE132" s="54" t="s">
        <v>290</v>
      </c>
      <c r="AF132" s="54" t="s">
        <v>291</v>
      </c>
      <c r="AG132" s="54" t="s">
        <v>291</v>
      </c>
      <c r="AH132" s="54" t="s">
        <v>290</v>
      </c>
      <c r="AI132" s="54">
        <v>0.05</v>
      </c>
      <c r="AJ132" s="57" t="s">
        <v>291</v>
      </c>
    </row>
    <row r="133" spans="1:36" x14ac:dyDescent="0.45">
      <c r="A133" s="53">
        <v>111</v>
      </c>
      <c r="B133" s="43">
        <v>883</v>
      </c>
      <c r="C133" s="60" t="s">
        <v>279</v>
      </c>
      <c r="D133" s="60" t="s">
        <v>100</v>
      </c>
      <c r="E133" s="60"/>
      <c r="F133" s="60" t="s">
        <v>816</v>
      </c>
      <c r="G133" s="60" t="s">
        <v>281</v>
      </c>
      <c r="H133" s="60" t="s">
        <v>466</v>
      </c>
      <c r="I133" s="54" t="s">
        <v>817</v>
      </c>
      <c r="J133" s="60" t="s">
        <v>816</v>
      </c>
      <c r="K133" s="60" t="s">
        <v>285</v>
      </c>
      <c r="L133" s="60" t="s">
        <v>466</v>
      </c>
      <c r="M133" s="60" t="s">
        <v>817</v>
      </c>
      <c r="N133" s="60" t="s">
        <v>816</v>
      </c>
      <c r="O133" s="60" t="s">
        <v>286</v>
      </c>
      <c r="P133" s="60" t="s">
        <v>466</v>
      </c>
      <c r="Q133" s="60" t="s">
        <v>817</v>
      </c>
      <c r="R133" s="56">
        <v>1</v>
      </c>
      <c r="S133" s="54">
        <v>10</v>
      </c>
      <c r="T133" s="54" t="s">
        <v>144</v>
      </c>
      <c r="U133" s="60" t="s">
        <v>185</v>
      </c>
      <c r="V133" s="60" t="s">
        <v>754</v>
      </c>
      <c r="W133" s="60" t="s">
        <v>210</v>
      </c>
      <c r="X133" s="60" t="s">
        <v>210</v>
      </c>
      <c r="Y133" s="60"/>
      <c r="Z133" s="60"/>
      <c r="AA133" s="60"/>
      <c r="AB133" s="60" t="s">
        <v>290</v>
      </c>
      <c r="AC133" s="60" t="s">
        <v>290</v>
      </c>
      <c r="AD133" s="60" t="s">
        <v>290</v>
      </c>
      <c r="AE133" s="60" t="s">
        <v>290</v>
      </c>
      <c r="AF133" s="60" t="s">
        <v>291</v>
      </c>
      <c r="AG133" s="60" t="s">
        <v>291</v>
      </c>
      <c r="AH133" s="60" t="s">
        <v>290</v>
      </c>
      <c r="AI133" s="54">
        <v>0.05</v>
      </c>
      <c r="AJ133" s="61" t="s">
        <v>291</v>
      </c>
    </row>
    <row r="134" spans="1:36" s="44" customFormat="1" x14ac:dyDescent="0.45">
      <c r="A134" s="53">
        <v>112</v>
      </c>
      <c r="B134" s="43">
        <v>884</v>
      </c>
      <c r="C134" s="60" t="s">
        <v>279</v>
      </c>
      <c r="D134" s="60" t="s">
        <v>100</v>
      </c>
      <c r="E134" s="60"/>
      <c r="F134" s="60" t="s">
        <v>816</v>
      </c>
      <c r="G134" s="60" t="s">
        <v>281</v>
      </c>
      <c r="H134" s="60" t="s">
        <v>791</v>
      </c>
      <c r="I134" s="54" t="s">
        <v>818</v>
      </c>
      <c r="J134" s="60" t="s">
        <v>816</v>
      </c>
      <c r="K134" s="60" t="s">
        <v>285</v>
      </c>
      <c r="L134" s="60" t="s">
        <v>791</v>
      </c>
      <c r="M134" s="60" t="s">
        <v>818</v>
      </c>
      <c r="N134" s="60" t="s">
        <v>816</v>
      </c>
      <c r="O134" s="60" t="s">
        <v>286</v>
      </c>
      <c r="P134" s="60" t="s">
        <v>791</v>
      </c>
      <c r="Q134" s="60" t="s">
        <v>818</v>
      </c>
      <c r="R134" s="56">
        <v>0.5</v>
      </c>
      <c r="S134" s="54">
        <v>10</v>
      </c>
      <c r="T134" s="54" t="s">
        <v>144</v>
      </c>
      <c r="U134" s="60" t="s">
        <v>185</v>
      </c>
      <c r="V134" s="60" t="s">
        <v>754</v>
      </c>
      <c r="W134" s="60" t="s">
        <v>210</v>
      </c>
      <c r="X134" s="60" t="s">
        <v>210</v>
      </c>
      <c r="Y134" s="60"/>
      <c r="Z134" s="60"/>
      <c r="AA134" s="60"/>
      <c r="AB134" s="60" t="s">
        <v>290</v>
      </c>
      <c r="AC134" s="60" t="s">
        <v>290</v>
      </c>
      <c r="AD134" s="60" t="s">
        <v>290</v>
      </c>
      <c r="AE134" s="60" t="s">
        <v>290</v>
      </c>
      <c r="AF134" s="60" t="s">
        <v>291</v>
      </c>
      <c r="AG134" s="60" t="s">
        <v>291</v>
      </c>
      <c r="AH134" s="60" t="s">
        <v>290</v>
      </c>
      <c r="AI134" s="54">
        <v>0.05</v>
      </c>
      <c r="AJ134" s="61" t="s">
        <v>291</v>
      </c>
    </row>
    <row r="135" spans="1:36" s="44" customFormat="1" x14ac:dyDescent="0.45">
      <c r="A135" s="53">
        <v>113</v>
      </c>
      <c r="B135" s="43">
        <v>885</v>
      </c>
      <c r="C135" s="60" t="s">
        <v>279</v>
      </c>
      <c r="D135" s="60" t="s">
        <v>100</v>
      </c>
      <c r="E135" s="60"/>
      <c r="F135" s="60" t="s">
        <v>816</v>
      </c>
      <c r="G135" s="60" t="s">
        <v>281</v>
      </c>
      <c r="H135" s="60" t="s">
        <v>819</v>
      </c>
      <c r="I135" s="54" t="s">
        <v>820</v>
      </c>
      <c r="J135" s="60" t="s">
        <v>816</v>
      </c>
      <c r="K135" s="60" t="s">
        <v>285</v>
      </c>
      <c r="L135" s="60" t="s">
        <v>819</v>
      </c>
      <c r="M135" s="60" t="s">
        <v>820</v>
      </c>
      <c r="N135" s="60" t="s">
        <v>816</v>
      </c>
      <c r="O135" s="60" t="s">
        <v>286</v>
      </c>
      <c r="P135" s="60" t="s">
        <v>819</v>
      </c>
      <c r="Q135" s="60" t="s">
        <v>820</v>
      </c>
      <c r="R135" s="56">
        <v>0.7</v>
      </c>
      <c r="S135" s="54">
        <v>10</v>
      </c>
      <c r="T135" s="54" t="s">
        <v>144</v>
      </c>
      <c r="U135" s="60" t="s">
        <v>185</v>
      </c>
      <c r="V135" s="60" t="s">
        <v>754</v>
      </c>
      <c r="W135" s="60" t="s">
        <v>210</v>
      </c>
      <c r="X135" s="60" t="s">
        <v>210</v>
      </c>
      <c r="Y135" s="60"/>
      <c r="Z135" s="60"/>
      <c r="AA135" s="60"/>
      <c r="AB135" s="60" t="s">
        <v>290</v>
      </c>
      <c r="AC135" s="60" t="s">
        <v>290</v>
      </c>
      <c r="AD135" s="60" t="s">
        <v>290</v>
      </c>
      <c r="AE135" s="60" t="s">
        <v>290</v>
      </c>
      <c r="AF135" s="60" t="s">
        <v>291</v>
      </c>
      <c r="AG135" s="60" t="s">
        <v>291</v>
      </c>
      <c r="AH135" s="60" t="s">
        <v>290</v>
      </c>
      <c r="AI135" s="54">
        <v>0.05</v>
      </c>
      <c r="AJ135" s="61" t="s">
        <v>291</v>
      </c>
    </row>
    <row r="136" spans="1:36" x14ac:dyDescent="0.45">
      <c r="A136" s="53">
        <v>116</v>
      </c>
      <c r="B136" s="43">
        <v>886</v>
      </c>
      <c r="C136" s="54" t="s">
        <v>279</v>
      </c>
      <c r="D136" s="54" t="s">
        <v>100</v>
      </c>
      <c r="E136" s="55"/>
      <c r="F136" s="54" t="s">
        <v>821</v>
      </c>
      <c r="G136" s="54" t="s">
        <v>281</v>
      </c>
      <c r="H136" s="54" t="s">
        <v>303</v>
      </c>
      <c r="I136" s="54" t="s">
        <v>821</v>
      </c>
      <c r="J136" s="54" t="s">
        <v>822</v>
      </c>
      <c r="K136" s="54" t="s">
        <v>285</v>
      </c>
      <c r="L136" s="54" t="s">
        <v>305</v>
      </c>
      <c r="M136" s="54" t="s">
        <v>822</v>
      </c>
      <c r="N136" s="54" t="s">
        <v>823</v>
      </c>
      <c r="O136" s="54" t="s">
        <v>286</v>
      </c>
      <c r="P136" s="54" t="s">
        <v>306</v>
      </c>
      <c r="Q136" s="54" t="s">
        <v>823</v>
      </c>
      <c r="R136" s="56">
        <v>1</v>
      </c>
      <c r="S136" s="54">
        <v>1</v>
      </c>
      <c r="T136" s="54" t="s">
        <v>153</v>
      </c>
      <c r="U136" s="54" t="s">
        <v>185</v>
      </c>
      <c r="V136" s="54" t="s">
        <v>754</v>
      </c>
      <c r="W136" s="54" t="s">
        <v>210</v>
      </c>
      <c r="X136" s="54" t="s">
        <v>210</v>
      </c>
      <c r="Y136" s="54"/>
      <c r="Z136" s="54"/>
      <c r="AA136" s="54"/>
      <c r="AB136" s="54" t="s">
        <v>290</v>
      </c>
      <c r="AC136" s="54" t="s">
        <v>290</v>
      </c>
      <c r="AD136" s="54" t="s">
        <v>290</v>
      </c>
      <c r="AE136" s="54" t="s">
        <v>290</v>
      </c>
      <c r="AF136" s="54" t="s">
        <v>291</v>
      </c>
      <c r="AG136" s="54" t="s">
        <v>291</v>
      </c>
      <c r="AH136" s="54" t="s">
        <v>290</v>
      </c>
      <c r="AI136" s="54">
        <v>0</v>
      </c>
      <c r="AJ136" s="57" t="s">
        <v>291</v>
      </c>
    </row>
    <row r="137" spans="1:36" x14ac:dyDescent="0.45">
      <c r="A137" s="53">
        <v>117</v>
      </c>
      <c r="B137" s="43">
        <v>887</v>
      </c>
      <c r="C137" s="54" t="s">
        <v>279</v>
      </c>
      <c r="D137" s="54" t="s">
        <v>100</v>
      </c>
      <c r="E137" s="55"/>
      <c r="F137" s="54" t="s">
        <v>824</v>
      </c>
      <c r="G137" s="54" t="s">
        <v>281</v>
      </c>
      <c r="H137" s="54" t="s">
        <v>466</v>
      </c>
      <c r="I137" s="54" t="s">
        <v>825</v>
      </c>
      <c r="J137" s="54" t="s">
        <v>824</v>
      </c>
      <c r="K137" s="54" t="s">
        <v>285</v>
      </c>
      <c r="L137" s="54" t="s">
        <v>466</v>
      </c>
      <c r="M137" s="54" t="s">
        <v>825</v>
      </c>
      <c r="N137" s="54" t="s">
        <v>824</v>
      </c>
      <c r="O137" s="54" t="s">
        <v>286</v>
      </c>
      <c r="P137" s="54" t="s">
        <v>466</v>
      </c>
      <c r="Q137" s="54" t="s">
        <v>825</v>
      </c>
      <c r="R137" s="56">
        <v>1</v>
      </c>
      <c r="S137" s="54">
        <v>10</v>
      </c>
      <c r="T137" s="54" t="s">
        <v>144</v>
      </c>
      <c r="U137" s="54" t="s">
        <v>185</v>
      </c>
      <c r="V137" s="54" t="s">
        <v>754</v>
      </c>
      <c r="W137" s="54" t="s">
        <v>210</v>
      </c>
      <c r="X137" s="54" t="s">
        <v>210</v>
      </c>
      <c r="Y137" s="54"/>
      <c r="Z137" s="54"/>
      <c r="AA137" s="54"/>
      <c r="AB137" s="54" t="s">
        <v>290</v>
      </c>
      <c r="AC137" s="54" t="s">
        <v>290</v>
      </c>
      <c r="AD137" s="54" t="s">
        <v>290</v>
      </c>
      <c r="AE137" s="54" t="s">
        <v>290</v>
      </c>
      <c r="AF137" s="54" t="s">
        <v>291</v>
      </c>
      <c r="AG137" s="54" t="s">
        <v>291</v>
      </c>
      <c r="AH137" s="54" t="s">
        <v>290</v>
      </c>
      <c r="AI137" s="54">
        <v>0.05</v>
      </c>
      <c r="AJ137" s="57" t="s">
        <v>291</v>
      </c>
    </row>
    <row r="138" spans="1:36" x14ac:dyDescent="0.45">
      <c r="A138" s="53">
        <v>118</v>
      </c>
      <c r="B138" s="43">
        <v>888</v>
      </c>
      <c r="C138" s="54" t="s">
        <v>279</v>
      </c>
      <c r="D138" s="54" t="s">
        <v>100</v>
      </c>
      <c r="E138" s="55"/>
      <c r="F138" s="54" t="s">
        <v>826</v>
      </c>
      <c r="G138" s="54" t="s">
        <v>281</v>
      </c>
      <c r="H138" s="60" t="s">
        <v>466</v>
      </c>
      <c r="I138" s="54" t="s">
        <v>827</v>
      </c>
      <c r="J138" s="54" t="s">
        <v>826</v>
      </c>
      <c r="K138" s="54" t="s">
        <v>285</v>
      </c>
      <c r="L138" s="60" t="s">
        <v>466</v>
      </c>
      <c r="M138" s="54" t="s">
        <v>827</v>
      </c>
      <c r="N138" s="54" t="s">
        <v>826</v>
      </c>
      <c r="O138" s="54" t="s">
        <v>286</v>
      </c>
      <c r="P138" s="60" t="s">
        <v>466</v>
      </c>
      <c r="Q138" s="54" t="s">
        <v>827</v>
      </c>
      <c r="R138" s="56">
        <v>1</v>
      </c>
      <c r="S138" s="54">
        <v>10</v>
      </c>
      <c r="T138" s="54" t="s">
        <v>144</v>
      </c>
      <c r="U138" s="54" t="s">
        <v>185</v>
      </c>
      <c r="V138" s="54" t="s">
        <v>754</v>
      </c>
      <c r="W138" s="54" t="s">
        <v>210</v>
      </c>
      <c r="X138" s="54" t="s">
        <v>210</v>
      </c>
      <c r="Y138" s="54"/>
      <c r="Z138" s="54"/>
      <c r="AA138" s="54"/>
      <c r="AB138" s="54" t="s">
        <v>290</v>
      </c>
      <c r="AC138" s="54" t="s">
        <v>290</v>
      </c>
      <c r="AD138" s="54" t="s">
        <v>290</v>
      </c>
      <c r="AE138" s="54" t="s">
        <v>290</v>
      </c>
      <c r="AF138" s="54" t="s">
        <v>291</v>
      </c>
      <c r="AG138" s="54" t="s">
        <v>291</v>
      </c>
      <c r="AH138" s="54" t="s">
        <v>290</v>
      </c>
      <c r="AI138" s="54">
        <v>0.05</v>
      </c>
      <c r="AJ138" s="57" t="s">
        <v>291</v>
      </c>
    </row>
    <row r="139" spans="1:36" x14ac:dyDescent="0.45">
      <c r="A139" s="53">
        <v>119</v>
      </c>
      <c r="B139" s="43">
        <v>889</v>
      </c>
      <c r="C139" s="54" t="s">
        <v>279</v>
      </c>
      <c r="D139" s="54" t="s">
        <v>100</v>
      </c>
      <c r="E139" s="55"/>
      <c r="F139" s="54" t="s">
        <v>826</v>
      </c>
      <c r="G139" s="54" t="s">
        <v>281</v>
      </c>
      <c r="H139" s="60" t="s">
        <v>791</v>
      </c>
      <c r="I139" s="54" t="s">
        <v>828</v>
      </c>
      <c r="J139" s="54" t="s">
        <v>826</v>
      </c>
      <c r="K139" s="54" t="s">
        <v>285</v>
      </c>
      <c r="L139" s="60" t="s">
        <v>791</v>
      </c>
      <c r="M139" s="54" t="s">
        <v>828</v>
      </c>
      <c r="N139" s="54" t="s">
        <v>826</v>
      </c>
      <c r="O139" s="54" t="s">
        <v>286</v>
      </c>
      <c r="P139" s="60" t="s">
        <v>791</v>
      </c>
      <c r="Q139" s="54" t="s">
        <v>828</v>
      </c>
      <c r="R139" s="56">
        <v>0.5</v>
      </c>
      <c r="S139" s="54">
        <v>10</v>
      </c>
      <c r="T139" s="54" t="s">
        <v>144</v>
      </c>
      <c r="U139" s="54" t="s">
        <v>185</v>
      </c>
      <c r="V139" s="54" t="s">
        <v>754</v>
      </c>
      <c r="W139" s="54" t="s">
        <v>210</v>
      </c>
      <c r="X139" s="54" t="s">
        <v>210</v>
      </c>
      <c r="Y139" s="54"/>
      <c r="Z139" s="54"/>
      <c r="AA139" s="54"/>
      <c r="AB139" s="54" t="s">
        <v>290</v>
      </c>
      <c r="AC139" s="54" t="s">
        <v>290</v>
      </c>
      <c r="AD139" s="54" t="s">
        <v>290</v>
      </c>
      <c r="AE139" s="54" t="s">
        <v>290</v>
      </c>
      <c r="AF139" s="54" t="s">
        <v>291</v>
      </c>
      <c r="AG139" s="54" t="s">
        <v>291</v>
      </c>
      <c r="AH139" s="54" t="s">
        <v>290</v>
      </c>
      <c r="AI139" s="54">
        <v>0.05</v>
      </c>
      <c r="AJ139" s="57" t="s">
        <v>291</v>
      </c>
    </row>
    <row r="140" spans="1:36" x14ac:dyDescent="0.45">
      <c r="A140" s="53">
        <v>120</v>
      </c>
      <c r="B140" s="43">
        <v>890</v>
      </c>
      <c r="C140" s="54" t="s">
        <v>279</v>
      </c>
      <c r="D140" s="54" t="s">
        <v>100</v>
      </c>
      <c r="E140" s="55"/>
      <c r="F140" s="54" t="s">
        <v>826</v>
      </c>
      <c r="G140" s="54" t="s">
        <v>281</v>
      </c>
      <c r="H140" s="60" t="s">
        <v>819</v>
      </c>
      <c r="I140" s="54" t="s">
        <v>829</v>
      </c>
      <c r="J140" s="54" t="s">
        <v>826</v>
      </c>
      <c r="K140" s="54" t="s">
        <v>285</v>
      </c>
      <c r="L140" s="60" t="s">
        <v>819</v>
      </c>
      <c r="M140" s="54" t="s">
        <v>829</v>
      </c>
      <c r="N140" s="54" t="s">
        <v>826</v>
      </c>
      <c r="O140" s="54" t="s">
        <v>286</v>
      </c>
      <c r="P140" s="60" t="s">
        <v>819</v>
      </c>
      <c r="Q140" s="54" t="s">
        <v>829</v>
      </c>
      <c r="R140" s="56">
        <v>0.7</v>
      </c>
      <c r="S140" s="54">
        <v>10</v>
      </c>
      <c r="T140" s="54" t="s">
        <v>144</v>
      </c>
      <c r="U140" s="54" t="s">
        <v>185</v>
      </c>
      <c r="V140" s="54" t="s">
        <v>754</v>
      </c>
      <c r="W140" s="54" t="s">
        <v>210</v>
      </c>
      <c r="X140" s="54" t="s">
        <v>210</v>
      </c>
      <c r="Y140" s="54"/>
      <c r="Z140" s="54"/>
      <c r="AA140" s="54"/>
      <c r="AB140" s="54" t="s">
        <v>290</v>
      </c>
      <c r="AC140" s="54" t="s">
        <v>290</v>
      </c>
      <c r="AD140" s="54" t="s">
        <v>290</v>
      </c>
      <c r="AE140" s="54" t="s">
        <v>290</v>
      </c>
      <c r="AF140" s="54" t="s">
        <v>291</v>
      </c>
      <c r="AG140" s="54" t="s">
        <v>291</v>
      </c>
      <c r="AH140" s="54" t="s">
        <v>290</v>
      </c>
      <c r="AI140" s="54">
        <v>0.05</v>
      </c>
      <c r="AJ140" s="57" t="s">
        <v>291</v>
      </c>
    </row>
    <row r="141" spans="1:36" x14ac:dyDescent="0.45">
      <c r="A141" s="53">
        <v>105</v>
      </c>
      <c r="B141" s="43">
        <v>891</v>
      </c>
      <c r="C141" s="54" t="s">
        <v>279</v>
      </c>
      <c r="D141" s="54" t="s">
        <v>100</v>
      </c>
      <c r="E141" s="55"/>
      <c r="F141" s="54" t="s">
        <v>830</v>
      </c>
      <c r="G141" s="54" t="s">
        <v>281</v>
      </c>
      <c r="H141" s="54" t="s">
        <v>779</v>
      </c>
      <c r="I141" s="54" t="s">
        <v>831</v>
      </c>
      <c r="J141" s="54" t="s">
        <v>832</v>
      </c>
      <c r="K141" s="54" t="s">
        <v>285</v>
      </c>
      <c r="L141" s="54" t="s">
        <v>779</v>
      </c>
      <c r="M141" s="54" t="s">
        <v>833</v>
      </c>
      <c r="N141" s="54" t="s">
        <v>834</v>
      </c>
      <c r="O141" s="54" t="s">
        <v>286</v>
      </c>
      <c r="P141" s="54" t="s">
        <v>779</v>
      </c>
      <c r="Q141" s="54" t="s">
        <v>835</v>
      </c>
      <c r="R141" s="56">
        <v>0.33</v>
      </c>
      <c r="S141" s="54">
        <v>1</v>
      </c>
      <c r="T141" s="54" t="s">
        <v>149</v>
      </c>
      <c r="U141" s="54" t="s">
        <v>185</v>
      </c>
      <c r="V141" s="54" t="s">
        <v>754</v>
      </c>
      <c r="W141" s="54" t="s">
        <v>836</v>
      </c>
      <c r="X141" s="54" t="s">
        <v>836</v>
      </c>
      <c r="Y141" s="54"/>
      <c r="Z141" s="54"/>
      <c r="AA141" s="54"/>
      <c r="AB141" s="54" t="s">
        <v>290</v>
      </c>
      <c r="AC141" s="54" t="s">
        <v>290</v>
      </c>
      <c r="AD141" s="54" t="s">
        <v>290</v>
      </c>
      <c r="AE141" s="54" t="s">
        <v>290</v>
      </c>
      <c r="AF141" s="54" t="s">
        <v>291</v>
      </c>
      <c r="AG141" s="54" t="s">
        <v>291</v>
      </c>
      <c r="AH141" s="54" t="s">
        <v>290</v>
      </c>
      <c r="AI141" s="54">
        <v>0.05</v>
      </c>
      <c r="AJ141" s="57" t="s">
        <v>291</v>
      </c>
    </row>
    <row r="142" spans="1:36" x14ac:dyDescent="0.45">
      <c r="A142" s="53">
        <v>105</v>
      </c>
      <c r="B142" s="43">
        <v>892</v>
      </c>
      <c r="C142" s="54" t="s">
        <v>279</v>
      </c>
      <c r="D142" s="54" t="s">
        <v>100</v>
      </c>
      <c r="E142" s="55"/>
      <c r="F142" s="54" t="s">
        <v>830</v>
      </c>
      <c r="G142" s="54" t="s">
        <v>281</v>
      </c>
      <c r="H142" s="54" t="s">
        <v>791</v>
      </c>
      <c r="I142" s="54" t="s">
        <v>837</v>
      </c>
      <c r="J142" s="54" t="s">
        <v>832</v>
      </c>
      <c r="K142" s="54" t="s">
        <v>285</v>
      </c>
      <c r="L142" s="54" t="s">
        <v>791</v>
      </c>
      <c r="M142" s="54" t="s">
        <v>838</v>
      </c>
      <c r="N142" s="54" t="s">
        <v>834</v>
      </c>
      <c r="O142" s="54" t="s">
        <v>286</v>
      </c>
      <c r="P142" s="54" t="s">
        <v>791</v>
      </c>
      <c r="Q142" s="54" t="s">
        <v>839</v>
      </c>
      <c r="R142" s="56">
        <v>0.5</v>
      </c>
      <c r="S142" s="54">
        <v>1</v>
      </c>
      <c r="T142" s="54" t="s">
        <v>149</v>
      </c>
      <c r="U142" s="54" t="s">
        <v>185</v>
      </c>
      <c r="V142" s="54" t="s">
        <v>754</v>
      </c>
      <c r="W142" s="54" t="s">
        <v>836</v>
      </c>
      <c r="X142" s="54" t="s">
        <v>836</v>
      </c>
      <c r="Y142" s="54"/>
      <c r="Z142" s="54"/>
      <c r="AA142" s="54"/>
      <c r="AB142" s="54" t="s">
        <v>290</v>
      </c>
      <c r="AC142" s="54" t="s">
        <v>290</v>
      </c>
      <c r="AD142" s="54" t="s">
        <v>290</v>
      </c>
      <c r="AE142" s="54" t="s">
        <v>290</v>
      </c>
      <c r="AF142" s="54" t="s">
        <v>291</v>
      </c>
      <c r="AG142" s="54" t="s">
        <v>291</v>
      </c>
      <c r="AH142" s="54" t="s">
        <v>290</v>
      </c>
      <c r="AI142" s="54">
        <v>0.05</v>
      </c>
      <c r="AJ142" s="57" t="s">
        <v>291</v>
      </c>
    </row>
    <row r="143" spans="1:36" x14ac:dyDescent="0.45">
      <c r="A143" s="53">
        <v>105</v>
      </c>
      <c r="B143" s="43">
        <v>893</v>
      </c>
      <c r="C143" s="54" t="s">
        <v>279</v>
      </c>
      <c r="D143" s="54" t="s">
        <v>100</v>
      </c>
      <c r="E143" s="55"/>
      <c r="F143" s="54" t="s">
        <v>830</v>
      </c>
      <c r="G143" s="54" t="s">
        <v>281</v>
      </c>
      <c r="H143" s="54" t="s">
        <v>466</v>
      </c>
      <c r="I143" s="54" t="s">
        <v>840</v>
      </c>
      <c r="J143" s="54" t="s">
        <v>832</v>
      </c>
      <c r="K143" s="54" t="s">
        <v>285</v>
      </c>
      <c r="L143" s="54" t="s">
        <v>466</v>
      </c>
      <c r="M143" s="54" t="s">
        <v>841</v>
      </c>
      <c r="N143" s="54" t="s">
        <v>834</v>
      </c>
      <c r="O143" s="54" t="s">
        <v>286</v>
      </c>
      <c r="P143" s="54" t="s">
        <v>466</v>
      </c>
      <c r="Q143" s="54" t="s">
        <v>842</v>
      </c>
      <c r="R143" s="56">
        <v>1</v>
      </c>
      <c r="S143" s="54">
        <v>1</v>
      </c>
      <c r="T143" s="54" t="s">
        <v>149</v>
      </c>
      <c r="U143" s="54" t="s">
        <v>185</v>
      </c>
      <c r="V143" s="54" t="s">
        <v>754</v>
      </c>
      <c r="W143" s="54" t="s">
        <v>836</v>
      </c>
      <c r="X143" s="54" t="s">
        <v>836</v>
      </c>
      <c r="Y143" s="54"/>
      <c r="Z143" s="54"/>
      <c r="AA143" s="54"/>
      <c r="AB143" s="54" t="s">
        <v>290</v>
      </c>
      <c r="AC143" s="54" t="s">
        <v>290</v>
      </c>
      <c r="AD143" s="54" t="s">
        <v>290</v>
      </c>
      <c r="AE143" s="54" t="s">
        <v>290</v>
      </c>
      <c r="AF143" s="54" t="s">
        <v>291</v>
      </c>
      <c r="AG143" s="54" t="s">
        <v>291</v>
      </c>
      <c r="AH143" s="54" t="s">
        <v>290</v>
      </c>
      <c r="AI143" s="54">
        <v>0.05</v>
      </c>
      <c r="AJ143" s="57" t="s">
        <v>291</v>
      </c>
    </row>
    <row r="144" spans="1:36" x14ac:dyDescent="0.45">
      <c r="A144" s="53">
        <v>105</v>
      </c>
      <c r="B144" s="43">
        <v>894</v>
      </c>
      <c r="C144" s="54" t="s">
        <v>279</v>
      </c>
      <c r="D144" s="54" t="s">
        <v>100</v>
      </c>
      <c r="E144" s="55"/>
      <c r="F144" s="54" t="s">
        <v>830</v>
      </c>
      <c r="G144" s="54" t="s">
        <v>281</v>
      </c>
      <c r="H144" s="54" t="s">
        <v>843</v>
      </c>
      <c r="I144" s="54" t="s">
        <v>844</v>
      </c>
      <c r="J144" s="54" t="s">
        <v>832</v>
      </c>
      <c r="K144" s="54" t="s">
        <v>285</v>
      </c>
      <c r="L144" s="54" t="s">
        <v>843</v>
      </c>
      <c r="M144" s="54" t="s">
        <v>845</v>
      </c>
      <c r="N144" s="54" t="s">
        <v>834</v>
      </c>
      <c r="O144" s="54" t="s">
        <v>286</v>
      </c>
      <c r="P144" s="54" t="s">
        <v>843</v>
      </c>
      <c r="Q144" s="54" t="s">
        <v>846</v>
      </c>
      <c r="R144" s="56">
        <v>1.5</v>
      </c>
      <c r="S144" s="54">
        <v>1</v>
      </c>
      <c r="T144" s="54" t="s">
        <v>149</v>
      </c>
      <c r="U144" s="54" t="s">
        <v>185</v>
      </c>
      <c r="V144" s="54" t="s">
        <v>754</v>
      </c>
      <c r="W144" s="54" t="s">
        <v>836</v>
      </c>
      <c r="X144" s="54" t="s">
        <v>836</v>
      </c>
      <c r="Y144" s="54"/>
      <c r="Z144" s="54"/>
      <c r="AA144" s="54"/>
      <c r="AB144" s="54" t="s">
        <v>290</v>
      </c>
      <c r="AC144" s="54" t="s">
        <v>290</v>
      </c>
      <c r="AD144" s="54" t="s">
        <v>290</v>
      </c>
      <c r="AE144" s="54" t="s">
        <v>290</v>
      </c>
      <c r="AF144" s="54" t="s">
        <v>291</v>
      </c>
      <c r="AG144" s="54" t="s">
        <v>291</v>
      </c>
      <c r="AH144" s="54" t="s">
        <v>290</v>
      </c>
      <c r="AI144" s="54">
        <v>0.05</v>
      </c>
      <c r="AJ144" s="57" t="s">
        <v>291</v>
      </c>
    </row>
    <row r="145" spans="1:36" x14ac:dyDescent="0.45">
      <c r="A145" s="53">
        <v>106</v>
      </c>
      <c r="B145" s="43">
        <v>895</v>
      </c>
      <c r="C145" s="54" t="s">
        <v>279</v>
      </c>
      <c r="D145" s="54" t="s">
        <v>100</v>
      </c>
      <c r="E145" s="55"/>
      <c r="F145" s="54" t="s">
        <v>830</v>
      </c>
      <c r="G145" s="54" t="s">
        <v>281</v>
      </c>
      <c r="H145" s="54" t="s">
        <v>847</v>
      </c>
      <c r="I145" s="54" t="s">
        <v>848</v>
      </c>
      <c r="J145" s="54" t="s">
        <v>832</v>
      </c>
      <c r="K145" s="54" t="s">
        <v>285</v>
      </c>
      <c r="L145" s="54" t="s">
        <v>847</v>
      </c>
      <c r="M145" s="54" t="s">
        <v>849</v>
      </c>
      <c r="N145" s="54" t="s">
        <v>834</v>
      </c>
      <c r="O145" s="54" t="s">
        <v>286</v>
      </c>
      <c r="P145" s="54" t="s">
        <v>847</v>
      </c>
      <c r="Q145" s="54" t="s">
        <v>850</v>
      </c>
      <c r="R145" s="56">
        <v>10</v>
      </c>
      <c r="S145" s="54">
        <v>1</v>
      </c>
      <c r="T145" s="54" t="s">
        <v>149</v>
      </c>
      <c r="U145" s="54" t="s">
        <v>185</v>
      </c>
      <c r="V145" s="54" t="s">
        <v>754</v>
      </c>
      <c r="W145" s="54" t="s">
        <v>836</v>
      </c>
      <c r="X145" s="54" t="s">
        <v>836</v>
      </c>
      <c r="Y145" s="54"/>
      <c r="Z145" s="54"/>
      <c r="AA145" s="54"/>
      <c r="AB145" s="54" t="s">
        <v>290</v>
      </c>
      <c r="AC145" s="54" t="s">
        <v>290</v>
      </c>
      <c r="AD145" s="54" t="s">
        <v>290</v>
      </c>
      <c r="AE145" s="54" t="s">
        <v>290</v>
      </c>
      <c r="AF145" s="54" t="s">
        <v>291</v>
      </c>
      <c r="AG145" s="54" t="s">
        <v>291</v>
      </c>
      <c r="AH145" s="54" t="s">
        <v>290</v>
      </c>
      <c r="AI145" s="54">
        <v>0.05</v>
      </c>
      <c r="AJ145" s="57" t="s">
        <v>291</v>
      </c>
    </row>
    <row r="146" spans="1:36" x14ac:dyDescent="0.45">
      <c r="A146" s="53">
        <v>107</v>
      </c>
      <c r="B146" s="43">
        <v>896</v>
      </c>
      <c r="C146" s="54" t="s">
        <v>279</v>
      </c>
      <c r="D146" s="54" t="s">
        <v>100</v>
      </c>
      <c r="E146" s="55"/>
      <c r="F146" s="54" t="s">
        <v>830</v>
      </c>
      <c r="G146" s="54" t="s">
        <v>281</v>
      </c>
      <c r="H146" s="54" t="s">
        <v>851</v>
      </c>
      <c r="I146" s="54" t="s">
        <v>852</v>
      </c>
      <c r="J146" s="54" t="s">
        <v>832</v>
      </c>
      <c r="K146" s="54" t="s">
        <v>285</v>
      </c>
      <c r="L146" s="54" t="s">
        <v>851</v>
      </c>
      <c r="M146" s="54" t="s">
        <v>853</v>
      </c>
      <c r="N146" s="54" t="s">
        <v>834</v>
      </c>
      <c r="O146" s="54" t="s">
        <v>286</v>
      </c>
      <c r="P146" s="54" t="s">
        <v>851</v>
      </c>
      <c r="Q146" s="54" t="s">
        <v>854</v>
      </c>
      <c r="R146" s="56">
        <v>5</v>
      </c>
      <c r="S146" s="54">
        <v>1</v>
      </c>
      <c r="T146" s="54" t="s">
        <v>149</v>
      </c>
      <c r="U146" s="54" t="s">
        <v>185</v>
      </c>
      <c r="V146" s="54" t="s">
        <v>754</v>
      </c>
      <c r="W146" s="54" t="s">
        <v>836</v>
      </c>
      <c r="X146" s="54" t="s">
        <v>836</v>
      </c>
      <c r="Y146" s="54"/>
      <c r="Z146" s="54"/>
      <c r="AA146" s="54"/>
      <c r="AB146" s="54" t="s">
        <v>290</v>
      </c>
      <c r="AC146" s="54" t="s">
        <v>290</v>
      </c>
      <c r="AD146" s="54" t="s">
        <v>290</v>
      </c>
      <c r="AE146" s="54" t="s">
        <v>290</v>
      </c>
      <c r="AF146" s="54" t="s">
        <v>291</v>
      </c>
      <c r="AG146" s="54" t="s">
        <v>291</v>
      </c>
      <c r="AH146" s="54" t="s">
        <v>290</v>
      </c>
      <c r="AI146" s="54">
        <v>0.05</v>
      </c>
      <c r="AJ146" s="57" t="s">
        <v>291</v>
      </c>
    </row>
    <row r="147" spans="1:36" x14ac:dyDescent="0.45">
      <c r="A147" s="53">
        <v>107</v>
      </c>
      <c r="B147" s="43">
        <v>897</v>
      </c>
      <c r="C147" s="54" t="s">
        <v>279</v>
      </c>
      <c r="D147" s="54" t="s">
        <v>100</v>
      </c>
      <c r="E147" s="55"/>
      <c r="F147" s="54" t="s">
        <v>830</v>
      </c>
      <c r="G147" s="54" t="s">
        <v>281</v>
      </c>
      <c r="H147" s="54" t="s">
        <v>855</v>
      </c>
      <c r="I147" s="54" t="s">
        <v>856</v>
      </c>
      <c r="J147" s="54" t="s">
        <v>832</v>
      </c>
      <c r="K147" s="54" t="s">
        <v>285</v>
      </c>
      <c r="L147" s="54" t="s">
        <v>855</v>
      </c>
      <c r="M147" s="54" t="s">
        <v>857</v>
      </c>
      <c r="N147" s="54" t="s">
        <v>834</v>
      </c>
      <c r="O147" s="54" t="s">
        <v>286</v>
      </c>
      <c r="P147" s="54" t="s">
        <v>855</v>
      </c>
      <c r="Q147" s="54" t="s">
        <v>858</v>
      </c>
      <c r="R147" s="56">
        <v>3</v>
      </c>
      <c r="S147" s="54">
        <v>1</v>
      </c>
      <c r="T147" s="54" t="s">
        <v>149</v>
      </c>
      <c r="U147" s="54" t="s">
        <v>185</v>
      </c>
      <c r="V147" s="54" t="s">
        <v>754</v>
      </c>
      <c r="W147" s="54" t="s">
        <v>836</v>
      </c>
      <c r="X147" s="54" t="s">
        <v>836</v>
      </c>
      <c r="Y147" s="54"/>
      <c r="Z147" s="54"/>
      <c r="AA147" s="54"/>
      <c r="AB147" s="54" t="s">
        <v>290</v>
      </c>
      <c r="AC147" s="54" t="s">
        <v>290</v>
      </c>
      <c r="AD147" s="54" t="s">
        <v>290</v>
      </c>
      <c r="AE147" s="54" t="s">
        <v>290</v>
      </c>
      <c r="AF147" s="54" t="s">
        <v>291</v>
      </c>
      <c r="AG147" s="54" t="s">
        <v>291</v>
      </c>
      <c r="AH147" s="54" t="s">
        <v>290</v>
      </c>
      <c r="AI147" s="54">
        <v>0.05</v>
      </c>
      <c r="AJ147" s="57" t="s">
        <v>291</v>
      </c>
    </row>
    <row r="148" spans="1:36" x14ac:dyDescent="0.45">
      <c r="A148" s="53">
        <v>122</v>
      </c>
      <c r="B148" s="43">
        <v>898</v>
      </c>
      <c r="C148" s="54" t="s">
        <v>279</v>
      </c>
      <c r="D148" s="54" t="s">
        <v>100</v>
      </c>
      <c r="E148" s="55"/>
      <c r="F148" s="54" t="s">
        <v>859</v>
      </c>
      <c r="G148" s="54" t="s">
        <v>281</v>
      </c>
      <c r="H148" s="54" t="s">
        <v>779</v>
      </c>
      <c r="I148" s="54" t="s">
        <v>859</v>
      </c>
      <c r="J148" s="54" t="s">
        <v>860</v>
      </c>
      <c r="K148" s="54" t="s">
        <v>285</v>
      </c>
      <c r="L148" s="54" t="s">
        <v>779</v>
      </c>
      <c r="M148" s="54" t="s">
        <v>861</v>
      </c>
      <c r="N148" s="54" t="s">
        <v>862</v>
      </c>
      <c r="O148" s="54" t="s">
        <v>286</v>
      </c>
      <c r="P148" s="54" t="s">
        <v>779</v>
      </c>
      <c r="Q148" s="54" t="s">
        <v>863</v>
      </c>
      <c r="R148" s="56">
        <v>0.33</v>
      </c>
      <c r="S148" s="54">
        <v>1</v>
      </c>
      <c r="T148" s="54" t="s">
        <v>149</v>
      </c>
      <c r="U148" s="54" t="s">
        <v>185</v>
      </c>
      <c r="V148" s="54" t="s">
        <v>754</v>
      </c>
      <c r="W148" s="54" t="s">
        <v>836</v>
      </c>
      <c r="X148" s="54" t="s">
        <v>836</v>
      </c>
      <c r="Y148" s="54"/>
      <c r="Z148" s="54"/>
      <c r="AA148" s="54"/>
      <c r="AB148" s="54" t="s">
        <v>290</v>
      </c>
      <c r="AC148" s="54" t="s">
        <v>290</v>
      </c>
      <c r="AD148" s="54" t="s">
        <v>290</v>
      </c>
      <c r="AE148" s="54" t="s">
        <v>290</v>
      </c>
      <c r="AF148" s="54" t="s">
        <v>291</v>
      </c>
      <c r="AG148" s="54" t="s">
        <v>291</v>
      </c>
      <c r="AH148" s="54" t="s">
        <v>290</v>
      </c>
      <c r="AI148" s="54">
        <v>0.05</v>
      </c>
      <c r="AJ148" s="57" t="s">
        <v>291</v>
      </c>
    </row>
    <row r="149" spans="1:36" x14ac:dyDescent="0.45">
      <c r="A149" s="53">
        <v>122</v>
      </c>
      <c r="B149" s="43">
        <v>899</v>
      </c>
      <c r="C149" s="54" t="s">
        <v>279</v>
      </c>
      <c r="D149" s="54" t="s">
        <v>100</v>
      </c>
      <c r="E149" s="55"/>
      <c r="F149" s="54" t="s">
        <v>859</v>
      </c>
      <c r="G149" s="54" t="s">
        <v>281</v>
      </c>
      <c r="H149" s="54" t="s">
        <v>791</v>
      </c>
      <c r="I149" s="54" t="s">
        <v>859</v>
      </c>
      <c r="J149" s="54" t="s">
        <v>860</v>
      </c>
      <c r="K149" s="54" t="s">
        <v>285</v>
      </c>
      <c r="L149" s="54" t="s">
        <v>791</v>
      </c>
      <c r="M149" s="54" t="s">
        <v>864</v>
      </c>
      <c r="N149" s="54" t="s">
        <v>862</v>
      </c>
      <c r="O149" s="54" t="s">
        <v>286</v>
      </c>
      <c r="P149" s="54" t="s">
        <v>791</v>
      </c>
      <c r="Q149" s="54" t="s">
        <v>865</v>
      </c>
      <c r="R149" s="56">
        <v>0.5</v>
      </c>
      <c r="S149" s="54">
        <v>1</v>
      </c>
      <c r="T149" s="54" t="s">
        <v>149</v>
      </c>
      <c r="U149" s="54" t="s">
        <v>185</v>
      </c>
      <c r="V149" s="54" t="s">
        <v>754</v>
      </c>
      <c r="W149" s="54" t="s">
        <v>836</v>
      </c>
      <c r="X149" s="54" t="s">
        <v>836</v>
      </c>
      <c r="Y149" s="54"/>
      <c r="Z149" s="54"/>
      <c r="AA149" s="54"/>
      <c r="AB149" s="54" t="s">
        <v>290</v>
      </c>
      <c r="AC149" s="54" t="s">
        <v>290</v>
      </c>
      <c r="AD149" s="54" t="s">
        <v>290</v>
      </c>
      <c r="AE149" s="54" t="s">
        <v>290</v>
      </c>
      <c r="AF149" s="54" t="s">
        <v>291</v>
      </c>
      <c r="AG149" s="54" t="s">
        <v>291</v>
      </c>
      <c r="AH149" s="54" t="s">
        <v>290</v>
      </c>
      <c r="AI149" s="54">
        <v>0.05</v>
      </c>
      <c r="AJ149" s="57" t="s">
        <v>291</v>
      </c>
    </row>
    <row r="150" spans="1:36" x14ac:dyDescent="0.45">
      <c r="A150" s="53">
        <v>122</v>
      </c>
      <c r="B150" s="43">
        <v>900</v>
      </c>
      <c r="C150" s="54" t="s">
        <v>279</v>
      </c>
      <c r="D150" s="54" t="s">
        <v>100</v>
      </c>
      <c r="E150" s="55"/>
      <c r="F150" s="54" t="s">
        <v>859</v>
      </c>
      <c r="G150" s="54" t="s">
        <v>281</v>
      </c>
      <c r="H150" s="54" t="s">
        <v>466</v>
      </c>
      <c r="I150" s="54" t="s">
        <v>859</v>
      </c>
      <c r="J150" s="54" t="s">
        <v>860</v>
      </c>
      <c r="K150" s="54" t="s">
        <v>285</v>
      </c>
      <c r="L150" s="54" t="s">
        <v>466</v>
      </c>
      <c r="M150" s="54" t="s">
        <v>866</v>
      </c>
      <c r="N150" s="54" t="s">
        <v>862</v>
      </c>
      <c r="O150" s="54" t="s">
        <v>286</v>
      </c>
      <c r="P150" s="54" t="s">
        <v>466</v>
      </c>
      <c r="Q150" s="54" t="s">
        <v>867</v>
      </c>
      <c r="R150" s="56">
        <v>1</v>
      </c>
      <c r="S150" s="54">
        <v>1</v>
      </c>
      <c r="T150" s="54" t="s">
        <v>149</v>
      </c>
      <c r="U150" s="54" t="s">
        <v>185</v>
      </c>
      <c r="V150" s="54" t="s">
        <v>754</v>
      </c>
      <c r="W150" s="54" t="s">
        <v>836</v>
      </c>
      <c r="X150" s="54" t="s">
        <v>836</v>
      </c>
      <c r="Y150" s="54"/>
      <c r="Z150" s="54"/>
      <c r="AA150" s="54"/>
      <c r="AB150" s="54" t="s">
        <v>290</v>
      </c>
      <c r="AC150" s="54" t="s">
        <v>290</v>
      </c>
      <c r="AD150" s="54" t="s">
        <v>290</v>
      </c>
      <c r="AE150" s="54" t="s">
        <v>290</v>
      </c>
      <c r="AF150" s="54" t="s">
        <v>291</v>
      </c>
      <c r="AG150" s="54" t="s">
        <v>291</v>
      </c>
      <c r="AH150" s="54" t="s">
        <v>290</v>
      </c>
      <c r="AI150" s="54">
        <v>0.05</v>
      </c>
      <c r="AJ150" s="57" t="s">
        <v>291</v>
      </c>
    </row>
    <row r="151" spans="1:36" x14ac:dyDescent="0.45">
      <c r="A151" s="53">
        <v>122</v>
      </c>
      <c r="B151" s="43">
        <v>901</v>
      </c>
      <c r="C151" s="54" t="s">
        <v>279</v>
      </c>
      <c r="D151" s="54" t="s">
        <v>100</v>
      </c>
      <c r="E151" s="55"/>
      <c r="F151" s="54" t="s">
        <v>859</v>
      </c>
      <c r="G151" s="54" t="s">
        <v>281</v>
      </c>
      <c r="H151" s="54" t="s">
        <v>843</v>
      </c>
      <c r="I151" s="54" t="s">
        <v>859</v>
      </c>
      <c r="J151" s="54" t="s">
        <v>860</v>
      </c>
      <c r="K151" s="54" t="s">
        <v>285</v>
      </c>
      <c r="L151" s="54" t="s">
        <v>843</v>
      </c>
      <c r="M151" s="54" t="s">
        <v>868</v>
      </c>
      <c r="N151" s="54" t="s">
        <v>862</v>
      </c>
      <c r="O151" s="54" t="s">
        <v>286</v>
      </c>
      <c r="P151" s="54" t="s">
        <v>843</v>
      </c>
      <c r="Q151" s="54" t="s">
        <v>869</v>
      </c>
      <c r="R151" s="56">
        <v>1.5</v>
      </c>
      <c r="S151" s="54">
        <v>1</v>
      </c>
      <c r="T151" s="54" t="s">
        <v>149</v>
      </c>
      <c r="U151" s="54" t="s">
        <v>185</v>
      </c>
      <c r="V151" s="54" t="s">
        <v>754</v>
      </c>
      <c r="W151" s="54" t="s">
        <v>836</v>
      </c>
      <c r="X151" s="54" t="s">
        <v>836</v>
      </c>
      <c r="Y151" s="54"/>
      <c r="Z151" s="54"/>
      <c r="AA151" s="54"/>
      <c r="AB151" s="54" t="s">
        <v>290</v>
      </c>
      <c r="AC151" s="54" t="s">
        <v>290</v>
      </c>
      <c r="AD151" s="54" t="s">
        <v>290</v>
      </c>
      <c r="AE151" s="54" t="s">
        <v>290</v>
      </c>
      <c r="AF151" s="54" t="s">
        <v>291</v>
      </c>
      <c r="AG151" s="54" t="s">
        <v>291</v>
      </c>
      <c r="AH151" s="54" t="s">
        <v>290</v>
      </c>
      <c r="AI151" s="54">
        <v>0.05</v>
      </c>
      <c r="AJ151" s="57" t="s">
        <v>291</v>
      </c>
    </row>
    <row r="152" spans="1:36" x14ac:dyDescent="0.45">
      <c r="A152" s="53">
        <v>105</v>
      </c>
      <c r="B152" s="43">
        <v>902</v>
      </c>
      <c r="C152" s="54" t="s">
        <v>279</v>
      </c>
      <c r="D152" s="54" t="s">
        <v>100</v>
      </c>
      <c r="E152" s="55"/>
      <c r="F152" s="54" t="s">
        <v>870</v>
      </c>
      <c r="G152" s="54" t="s">
        <v>281</v>
      </c>
      <c r="H152" s="54" t="s">
        <v>779</v>
      </c>
      <c r="I152" s="54" t="s">
        <v>871</v>
      </c>
      <c r="J152" s="54" t="s">
        <v>872</v>
      </c>
      <c r="K152" s="54" t="s">
        <v>285</v>
      </c>
      <c r="L152" s="54" t="s">
        <v>779</v>
      </c>
      <c r="M152" s="54" t="s">
        <v>873</v>
      </c>
      <c r="N152" s="54" t="s">
        <v>874</v>
      </c>
      <c r="O152" s="54" t="s">
        <v>286</v>
      </c>
      <c r="P152" s="54" t="s">
        <v>779</v>
      </c>
      <c r="Q152" s="54" t="s">
        <v>875</v>
      </c>
      <c r="R152" s="56">
        <v>0.33</v>
      </c>
      <c r="S152" s="54">
        <v>1</v>
      </c>
      <c r="T152" s="54" t="s">
        <v>149</v>
      </c>
      <c r="U152" s="54" t="s">
        <v>185</v>
      </c>
      <c r="V152" s="54" t="s">
        <v>754</v>
      </c>
      <c r="W152" s="54" t="s">
        <v>836</v>
      </c>
      <c r="X152" s="54" t="s">
        <v>836</v>
      </c>
      <c r="Y152" s="54"/>
      <c r="Z152" s="54"/>
      <c r="AA152" s="54"/>
      <c r="AB152" s="54" t="s">
        <v>290</v>
      </c>
      <c r="AC152" s="54" t="s">
        <v>290</v>
      </c>
      <c r="AD152" s="54" t="s">
        <v>290</v>
      </c>
      <c r="AE152" s="54" t="s">
        <v>290</v>
      </c>
      <c r="AF152" s="54" t="s">
        <v>291</v>
      </c>
      <c r="AG152" s="54" t="s">
        <v>291</v>
      </c>
      <c r="AH152" s="54" t="s">
        <v>290</v>
      </c>
      <c r="AI152" s="54">
        <v>0.05</v>
      </c>
      <c r="AJ152" s="57" t="s">
        <v>291</v>
      </c>
    </row>
    <row r="153" spans="1:36" x14ac:dyDescent="0.45">
      <c r="A153" s="53">
        <v>105</v>
      </c>
      <c r="B153" s="43">
        <v>903</v>
      </c>
      <c r="C153" s="54" t="s">
        <v>279</v>
      </c>
      <c r="D153" s="54" t="s">
        <v>100</v>
      </c>
      <c r="E153" s="55"/>
      <c r="F153" s="54" t="s">
        <v>870</v>
      </c>
      <c r="G153" s="54" t="s">
        <v>281</v>
      </c>
      <c r="H153" s="54" t="s">
        <v>791</v>
      </c>
      <c r="I153" s="54" t="s">
        <v>876</v>
      </c>
      <c r="J153" s="54" t="s">
        <v>872</v>
      </c>
      <c r="K153" s="54" t="s">
        <v>285</v>
      </c>
      <c r="L153" s="54" t="s">
        <v>791</v>
      </c>
      <c r="M153" s="54" t="s">
        <v>877</v>
      </c>
      <c r="N153" s="54" t="s">
        <v>874</v>
      </c>
      <c r="O153" s="54" t="s">
        <v>286</v>
      </c>
      <c r="P153" s="54" t="s">
        <v>791</v>
      </c>
      <c r="Q153" s="54" t="s">
        <v>878</v>
      </c>
      <c r="R153" s="56">
        <v>0.5</v>
      </c>
      <c r="S153" s="54">
        <v>1</v>
      </c>
      <c r="T153" s="54" t="s">
        <v>149</v>
      </c>
      <c r="U153" s="54" t="s">
        <v>185</v>
      </c>
      <c r="V153" s="54" t="s">
        <v>754</v>
      </c>
      <c r="W153" s="54" t="s">
        <v>836</v>
      </c>
      <c r="X153" s="54" t="s">
        <v>836</v>
      </c>
      <c r="Y153" s="54"/>
      <c r="Z153" s="54"/>
      <c r="AA153" s="54"/>
      <c r="AB153" s="54" t="s">
        <v>290</v>
      </c>
      <c r="AC153" s="54" t="s">
        <v>290</v>
      </c>
      <c r="AD153" s="54" t="s">
        <v>290</v>
      </c>
      <c r="AE153" s="54" t="s">
        <v>290</v>
      </c>
      <c r="AF153" s="54" t="s">
        <v>291</v>
      </c>
      <c r="AG153" s="54" t="s">
        <v>291</v>
      </c>
      <c r="AH153" s="54" t="s">
        <v>290</v>
      </c>
      <c r="AI153" s="54">
        <v>0.05</v>
      </c>
      <c r="AJ153" s="57" t="s">
        <v>291</v>
      </c>
    </row>
    <row r="154" spans="1:36" x14ac:dyDescent="0.45">
      <c r="A154" s="53">
        <v>105</v>
      </c>
      <c r="B154" s="43">
        <v>904</v>
      </c>
      <c r="C154" s="54" t="s">
        <v>279</v>
      </c>
      <c r="D154" s="54" t="s">
        <v>100</v>
      </c>
      <c r="E154" s="55"/>
      <c r="F154" s="54" t="s">
        <v>870</v>
      </c>
      <c r="G154" s="54" t="s">
        <v>281</v>
      </c>
      <c r="H154" s="54" t="s">
        <v>795</v>
      </c>
      <c r="I154" s="54" t="s">
        <v>879</v>
      </c>
      <c r="J154" s="54" t="s">
        <v>872</v>
      </c>
      <c r="K154" s="54" t="s">
        <v>285</v>
      </c>
      <c r="L154" s="54" t="s">
        <v>795</v>
      </c>
      <c r="M154" s="54" t="s">
        <v>880</v>
      </c>
      <c r="N154" s="54" t="s">
        <v>874</v>
      </c>
      <c r="O154" s="54" t="s">
        <v>286</v>
      </c>
      <c r="P154" s="54" t="s">
        <v>795</v>
      </c>
      <c r="Q154" s="54" t="s">
        <v>881</v>
      </c>
      <c r="R154" s="56">
        <v>0.75</v>
      </c>
      <c r="S154" s="54">
        <v>1</v>
      </c>
      <c r="T154" s="54" t="s">
        <v>149</v>
      </c>
      <c r="U154" s="54" t="s">
        <v>185</v>
      </c>
      <c r="V154" s="54" t="s">
        <v>754</v>
      </c>
      <c r="W154" s="54" t="s">
        <v>836</v>
      </c>
      <c r="X154" s="54" t="s">
        <v>836</v>
      </c>
      <c r="Y154" s="54"/>
      <c r="Z154" s="54"/>
      <c r="AA154" s="54"/>
      <c r="AB154" s="54" t="s">
        <v>290</v>
      </c>
      <c r="AC154" s="54" t="s">
        <v>290</v>
      </c>
      <c r="AD154" s="54" t="s">
        <v>290</v>
      </c>
      <c r="AE154" s="54" t="s">
        <v>290</v>
      </c>
      <c r="AF154" s="54" t="s">
        <v>291</v>
      </c>
      <c r="AG154" s="54" t="s">
        <v>291</v>
      </c>
      <c r="AH154" s="54" t="s">
        <v>290</v>
      </c>
      <c r="AI154" s="54">
        <v>0.05</v>
      </c>
      <c r="AJ154" s="57" t="s">
        <v>291</v>
      </c>
    </row>
    <row r="155" spans="1:36" x14ac:dyDescent="0.45">
      <c r="A155" s="53">
        <v>105</v>
      </c>
      <c r="B155" s="43">
        <v>905</v>
      </c>
      <c r="C155" s="54" t="s">
        <v>279</v>
      </c>
      <c r="D155" s="54" t="s">
        <v>100</v>
      </c>
      <c r="E155" s="55"/>
      <c r="F155" s="54" t="s">
        <v>870</v>
      </c>
      <c r="G155" s="54" t="s">
        <v>281</v>
      </c>
      <c r="H155" s="54" t="s">
        <v>466</v>
      </c>
      <c r="I155" s="54" t="s">
        <v>882</v>
      </c>
      <c r="J155" s="54" t="s">
        <v>872</v>
      </c>
      <c r="K155" s="54" t="s">
        <v>285</v>
      </c>
      <c r="L155" s="54" t="s">
        <v>466</v>
      </c>
      <c r="M155" s="54" t="s">
        <v>883</v>
      </c>
      <c r="N155" s="54" t="s">
        <v>874</v>
      </c>
      <c r="O155" s="54" t="s">
        <v>286</v>
      </c>
      <c r="P155" s="54" t="s">
        <v>466</v>
      </c>
      <c r="Q155" s="54" t="s">
        <v>884</v>
      </c>
      <c r="R155" s="56">
        <v>1</v>
      </c>
      <c r="S155" s="54">
        <v>1</v>
      </c>
      <c r="T155" s="54" t="s">
        <v>149</v>
      </c>
      <c r="U155" s="54" t="s">
        <v>185</v>
      </c>
      <c r="V155" s="54" t="s">
        <v>754</v>
      </c>
      <c r="W155" s="54" t="s">
        <v>836</v>
      </c>
      <c r="X155" s="54" t="s">
        <v>836</v>
      </c>
      <c r="Y155" s="54"/>
      <c r="Z155" s="54"/>
      <c r="AA155" s="54"/>
      <c r="AB155" s="54" t="s">
        <v>290</v>
      </c>
      <c r="AC155" s="54" t="s">
        <v>290</v>
      </c>
      <c r="AD155" s="54" t="s">
        <v>290</v>
      </c>
      <c r="AE155" s="54" t="s">
        <v>290</v>
      </c>
      <c r="AF155" s="54" t="s">
        <v>291</v>
      </c>
      <c r="AG155" s="54" t="s">
        <v>291</v>
      </c>
      <c r="AH155" s="54" t="s">
        <v>290</v>
      </c>
      <c r="AI155" s="54">
        <v>0.05</v>
      </c>
      <c r="AJ155" s="57" t="s">
        <v>291</v>
      </c>
    </row>
    <row r="156" spans="1:36" x14ac:dyDescent="0.45">
      <c r="A156" s="53">
        <v>105</v>
      </c>
      <c r="B156" s="43">
        <v>906</v>
      </c>
      <c r="C156" s="54" t="s">
        <v>279</v>
      </c>
      <c r="D156" s="54" t="s">
        <v>100</v>
      </c>
      <c r="E156" s="55"/>
      <c r="F156" s="54" t="s">
        <v>870</v>
      </c>
      <c r="G156" s="54" t="s">
        <v>281</v>
      </c>
      <c r="H156" s="54" t="s">
        <v>843</v>
      </c>
      <c r="I156" s="54" t="s">
        <v>885</v>
      </c>
      <c r="J156" s="54" t="s">
        <v>872</v>
      </c>
      <c r="K156" s="54" t="s">
        <v>285</v>
      </c>
      <c r="L156" s="54" t="s">
        <v>843</v>
      </c>
      <c r="M156" s="54" t="s">
        <v>886</v>
      </c>
      <c r="N156" s="54" t="s">
        <v>874</v>
      </c>
      <c r="O156" s="54" t="s">
        <v>286</v>
      </c>
      <c r="P156" s="54" t="s">
        <v>843</v>
      </c>
      <c r="Q156" s="54" t="s">
        <v>887</v>
      </c>
      <c r="R156" s="56">
        <v>1.5</v>
      </c>
      <c r="S156" s="54">
        <v>1</v>
      </c>
      <c r="T156" s="54" t="s">
        <v>149</v>
      </c>
      <c r="U156" s="54" t="s">
        <v>185</v>
      </c>
      <c r="V156" s="54" t="s">
        <v>754</v>
      </c>
      <c r="W156" s="54" t="s">
        <v>836</v>
      </c>
      <c r="X156" s="54" t="s">
        <v>836</v>
      </c>
      <c r="Y156" s="54"/>
      <c r="Z156" s="54"/>
      <c r="AA156" s="54"/>
      <c r="AB156" s="54" t="s">
        <v>290</v>
      </c>
      <c r="AC156" s="54" t="s">
        <v>290</v>
      </c>
      <c r="AD156" s="54" t="s">
        <v>290</v>
      </c>
      <c r="AE156" s="54" t="s">
        <v>290</v>
      </c>
      <c r="AF156" s="54" t="s">
        <v>291</v>
      </c>
      <c r="AG156" s="54" t="s">
        <v>291</v>
      </c>
      <c r="AH156" s="54" t="s">
        <v>290</v>
      </c>
      <c r="AI156" s="54">
        <v>0.05</v>
      </c>
      <c r="AJ156" s="57" t="s">
        <v>291</v>
      </c>
    </row>
    <row r="157" spans="1:36" x14ac:dyDescent="0.45">
      <c r="A157" s="53">
        <v>121</v>
      </c>
      <c r="B157" s="43">
        <v>907</v>
      </c>
      <c r="C157" s="54" t="s">
        <v>279</v>
      </c>
      <c r="D157" s="54" t="s">
        <v>100</v>
      </c>
      <c r="E157" s="55"/>
      <c r="F157" s="54" t="s">
        <v>888</v>
      </c>
      <c r="G157" s="54" t="s">
        <v>281</v>
      </c>
      <c r="H157" s="54" t="s">
        <v>779</v>
      </c>
      <c r="I157" s="54" t="s">
        <v>889</v>
      </c>
      <c r="J157" s="54" t="s">
        <v>890</v>
      </c>
      <c r="K157" s="54" t="s">
        <v>285</v>
      </c>
      <c r="L157" s="54" t="s">
        <v>779</v>
      </c>
      <c r="M157" s="54" t="s">
        <v>891</v>
      </c>
      <c r="N157" s="54" t="s">
        <v>892</v>
      </c>
      <c r="O157" s="54" t="s">
        <v>286</v>
      </c>
      <c r="P157" s="54" t="s">
        <v>779</v>
      </c>
      <c r="Q157" s="54" t="s">
        <v>893</v>
      </c>
      <c r="R157" s="56">
        <v>0.33</v>
      </c>
      <c r="S157" s="54">
        <v>1</v>
      </c>
      <c r="T157" s="54" t="s">
        <v>149</v>
      </c>
      <c r="U157" s="54" t="s">
        <v>185</v>
      </c>
      <c r="V157" s="54" t="s">
        <v>754</v>
      </c>
      <c r="W157" s="54" t="s">
        <v>836</v>
      </c>
      <c r="X157" s="54" t="s">
        <v>836</v>
      </c>
      <c r="Y157" s="54"/>
      <c r="Z157" s="54"/>
      <c r="AA157" s="54"/>
      <c r="AB157" s="54" t="s">
        <v>290</v>
      </c>
      <c r="AC157" s="54" t="s">
        <v>290</v>
      </c>
      <c r="AD157" s="54" t="s">
        <v>290</v>
      </c>
      <c r="AE157" s="54" t="s">
        <v>290</v>
      </c>
      <c r="AF157" s="54" t="s">
        <v>291</v>
      </c>
      <c r="AG157" s="54" t="s">
        <v>291</v>
      </c>
      <c r="AH157" s="54" t="s">
        <v>290</v>
      </c>
      <c r="AI157" s="54">
        <v>0</v>
      </c>
      <c r="AJ157" s="57" t="s">
        <v>291</v>
      </c>
    </row>
    <row r="158" spans="1:36" x14ac:dyDescent="0.45">
      <c r="A158" s="53">
        <v>121</v>
      </c>
      <c r="B158" s="43">
        <v>908</v>
      </c>
      <c r="C158" s="54" t="s">
        <v>279</v>
      </c>
      <c r="D158" s="54" t="s">
        <v>100</v>
      </c>
      <c r="E158" s="55"/>
      <c r="F158" s="54" t="s">
        <v>888</v>
      </c>
      <c r="G158" s="54" t="s">
        <v>281</v>
      </c>
      <c r="H158" s="54" t="s">
        <v>791</v>
      </c>
      <c r="I158" s="54" t="s">
        <v>894</v>
      </c>
      <c r="J158" s="54" t="s">
        <v>890</v>
      </c>
      <c r="K158" s="54" t="s">
        <v>285</v>
      </c>
      <c r="L158" s="54" t="s">
        <v>791</v>
      </c>
      <c r="M158" s="54" t="s">
        <v>895</v>
      </c>
      <c r="N158" s="54" t="s">
        <v>892</v>
      </c>
      <c r="O158" s="54" t="s">
        <v>286</v>
      </c>
      <c r="P158" s="54" t="s">
        <v>791</v>
      </c>
      <c r="Q158" s="54" t="s">
        <v>896</v>
      </c>
      <c r="R158" s="56">
        <v>0.5</v>
      </c>
      <c r="S158" s="54">
        <v>1</v>
      </c>
      <c r="T158" s="54" t="s">
        <v>149</v>
      </c>
      <c r="U158" s="54" t="s">
        <v>185</v>
      </c>
      <c r="V158" s="54" t="s">
        <v>754</v>
      </c>
      <c r="W158" s="54" t="s">
        <v>836</v>
      </c>
      <c r="X158" s="54" t="s">
        <v>836</v>
      </c>
      <c r="Y158" s="54"/>
      <c r="Z158" s="54"/>
      <c r="AA158" s="54"/>
      <c r="AB158" s="54" t="s">
        <v>290</v>
      </c>
      <c r="AC158" s="54" t="s">
        <v>290</v>
      </c>
      <c r="AD158" s="54" t="s">
        <v>290</v>
      </c>
      <c r="AE158" s="54" t="s">
        <v>290</v>
      </c>
      <c r="AF158" s="54" t="s">
        <v>291</v>
      </c>
      <c r="AG158" s="54" t="s">
        <v>291</v>
      </c>
      <c r="AH158" s="54" t="s">
        <v>290</v>
      </c>
      <c r="AI158" s="54">
        <v>0</v>
      </c>
      <c r="AJ158" s="57" t="s">
        <v>291</v>
      </c>
    </row>
    <row r="159" spans="1:36" x14ac:dyDescent="0.45">
      <c r="A159" s="53">
        <v>121</v>
      </c>
      <c r="B159" s="43">
        <v>909</v>
      </c>
      <c r="C159" s="54" t="s">
        <v>279</v>
      </c>
      <c r="D159" s="54" t="s">
        <v>100</v>
      </c>
      <c r="E159" s="55"/>
      <c r="F159" s="54" t="s">
        <v>888</v>
      </c>
      <c r="G159" s="54" t="s">
        <v>281</v>
      </c>
      <c r="H159" s="54" t="s">
        <v>795</v>
      </c>
      <c r="I159" s="54" t="s">
        <v>897</v>
      </c>
      <c r="J159" s="54" t="s">
        <v>890</v>
      </c>
      <c r="K159" s="54" t="s">
        <v>285</v>
      </c>
      <c r="L159" s="54" t="s">
        <v>795</v>
      </c>
      <c r="M159" s="54" t="s">
        <v>898</v>
      </c>
      <c r="N159" s="54" t="s">
        <v>892</v>
      </c>
      <c r="O159" s="54" t="s">
        <v>286</v>
      </c>
      <c r="P159" s="54" t="s">
        <v>795</v>
      </c>
      <c r="Q159" s="54" t="s">
        <v>899</v>
      </c>
      <c r="R159" s="56">
        <v>0.75</v>
      </c>
      <c r="S159" s="54">
        <v>1</v>
      </c>
      <c r="T159" s="54" t="s">
        <v>149</v>
      </c>
      <c r="U159" s="54" t="s">
        <v>185</v>
      </c>
      <c r="V159" s="54" t="s">
        <v>754</v>
      </c>
      <c r="W159" s="54" t="s">
        <v>836</v>
      </c>
      <c r="X159" s="54" t="s">
        <v>836</v>
      </c>
      <c r="Y159" s="54"/>
      <c r="Z159" s="54"/>
      <c r="AA159" s="54"/>
      <c r="AB159" s="54" t="s">
        <v>290</v>
      </c>
      <c r="AC159" s="54" t="s">
        <v>290</v>
      </c>
      <c r="AD159" s="54" t="s">
        <v>290</v>
      </c>
      <c r="AE159" s="54" t="s">
        <v>290</v>
      </c>
      <c r="AF159" s="54" t="s">
        <v>291</v>
      </c>
      <c r="AG159" s="54" t="s">
        <v>291</v>
      </c>
      <c r="AH159" s="54" t="s">
        <v>290</v>
      </c>
      <c r="AI159" s="54">
        <v>0</v>
      </c>
      <c r="AJ159" s="57" t="s">
        <v>291</v>
      </c>
    </row>
    <row r="160" spans="1:36" x14ac:dyDescent="0.45">
      <c r="A160" s="53">
        <v>121</v>
      </c>
      <c r="B160" s="43">
        <v>910</v>
      </c>
      <c r="C160" s="54" t="s">
        <v>279</v>
      </c>
      <c r="D160" s="54" t="s">
        <v>100</v>
      </c>
      <c r="E160" s="55"/>
      <c r="F160" s="54" t="s">
        <v>888</v>
      </c>
      <c r="G160" s="54" t="s">
        <v>281</v>
      </c>
      <c r="H160" s="54" t="s">
        <v>466</v>
      </c>
      <c r="I160" s="54" t="s">
        <v>900</v>
      </c>
      <c r="J160" s="54" t="s">
        <v>890</v>
      </c>
      <c r="K160" s="54" t="s">
        <v>285</v>
      </c>
      <c r="L160" s="54" t="s">
        <v>466</v>
      </c>
      <c r="M160" s="54" t="s">
        <v>901</v>
      </c>
      <c r="N160" s="54" t="s">
        <v>892</v>
      </c>
      <c r="O160" s="54" t="s">
        <v>286</v>
      </c>
      <c r="P160" s="54" t="s">
        <v>466</v>
      </c>
      <c r="Q160" s="54" t="s">
        <v>902</v>
      </c>
      <c r="R160" s="56">
        <v>1</v>
      </c>
      <c r="S160" s="54">
        <v>1</v>
      </c>
      <c r="T160" s="54" t="s">
        <v>149</v>
      </c>
      <c r="U160" s="54" t="s">
        <v>185</v>
      </c>
      <c r="V160" s="54" t="s">
        <v>754</v>
      </c>
      <c r="W160" s="54" t="s">
        <v>836</v>
      </c>
      <c r="X160" s="54" t="s">
        <v>836</v>
      </c>
      <c r="Y160" s="54"/>
      <c r="Z160" s="54"/>
      <c r="AA160" s="54"/>
      <c r="AB160" s="54" t="s">
        <v>290</v>
      </c>
      <c r="AC160" s="54" t="s">
        <v>290</v>
      </c>
      <c r="AD160" s="54" t="s">
        <v>290</v>
      </c>
      <c r="AE160" s="54" t="s">
        <v>290</v>
      </c>
      <c r="AF160" s="54" t="s">
        <v>291</v>
      </c>
      <c r="AG160" s="54" t="s">
        <v>291</v>
      </c>
      <c r="AH160" s="54" t="s">
        <v>290</v>
      </c>
      <c r="AI160" s="54">
        <v>0</v>
      </c>
      <c r="AJ160" s="57" t="s">
        <v>291</v>
      </c>
    </row>
    <row r="161" spans="1:36" x14ac:dyDescent="0.45">
      <c r="A161" s="53">
        <v>121</v>
      </c>
      <c r="B161" s="43">
        <v>911</v>
      </c>
      <c r="C161" s="54" t="s">
        <v>279</v>
      </c>
      <c r="D161" s="54" t="s">
        <v>100</v>
      </c>
      <c r="E161" s="55"/>
      <c r="F161" s="54" t="s">
        <v>903</v>
      </c>
      <c r="G161" s="54" t="s">
        <v>281</v>
      </c>
      <c r="H161" s="54" t="s">
        <v>904</v>
      </c>
      <c r="I161" s="54" t="s">
        <v>905</v>
      </c>
      <c r="J161" s="54" t="s">
        <v>906</v>
      </c>
      <c r="K161" s="54" t="s">
        <v>285</v>
      </c>
      <c r="L161" s="54" t="s">
        <v>904</v>
      </c>
      <c r="M161" s="54" t="s">
        <v>907</v>
      </c>
      <c r="N161" s="54" t="s">
        <v>908</v>
      </c>
      <c r="O161" s="54" t="s">
        <v>286</v>
      </c>
      <c r="P161" s="54" t="s">
        <v>904</v>
      </c>
      <c r="Q161" s="54" t="s">
        <v>909</v>
      </c>
      <c r="R161" s="56">
        <v>0.35</v>
      </c>
      <c r="S161" s="54">
        <v>1</v>
      </c>
      <c r="T161" s="54" t="s">
        <v>149</v>
      </c>
      <c r="U161" s="54" t="s">
        <v>185</v>
      </c>
      <c r="V161" s="54" t="s">
        <v>754</v>
      </c>
      <c r="W161" s="54" t="s">
        <v>836</v>
      </c>
      <c r="X161" s="54" t="s">
        <v>836</v>
      </c>
      <c r="Y161" s="54"/>
      <c r="Z161" s="54"/>
      <c r="AA161" s="54"/>
      <c r="AB161" s="54" t="s">
        <v>290</v>
      </c>
      <c r="AC161" s="54" t="s">
        <v>290</v>
      </c>
      <c r="AD161" s="54" t="s">
        <v>290</v>
      </c>
      <c r="AE161" s="54" t="s">
        <v>290</v>
      </c>
      <c r="AF161" s="54" t="s">
        <v>291</v>
      </c>
      <c r="AG161" s="54" t="s">
        <v>291</v>
      </c>
      <c r="AH161" s="54" t="s">
        <v>290</v>
      </c>
      <c r="AI161" s="54">
        <v>0</v>
      </c>
      <c r="AJ161" s="57" t="s">
        <v>291</v>
      </c>
    </row>
    <row r="162" spans="1:36" x14ac:dyDescent="0.45">
      <c r="A162" s="53">
        <v>121</v>
      </c>
      <c r="B162" s="43">
        <v>912</v>
      </c>
      <c r="C162" s="54" t="s">
        <v>279</v>
      </c>
      <c r="D162" s="54" t="s">
        <v>100</v>
      </c>
      <c r="E162" s="55"/>
      <c r="F162" s="54" t="s">
        <v>903</v>
      </c>
      <c r="G162" s="54" t="s">
        <v>281</v>
      </c>
      <c r="H162" s="54" t="s">
        <v>791</v>
      </c>
      <c r="I162" s="54" t="s">
        <v>910</v>
      </c>
      <c r="J162" s="54" t="s">
        <v>906</v>
      </c>
      <c r="K162" s="54" t="s">
        <v>285</v>
      </c>
      <c r="L162" s="54" t="s">
        <v>791</v>
      </c>
      <c r="M162" s="54" t="s">
        <v>911</v>
      </c>
      <c r="N162" s="54" t="s">
        <v>908</v>
      </c>
      <c r="O162" s="54" t="s">
        <v>286</v>
      </c>
      <c r="P162" s="54" t="s">
        <v>791</v>
      </c>
      <c r="Q162" s="54" t="s">
        <v>912</v>
      </c>
      <c r="R162" s="56">
        <v>0.5</v>
      </c>
      <c r="S162" s="54">
        <v>1</v>
      </c>
      <c r="T162" s="54" t="s">
        <v>149</v>
      </c>
      <c r="U162" s="54" t="s">
        <v>185</v>
      </c>
      <c r="V162" s="54" t="s">
        <v>754</v>
      </c>
      <c r="W162" s="54" t="s">
        <v>836</v>
      </c>
      <c r="X162" s="54" t="s">
        <v>836</v>
      </c>
      <c r="Y162" s="54"/>
      <c r="Z162" s="54"/>
      <c r="AA162" s="54"/>
      <c r="AB162" s="54" t="s">
        <v>290</v>
      </c>
      <c r="AC162" s="54" t="s">
        <v>290</v>
      </c>
      <c r="AD162" s="54" t="s">
        <v>290</v>
      </c>
      <c r="AE162" s="54" t="s">
        <v>290</v>
      </c>
      <c r="AF162" s="54" t="s">
        <v>291</v>
      </c>
      <c r="AG162" s="54" t="s">
        <v>291</v>
      </c>
      <c r="AH162" s="54" t="s">
        <v>290</v>
      </c>
      <c r="AI162" s="54">
        <v>0</v>
      </c>
      <c r="AJ162" s="57" t="s">
        <v>291</v>
      </c>
    </row>
    <row r="163" spans="1:36" x14ac:dyDescent="0.45">
      <c r="A163" s="53">
        <v>121</v>
      </c>
      <c r="B163" s="43">
        <v>913</v>
      </c>
      <c r="C163" s="54" t="s">
        <v>279</v>
      </c>
      <c r="D163" s="54" t="s">
        <v>100</v>
      </c>
      <c r="E163" s="55"/>
      <c r="F163" s="54" t="s">
        <v>903</v>
      </c>
      <c r="G163" s="54" t="s">
        <v>281</v>
      </c>
      <c r="H163" s="54" t="s">
        <v>795</v>
      </c>
      <c r="I163" s="54" t="s">
        <v>913</v>
      </c>
      <c r="J163" s="54" t="s">
        <v>906</v>
      </c>
      <c r="K163" s="54" t="s">
        <v>285</v>
      </c>
      <c r="L163" s="54" t="s">
        <v>795</v>
      </c>
      <c r="M163" s="54" t="s">
        <v>914</v>
      </c>
      <c r="N163" s="54" t="s">
        <v>908</v>
      </c>
      <c r="O163" s="54" t="s">
        <v>286</v>
      </c>
      <c r="P163" s="54" t="s">
        <v>795</v>
      </c>
      <c r="Q163" s="54" t="s">
        <v>915</v>
      </c>
      <c r="R163" s="56">
        <v>0.75</v>
      </c>
      <c r="S163" s="54">
        <v>1</v>
      </c>
      <c r="T163" s="54" t="s">
        <v>149</v>
      </c>
      <c r="U163" s="54" t="s">
        <v>185</v>
      </c>
      <c r="V163" s="54" t="s">
        <v>754</v>
      </c>
      <c r="W163" s="54" t="s">
        <v>836</v>
      </c>
      <c r="X163" s="54" t="s">
        <v>836</v>
      </c>
      <c r="Y163" s="54"/>
      <c r="Z163" s="54"/>
      <c r="AA163" s="54"/>
      <c r="AB163" s="54" t="s">
        <v>290</v>
      </c>
      <c r="AC163" s="54" t="s">
        <v>290</v>
      </c>
      <c r="AD163" s="54" t="s">
        <v>290</v>
      </c>
      <c r="AE163" s="54" t="s">
        <v>290</v>
      </c>
      <c r="AF163" s="54" t="s">
        <v>291</v>
      </c>
      <c r="AG163" s="54" t="s">
        <v>291</v>
      </c>
      <c r="AH163" s="54" t="s">
        <v>290</v>
      </c>
      <c r="AI163" s="54">
        <v>0</v>
      </c>
      <c r="AJ163" s="57" t="s">
        <v>291</v>
      </c>
    </row>
    <row r="164" spans="1:36" x14ac:dyDescent="0.45">
      <c r="A164" s="53">
        <v>121</v>
      </c>
      <c r="B164" s="43">
        <v>914</v>
      </c>
      <c r="C164" s="54" t="s">
        <v>279</v>
      </c>
      <c r="D164" s="54" t="s">
        <v>100</v>
      </c>
      <c r="E164" s="55"/>
      <c r="F164" s="54" t="s">
        <v>903</v>
      </c>
      <c r="G164" s="54" t="s">
        <v>281</v>
      </c>
      <c r="H164" s="54" t="s">
        <v>466</v>
      </c>
      <c r="I164" s="54" t="s">
        <v>916</v>
      </c>
      <c r="J164" s="54" t="s">
        <v>906</v>
      </c>
      <c r="K164" s="54" t="s">
        <v>285</v>
      </c>
      <c r="L164" s="54" t="s">
        <v>466</v>
      </c>
      <c r="M164" s="54" t="s">
        <v>917</v>
      </c>
      <c r="N164" s="54" t="s">
        <v>908</v>
      </c>
      <c r="O164" s="54" t="s">
        <v>286</v>
      </c>
      <c r="P164" s="54" t="s">
        <v>466</v>
      </c>
      <c r="Q164" s="54" t="s">
        <v>918</v>
      </c>
      <c r="R164" s="56">
        <v>1</v>
      </c>
      <c r="S164" s="54">
        <v>1</v>
      </c>
      <c r="T164" s="54" t="s">
        <v>149</v>
      </c>
      <c r="U164" s="54" t="s">
        <v>185</v>
      </c>
      <c r="V164" s="54" t="s">
        <v>754</v>
      </c>
      <c r="W164" s="54" t="s">
        <v>836</v>
      </c>
      <c r="X164" s="54" t="s">
        <v>836</v>
      </c>
      <c r="Y164" s="54"/>
      <c r="Z164" s="54"/>
      <c r="AA164" s="54"/>
      <c r="AB164" s="54" t="s">
        <v>290</v>
      </c>
      <c r="AC164" s="54" t="s">
        <v>290</v>
      </c>
      <c r="AD164" s="54" t="s">
        <v>290</v>
      </c>
      <c r="AE164" s="54" t="s">
        <v>290</v>
      </c>
      <c r="AF164" s="54" t="s">
        <v>291</v>
      </c>
      <c r="AG164" s="54" t="s">
        <v>291</v>
      </c>
      <c r="AH164" s="54" t="s">
        <v>290</v>
      </c>
      <c r="AI164" s="54">
        <v>0</v>
      </c>
      <c r="AJ164" s="57" t="s">
        <v>291</v>
      </c>
    </row>
    <row r="165" spans="1:36" x14ac:dyDescent="0.45">
      <c r="A165" s="53">
        <v>123</v>
      </c>
      <c r="B165" s="43">
        <v>915</v>
      </c>
      <c r="C165" s="54" t="s">
        <v>279</v>
      </c>
      <c r="D165" s="54" t="s">
        <v>100</v>
      </c>
      <c r="E165" s="55"/>
      <c r="F165" s="54" t="s">
        <v>919</v>
      </c>
      <c r="G165" s="54" t="s">
        <v>281</v>
      </c>
      <c r="H165" s="54" t="s">
        <v>303</v>
      </c>
      <c r="I165" s="54" t="s">
        <v>919</v>
      </c>
      <c r="J165" s="54" t="s">
        <v>920</v>
      </c>
      <c r="K165" s="54" t="s">
        <v>285</v>
      </c>
      <c r="L165" s="54" t="s">
        <v>305</v>
      </c>
      <c r="M165" s="54" t="s">
        <v>920</v>
      </c>
      <c r="N165" s="54" t="s">
        <v>921</v>
      </c>
      <c r="O165" s="54" t="s">
        <v>286</v>
      </c>
      <c r="P165" s="54" t="s">
        <v>306</v>
      </c>
      <c r="Q165" s="54" t="s">
        <v>921</v>
      </c>
      <c r="R165" s="56">
        <v>1</v>
      </c>
      <c r="S165" s="54">
        <v>1</v>
      </c>
      <c r="T165" s="54" t="s">
        <v>153</v>
      </c>
      <c r="U165" s="54" t="s">
        <v>185</v>
      </c>
      <c r="V165" s="54" t="s">
        <v>754</v>
      </c>
      <c r="W165" s="54" t="s">
        <v>802</v>
      </c>
      <c r="X165" s="54" t="s">
        <v>922</v>
      </c>
      <c r="Y165" s="54"/>
      <c r="Z165" s="54"/>
      <c r="AA165" s="54"/>
      <c r="AB165" s="54" t="s">
        <v>290</v>
      </c>
      <c r="AC165" s="54" t="s">
        <v>290</v>
      </c>
      <c r="AD165" s="54" t="s">
        <v>290</v>
      </c>
      <c r="AE165" s="54" t="s">
        <v>290</v>
      </c>
      <c r="AF165" s="54" t="s">
        <v>291</v>
      </c>
      <c r="AG165" s="54" t="s">
        <v>291</v>
      </c>
      <c r="AH165" s="54" t="s">
        <v>290</v>
      </c>
      <c r="AI165" s="54">
        <v>0</v>
      </c>
      <c r="AJ165" s="57" t="s">
        <v>291</v>
      </c>
    </row>
    <row r="166" spans="1:36" x14ac:dyDescent="0.45">
      <c r="A166" s="53">
        <v>129</v>
      </c>
      <c r="B166" s="43">
        <v>950</v>
      </c>
      <c r="C166" s="54" t="s">
        <v>279</v>
      </c>
      <c r="D166" s="54" t="s">
        <v>100</v>
      </c>
      <c r="E166" s="55"/>
      <c r="F166" s="54" t="s">
        <v>923</v>
      </c>
      <c r="G166" s="54"/>
      <c r="H166" s="54" t="s">
        <v>924</v>
      </c>
      <c r="I166" s="54" t="s">
        <v>925</v>
      </c>
      <c r="J166" s="54" t="s">
        <v>926</v>
      </c>
      <c r="K166" s="54"/>
      <c r="L166" s="54" t="s">
        <v>924</v>
      </c>
      <c r="M166" s="54" t="s">
        <v>927</v>
      </c>
      <c r="N166" s="54" t="s">
        <v>928</v>
      </c>
      <c r="O166" s="54"/>
      <c r="P166" s="54" t="s">
        <v>924</v>
      </c>
      <c r="Q166" s="54" t="s">
        <v>929</v>
      </c>
      <c r="R166" s="56">
        <v>10.5</v>
      </c>
      <c r="S166" s="54">
        <v>1</v>
      </c>
      <c r="T166" s="54" t="s">
        <v>147</v>
      </c>
      <c r="U166" s="54" t="s">
        <v>185</v>
      </c>
      <c r="V166" s="54" t="s">
        <v>930</v>
      </c>
      <c r="W166" s="54" t="s">
        <v>931</v>
      </c>
      <c r="X166" s="54" t="s">
        <v>931</v>
      </c>
      <c r="Y166" s="54"/>
      <c r="Z166" s="54"/>
      <c r="AA166" s="54"/>
      <c r="AB166" s="54" t="s">
        <v>290</v>
      </c>
      <c r="AC166" s="54" t="s">
        <v>290</v>
      </c>
      <c r="AD166" s="54" t="s">
        <v>290</v>
      </c>
      <c r="AE166" s="54" t="s">
        <v>290</v>
      </c>
      <c r="AF166" s="54" t="s">
        <v>291</v>
      </c>
      <c r="AG166" s="54" t="s">
        <v>290</v>
      </c>
      <c r="AH166" s="54" t="s">
        <v>290</v>
      </c>
      <c r="AI166" s="54">
        <v>0.05</v>
      </c>
      <c r="AJ166" s="57" t="s">
        <v>291</v>
      </c>
    </row>
    <row r="167" spans="1:36" x14ac:dyDescent="0.45">
      <c r="A167" s="53">
        <v>130</v>
      </c>
      <c r="B167" s="43">
        <v>951</v>
      </c>
      <c r="C167" s="54" t="s">
        <v>279</v>
      </c>
      <c r="D167" s="54" t="s">
        <v>100</v>
      </c>
      <c r="E167" s="55"/>
      <c r="F167" s="54" t="s">
        <v>923</v>
      </c>
      <c r="G167" s="54"/>
      <c r="H167" s="54" t="s">
        <v>932</v>
      </c>
      <c r="I167" s="54" t="s">
        <v>933</v>
      </c>
      <c r="J167" s="54" t="s">
        <v>926</v>
      </c>
      <c r="K167" s="54"/>
      <c r="L167" s="54" t="s">
        <v>932</v>
      </c>
      <c r="M167" s="54" t="s">
        <v>934</v>
      </c>
      <c r="N167" s="54" t="s">
        <v>928</v>
      </c>
      <c r="O167" s="54"/>
      <c r="P167" s="54" t="s">
        <v>932</v>
      </c>
      <c r="Q167" s="54" t="s">
        <v>935</v>
      </c>
      <c r="R167" s="56">
        <v>5</v>
      </c>
      <c r="S167" s="54">
        <v>1</v>
      </c>
      <c r="T167" s="54" t="s">
        <v>147</v>
      </c>
      <c r="U167" s="54" t="s">
        <v>185</v>
      </c>
      <c r="V167" s="54" t="s">
        <v>930</v>
      </c>
      <c r="W167" s="54" t="s">
        <v>931</v>
      </c>
      <c r="X167" s="54" t="s">
        <v>931</v>
      </c>
      <c r="Y167" s="54"/>
      <c r="Z167" s="54"/>
      <c r="AA167" s="54"/>
      <c r="AB167" s="54" t="s">
        <v>290</v>
      </c>
      <c r="AC167" s="54" t="s">
        <v>290</v>
      </c>
      <c r="AD167" s="54" t="s">
        <v>290</v>
      </c>
      <c r="AE167" s="54" t="s">
        <v>290</v>
      </c>
      <c r="AF167" s="54" t="s">
        <v>291</v>
      </c>
      <c r="AG167" s="54" t="s">
        <v>290</v>
      </c>
      <c r="AH167" s="54" t="s">
        <v>290</v>
      </c>
      <c r="AI167" s="54">
        <v>0.05</v>
      </c>
      <c r="AJ167" s="57" t="s">
        <v>291</v>
      </c>
    </row>
    <row r="168" spans="1:36" x14ac:dyDescent="0.45">
      <c r="A168" s="53">
        <v>131</v>
      </c>
      <c r="B168" s="43">
        <v>952</v>
      </c>
      <c r="C168" s="54" t="s">
        <v>279</v>
      </c>
      <c r="D168" s="54" t="s">
        <v>100</v>
      </c>
      <c r="E168" s="55"/>
      <c r="F168" s="54" t="s">
        <v>936</v>
      </c>
      <c r="G168" s="54"/>
      <c r="H168" s="54" t="s">
        <v>937</v>
      </c>
      <c r="I168" s="54" t="s">
        <v>938</v>
      </c>
      <c r="J168" s="54" t="s">
        <v>926</v>
      </c>
      <c r="K168" s="54"/>
      <c r="L168" s="54" t="s">
        <v>937</v>
      </c>
      <c r="M168" s="54" t="s">
        <v>939</v>
      </c>
      <c r="N168" s="54" t="s">
        <v>928</v>
      </c>
      <c r="O168" s="54"/>
      <c r="P168" s="54" t="s">
        <v>937</v>
      </c>
      <c r="Q168" s="54" t="s">
        <v>940</v>
      </c>
      <c r="R168" s="56">
        <v>33</v>
      </c>
      <c r="S168" s="54">
        <v>1</v>
      </c>
      <c r="T168" s="54" t="s">
        <v>147</v>
      </c>
      <c r="U168" s="54" t="s">
        <v>185</v>
      </c>
      <c r="V168" s="54" t="s">
        <v>930</v>
      </c>
      <c r="W168" s="54" t="s">
        <v>931</v>
      </c>
      <c r="X168" s="54" t="s">
        <v>931</v>
      </c>
      <c r="Y168" s="54"/>
      <c r="Z168" s="54"/>
      <c r="AA168" s="54"/>
      <c r="AB168" s="54" t="s">
        <v>290</v>
      </c>
      <c r="AC168" s="54" t="s">
        <v>290</v>
      </c>
      <c r="AD168" s="54" t="s">
        <v>290</v>
      </c>
      <c r="AE168" s="54" t="s">
        <v>290</v>
      </c>
      <c r="AF168" s="54" t="s">
        <v>291</v>
      </c>
      <c r="AG168" s="54" t="s">
        <v>290</v>
      </c>
      <c r="AH168" s="54" t="s">
        <v>290</v>
      </c>
      <c r="AI168" s="54">
        <v>0.05</v>
      </c>
      <c r="AJ168" s="57" t="s">
        <v>291</v>
      </c>
    </row>
    <row r="169" spans="1:36" x14ac:dyDescent="0.45">
      <c r="A169" s="53">
        <v>132</v>
      </c>
      <c r="B169" s="43">
        <v>953</v>
      </c>
      <c r="C169" s="54" t="s">
        <v>279</v>
      </c>
      <c r="D169" s="54" t="s">
        <v>100</v>
      </c>
      <c r="E169" s="55"/>
      <c r="F169" s="54" t="s">
        <v>936</v>
      </c>
      <c r="G169" s="54"/>
      <c r="H169" s="54" t="s">
        <v>941</v>
      </c>
      <c r="I169" s="54" t="s">
        <v>942</v>
      </c>
      <c r="J169" s="54" t="s">
        <v>926</v>
      </c>
      <c r="K169" s="54"/>
      <c r="L169" s="54" t="s">
        <v>941</v>
      </c>
      <c r="M169" s="54" t="s">
        <v>943</v>
      </c>
      <c r="N169" s="54" t="s">
        <v>928</v>
      </c>
      <c r="O169" s="54"/>
      <c r="P169" s="54" t="s">
        <v>941</v>
      </c>
      <c r="Q169" s="54" t="s">
        <v>944</v>
      </c>
      <c r="R169" s="56">
        <v>35</v>
      </c>
      <c r="S169" s="54">
        <v>1</v>
      </c>
      <c r="T169" s="54" t="s">
        <v>147</v>
      </c>
      <c r="U169" s="54" t="s">
        <v>185</v>
      </c>
      <c r="V169" s="54" t="s">
        <v>930</v>
      </c>
      <c r="W169" s="54" t="s">
        <v>931</v>
      </c>
      <c r="X169" s="54" t="s">
        <v>931</v>
      </c>
      <c r="Y169" s="54"/>
      <c r="Z169" s="54"/>
      <c r="AA169" s="54"/>
      <c r="AB169" s="54" t="s">
        <v>290</v>
      </c>
      <c r="AC169" s="54" t="s">
        <v>290</v>
      </c>
      <c r="AD169" s="54" t="s">
        <v>290</v>
      </c>
      <c r="AE169" s="54" t="s">
        <v>290</v>
      </c>
      <c r="AF169" s="54" t="s">
        <v>291</v>
      </c>
      <c r="AG169" s="54" t="s">
        <v>290</v>
      </c>
      <c r="AH169" s="54" t="s">
        <v>290</v>
      </c>
      <c r="AI169" s="54">
        <v>0.05</v>
      </c>
      <c r="AJ169" s="57" t="s">
        <v>291</v>
      </c>
    </row>
    <row r="170" spans="1:36" x14ac:dyDescent="0.45">
      <c r="A170" s="53">
        <v>133</v>
      </c>
      <c r="B170" s="43">
        <v>954</v>
      </c>
      <c r="C170" s="54" t="s">
        <v>279</v>
      </c>
      <c r="D170" s="54" t="s">
        <v>100</v>
      </c>
      <c r="E170" s="55"/>
      <c r="F170" s="54" t="s">
        <v>936</v>
      </c>
      <c r="G170" s="54"/>
      <c r="H170" s="54" t="s">
        <v>945</v>
      </c>
      <c r="I170" s="54" t="s">
        <v>946</v>
      </c>
      <c r="J170" s="54" t="s">
        <v>926</v>
      </c>
      <c r="K170" s="54"/>
      <c r="L170" s="54" t="s">
        <v>945</v>
      </c>
      <c r="M170" s="54" t="s">
        <v>947</v>
      </c>
      <c r="N170" s="54" t="s">
        <v>928</v>
      </c>
      <c r="O170" s="54"/>
      <c r="P170" s="54" t="s">
        <v>945</v>
      </c>
      <c r="Q170" s="54" t="s">
        <v>948</v>
      </c>
      <c r="R170" s="56">
        <v>7.5</v>
      </c>
      <c r="S170" s="54">
        <v>1</v>
      </c>
      <c r="T170" s="54" t="s">
        <v>147</v>
      </c>
      <c r="U170" s="54" t="s">
        <v>185</v>
      </c>
      <c r="V170" s="54" t="s">
        <v>930</v>
      </c>
      <c r="W170" s="54" t="s">
        <v>931</v>
      </c>
      <c r="X170" s="54" t="s">
        <v>931</v>
      </c>
      <c r="Y170" s="54"/>
      <c r="Z170" s="54"/>
      <c r="AA170" s="54"/>
      <c r="AB170" s="54" t="s">
        <v>290</v>
      </c>
      <c r="AC170" s="54" t="s">
        <v>290</v>
      </c>
      <c r="AD170" s="54" t="s">
        <v>290</v>
      </c>
      <c r="AE170" s="54" t="s">
        <v>290</v>
      </c>
      <c r="AF170" s="54" t="s">
        <v>291</v>
      </c>
      <c r="AG170" s="54" t="s">
        <v>290</v>
      </c>
      <c r="AH170" s="54" t="s">
        <v>290</v>
      </c>
      <c r="AI170" s="54">
        <v>0.05</v>
      </c>
      <c r="AJ170" s="57" t="s">
        <v>291</v>
      </c>
    </row>
    <row r="171" spans="1:36" x14ac:dyDescent="0.45">
      <c r="A171" s="53">
        <v>139</v>
      </c>
      <c r="B171" s="43">
        <v>955</v>
      </c>
      <c r="C171" s="54" t="s">
        <v>279</v>
      </c>
      <c r="D171" s="54" t="s">
        <v>100</v>
      </c>
      <c r="E171" s="55"/>
      <c r="F171" s="54" t="s">
        <v>949</v>
      </c>
      <c r="G171" s="54"/>
      <c r="H171" s="54" t="s">
        <v>303</v>
      </c>
      <c r="I171" s="54" t="s">
        <v>949</v>
      </c>
      <c r="J171" s="54" t="s">
        <v>950</v>
      </c>
      <c r="K171" s="54"/>
      <c r="L171" s="54" t="s">
        <v>305</v>
      </c>
      <c r="M171" s="54" t="s">
        <v>950</v>
      </c>
      <c r="N171" s="54" t="s">
        <v>951</v>
      </c>
      <c r="O171" s="54"/>
      <c r="P171" s="54" t="s">
        <v>306</v>
      </c>
      <c r="Q171" s="54" t="s">
        <v>951</v>
      </c>
      <c r="R171" s="56">
        <v>1</v>
      </c>
      <c r="S171" s="54">
        <v>1</v>
      </c>
      <c r="T171" s="54" t="s">
        <v>153</v>
      </c>
      <c r="U171" s="54" t="s">
        <v>185</v>
      </c>
      <c r="V171" s="54" t="s">
        <v>930</v>
      </c>
      <c r="W171" s="54" t="s">
        <v>931</v>
      </c>
      <c r="X171" s="54" t="s">
        <v>931</v>
      </c>
      <c r="Y171" s="54"/>
      <c r="Z171" s="54"/>
      <c r="AA171" s="54"/>
      <c r="AB171" s="54" t="s">
        <v>290</v>
      </c>
      <c r="AC171" s="54" t="s">
        <v>290</v>
      </c>
      <c r="AD171" s="54" t="s">
        <v>290</v>
      </c>
      <c r="AE171" s="54" t="s">
        <v>290</v>
      </c>
      <c r="AF171" s="54" t="s">
        <v>291</v>
      </c>
      <c r="AG171" s="54" t="s">
        <v>290</v>
      </c>
      <c r="AH171" s="54" t="s">
        <v>290</v>
      </c>
      <c r="AI171" s="54">
        <v>0.05</v>
      </c>
      <c r="AJ171" s="57" t="s">
        <v>291</v>
      </c>
    </row>
    <row r="172" spans="1:36" x14ac:dyDescent="0.45">
      <c r="A172" s="53">
        <v>140</v>
      </c>
      <c r="B172" s="43">
        <v>956</v>
      </c>
      <c r="C172" s="54" t="s">
        <v>279</v>
      </c>
      <c r="D172" s="54" t="s">
        <v>100</v>
      </c>
      <c r="E172" s="55"/>
      <c r="F172" s="54" t="s">
        <v>952</v>
      </c>
      <c r="G172" s="54"/>
      <c r="H172" s="54" t="s">
        <v>303</v>
      </c>
      <c r="I172" s="54" t="s">
        <v>952</v>
      </c>
      <c r="J172" s="54" t="s">
        <v>953</v>
      </c>
      <c r="K172" s="54"/>
      <c r="L172" s="54" t="s">
        <v>305</v>
      </c>
      <c r="M172" s="54" t="s">
        <v>953</v>
      </c>
      <c r="N172" s="54" t="s">
        <v>954</v>
      </c>
      <c r="O172" s="54"/>
      <c r="P172" s="54" t="s">
        <v>306</v>
      </c>
      <c r="Q172" s="54" t="s">
        <v>954</v>
      </c>
      <c r="R172" s="56">
        <v>1</v>
      </c>
      <c r="S172" s="54">
        <v>1</v>
      </c>
      <c r="T172" s="54" t="s">
        <v>153</v>
      </c>
      <c r="U172" s="54" t="s">
        <v>185</v>
      </c>
      <c r="V172" s="54" t="s">
        <v>930</v>
      </c>
      <c r="W172" s="54" t="s">
        <v>931</v>
      </c>
      <c r="X172" s="54" t="s">
        <v>931</v>
      </c>
      <c r="Y172" s="54"/>
      <c r="Z172" s="54"/>
      <c r="AA172" s="54"/>
      <c r="AB172" s="54" t="s">
        <v>290</v>
      </c>
      <c r="AC172" s="54" t="s">
        <v>290</v>
      </c>
      <c r="AD172" s="54" t="s">
        <v>290</v>
      </c>
      <c r="AE172" s="54" t="s">
        <v>290</v>
      </c>
      <c r="AF172" s="54" t="s">
        <v>291</v>
      </c>
      <c r="AG172" s="54" t="s">
        <v>290</v>
      </c>
      <c r="AH172" s="54" t="s">
        <v>290</v>
      </c>
      <c r="AI172" s="54">
        <v>0.05</v>
      </c>
      <c r="AJ172" s="57" t="s">
        <v>291</v>
      </c>
    </row>
    <row r="173" spans="1:36" x14ac:dyDescent="0.45">
      <c r="A173" s="53">
        <v>141</v>
      </c>
      <c r="B173" s="43">
        <v>957</v>
      </c>
      <c r="C173" s="54" t="s">
        <v>279</v>
      </c>
      <c r="D173" s="54" t="s">
        <v>100</v>
      </c>
      <c r="E173" s="55"/>
      <c r="F173" s="54" t="s">
        <v>955</v>
      </c>
      <c r="G173" s="54"/>
      <c r="H173" s="54" t="s">
        <v>303</v>
      </c>
      <c r="I173" s="54" t="s">
        <v>955</v>
      </c>
      <c r="J173" s="54" t="s">
        <v>956</v>
      </c>
      <c r="K173" s="54"/>
      <c r="L173" s="54" t="s">
        <v>305</v>
      </c>
      <c r="M173" s="54" t="s">
        <v>956</v>
      </c>
      <c r="N173" s="54" t="s">
        <v>957</v>
      </c>
      <c r="O173" s="54"/>
      <c r="P173" s="54" t="s">
        <v>306</v>
      </c>
      <c r="Q173" s="54" t="s">
        <v>957</v>
      </c>
      <c r="R173" s="56">
        <v>1</v>
      </c>
      <c r="S173" s="54">
        <v>1</v>
      </c>
      <c r="T173" s="54" t="s">
        <v>153</v>
      </c>
      <c r="U173" s="54" t="s">
        <v>185</v>
      </c>
      <c r="V173" s="54" t="s">
        <v>930</v>
      </c>
      <c r="W173" s="54" t="s">
        <v>931</v>
      </c>
      <c r="X173" s="54" t="s">
        <v>931</v>
      </c>
      <c r="Y173" s="54"/>
      <c r="Z173" s="54"/>
      <c r="AA173" s="54"/>
      <c r="AB173" s="54" t="s">
        <v>290</v>
      </c>
      <c r="AC173" s="54" t="s">
        <v>290</v>
      </c>
      <c r="AD173" s="54" t="s">
        <v>290</v>
      </c>
      <c r="AE173" s="54" t="s">
        <v>290</v>
      </c>
      <c r="AF173" s="54" t="s">
        <v>291</v>
      </c>
      <c r="AG173" s="54" t="s">
        <v>290</v>
      </c>
      <c r="AH173" s="54" t="s">
        <v>290</v>
      </c>
      <c r="AI173" s="54">
        <v>0.05</v>
      </c>
      <c r="AJ173" s="57" t="s">
        <v>291</v>
      </c>
    </row>
    <row r="174" spans="1:36" x14ac:dyDescent="0.45">
      <c r="A174" s="53">
        <v>142</v>
      </c>
      <c r="B174" s="43">
        <v>958</v>
      </c>
      <c r="C174" s="54" t="s">
        <v>279</v>
      </c>
      <c r="D174" s="54" t="s">
        <v>100</v>
      </c>
      <c r="E174" s="55"/>
      <c r="F174" s="54" t="s">
        <v>958</v>
      </c>
      <c r="G174" s="54"/>
      <c r="H174" s="54" t="s">
        <v>303</v>
      </c>
      <c r="I174" s="54" t="s">
        <v>958</v>
      </c>
      <c r="J174" s="54" t="s">
        <v>958</v>
      </c>
      <c r="K174" s="54"/>
      <c r="L174" s="54" t="s">
        <v>305</v>
      </c>
      <c r="M174" s="54" t="s">
        <v>958</v>
      </c>
      <c r="N174" s="54" t="s">
        <v>959</v>
      </c>
      <c r="O174" s="54"/>
      <c r="P174" s="54" t="s">
        <v>306</v>
      </c>
      <c r="Q174" s="54" t="s">
        <v>959</v>
      </c>
      <c r="R174" s="56">
        <v>1</v>
      </c>
      <c r="S174" s="54">
        <v>1</v>
      </c>
      <c r="T174" s="54" t="s">
        <v>153</v>
      </c>
      <c r="U174" s="54" t="s">
        <v>185</v>
      </c>
      <c r="V174" s="54" t="s">
        <v>930</v>
      </c>
      <c r="W174" s="54" t="s">
        <v>931</v>
      </c>
      <c r="X174" s="54" t="s">
        <v>931</v>
      </c>
      <c r="Y174" s="54"/>
      <c r="Z174" s="54"/>
      <c r="AA174" s="54"/>
      <c r="AB174" s="54" t="s">
        <v>290</v>
      </c>
      <c r="AC174" s="54" t="s">
        <v>290</v>
      </c>
      <c r="AD174" s="54" t="s">
        <v>290</v>
      </c>
      <c r="AE174" s="54" t="s">
        <v>290</v>
      </c>
      <c r="AF174" s="54" t="s">
        <v>291</v>
      </c>
      <c r="AG174" s="54" t="s">
        <v>290</v>
      </c>
      <c r="AH174" s="54" t="s">
        <v>290</v>
      </c>
      <c r="AI174" s="54">
        <v>0.05</v>
      </c>
      <c r="AJ174" s="57" t="s">
        <v>291</v>
      </c>
    </row>
    <row r="175" spans="1:36" x14ac:dyDescent="0.45">
      <c r="A175" s="53">
        <v>144</v>
      </c>
      <c r="B175" s="43">
        <v>959</v>
      </c>
      <c r="C175" s="54" t="s">
        <v>279</v>
      </c>
      <c r="D175" s="54" t="s">
        <v>100</v>
      </c>
      <c r="E175" s="55"/>
      <c r="F175" s="54" t="s">
        <v>960</v>
      </c>
      <c r="G175" s="54"/>
      <c r="H175" s="54" t="s">
        <v>303</v>
      </c>
      <c r="I175" s="54" t="s">
        <v>960</v>
      </c>
      <c r="J175" s="54" t="s">
        <v>961</v>
      </c>
      <c r="K175" s="54"/>
      <c r="L175" s="54" t="s">
        <v>305</v>
      </c>
      <c r="M175" s="54" t="s">
        <v>961</v>
      </c>
      <c r="N175" s="54" t="s">
        <v>962</v>
      </c>
      <c r="O175" s="54"/>
      <c r="P175" s="54" t="s">
        <v>306</v>
      </c>
      <c r="Q175" s="54" t="s">
        <v>962</v>
      </c>
      <c r="R175" s="56">
        <v>1</v>
      </c>
      <c r="S175" s="54">
        <v>1</v>
      </c>
      <c r="T175" s="54" t="s">
        <v>153</v>
      </c>
      <c r="U175" s="54" t="s">
        <v>185</v>
      </c>
      <c r="V175" s="54" t="s">
        <v>930</v>
      </c>
      <c r="W175" s="54" t="s">
        <v>931</v>
      </c>
      <c r="X175" s="54" t="s">
        <v>931</v>
      </c>
      <c r="Y175" s="54"/>
      <c r="Z175" s="54"/>
      <c r="AA175" s="54"/>
      <c r="AB175" s="54" t="s">
        <v>290</v>
      </c>
      <c r="AC175" s="54" t="s">
        <v>290</v>
      </c>
      <c r="AD175" s="54" t="s">
        <v>290</v>
      </c>
      <c r="AE175" s="54" t="s">
        <v>290</v>
      </c>
      <c r="AF175" s="54" t="s">
        <v>291</v>
      </c>
      <c r="AG175" s="54" t="s">
        <v>290</v>
      </c>
      <c r="AH175" s="54" t="s">
        <v>290</v>
      </c>
      <c r="AI175" s="54">
        <v>0</v>
      </c>
      <c r="AJ175" s="57" t="s">
        <v>291</v>
      </c>
    </row>
    <row r="176" spans="1:36" x14ac:dyDescent="0.45">
      <c r="A176" s="53">
        <v>124</v>
      </c>
      <c r="B176" s="43">
        <v>960</v>
      </c>
      <c r="C176" s="54" t="s">
        <v>279</v>
      </c>
      <c r="D176" s="54" t="s">
        <v>100</v>
      </c>
      <c r="E176" s="55"/>
      <c r="F176" s="54" t="s">
        <v>963</v>
      </c>
      <c r="G176" s="54"/>
      <c r="H176" s="54" t="s">
        <v>303</v>
      </c>
      <c r="I176" s="54" t="s">
        <v>963</v>
      </c>
      <c r="J176" s="54" t="s">
        <v>964</v>
      </c>
      <c r="K176" s="54"/>
      <c r="L176" s="54" t="s">
        <v>305</v>
      </c>
      <c r="M176" s="54" t="s">
        <v>964</v>
      </c>
      <c r="N176" s="54" t="s">
        <v>965</v>
      </c>
      <c r="O176" s="54"/>
      <c r="P176" s="54" t="s">
        <v>306</v>
      </c>
      <c r="Q176" s="54" t="s">
        <v>965</v>
      </c>
      <c r="R176" s="56">
        <v>1</v>
      </c>
      <c r="S176" s="54">
        <v>1</v>
      </c>
      <c r="T176" s="54" t="s">
        <v>153</v>
      </c>
      <c r="U176" s="54" t="s">
        <v>185</v>
      </c>
      <c r="V176" s="54" t="s">
        <v>930</v>
      </c>
      <c r="W176" s="54" t="s">
        <v>931</v>
      </c>
      <c r="X176" s="54" t="s">
        <v>966</v>
      </c>
      <c r="Y176" s="54"/>
      <c r="Z176" s="54"/>
      <c r="AA176" s="54"/>
      <c r="AB176" s="54" t="s">
        <v>290</v>
      </c>
      <c r="AC176" s="54" t="s">
        <v>290</v>
      </c>
      <c r="AD176" s="54" t="s">
        <v>290</v>
      </c>
      <c r="AE176" s="54" t="s">
        <v>290</v>
      </c>
      <c r="AF176" s="54" t="s">
        <v>291</v>
      </c>
      <c r="AG176" s="54" t="s">
        <v>291</v>
      </c>
      <c r="AH176" s="54" t="s">
        <v>290</v>
      </c>
      <c r="AI176" s="54">
        <v>0.05</v>
      </c>
      <c r="AJ176" s="57" t="s">
        <v>291</v>
      </c>
    </row>
    <row r="177" spans="1:36" x14ac:dyDescent="0.45">
      <c r="A177" s="53">
        <v>125</v>
      </c>
      <c r="B177" s="43">
        <v>961</v>
      </c>
      <c r="C177" s="54" t="s">
        <v>279</v>
      </c>
      <c r="D177" s="54" t="s">
        <v>100</v>
      </c>
      <c r="E177" s="55"/>
      <c r="F177" s="54" t="s">
        <v>967</v>
      </c>
      <c r="G177" s="54"/>
      <c r="H177" s="54" t="s">
        <v>303</v>
      </c>
      <c r="I177" s="54" t="s">
        <v>968</v>
      </c>
      <c r="J177" s="54" t="s">
        <v>969</v>
      </c>
      <c r="K177" s="54"/>
      <c r="L177" s="54" t="s">
        <v>305</v>
      </c>
      <c r="M177" s="54" t="s">
        <v>970</v>
      </c>
      <c r="N177" s="54" t="s">
        <v>971</v>
      </c>
      <c r="O177" s="54"/>
      <c r="P177" s="54" t="s">
        <v>306</v>
      </c>
      <c r="Q177" s="54" t="s">
        <v>972</v>
      </c>
      <c r="R177" s="56">
        <v>1</v>
      </c>
      <c r="S177" s="54">
        <v>1</v>
      </c>
      <c r="T177" s="54" t="s">
        <v>153</v>
      </c>
      <c r="U177" s="54" t="s">
        <v>185</v>
      </c>
      <c r="V177" s="54" t="s">
        <v>930</v>
      </c>
      <c r="W177" s="54" t="s">
        <v>931</v>
      </c>
      <c r="X177" s="54" t="s">
        <v>966</v>
      </c>
      <c r="Y177" s="54"/>
      <c r="Z177" s="54"/>
      <c r="AA177" s="54"/>
      <c r="AB177" s="54" t="s">
        <v>290</v>
      </c>
      <c r="AC177" s="54" t="s">
        <v>290</v>
      </c>
      <c r="AD177" s="54" t="s">
        <v>290</v>
      </c>
      <c r="AE177" s="54" t="s">
        <v>290</v>
      </c>
      <c r="AF177" s="54" t="s">
        <v>291</v>
      </c>
      <c r="AG177" s="54" t="s">
        <v>291</v>
      </c>
      <c r="AH177" s="54" t="s">
        <v>290</v>
      </c>
      <c r="AI177" s="54">
        <v>0.05</v>
      </c>
      <c r="AJ177" s="57" t="s">
        <v>291</v>
      </c>
    </row>
    <row r="178" spans="1:36" x14ac:dyDescent="0.45">
      <c r="A178" s="53">
        <v>126</v>
      </c>
      <c r="B178" s="43">
        <v>962</v>
      </c>
      <c r="C178" s="54" t="s">
        <v>279</v>
      </c>
      <c r="D178" s="54" t="s">
        <v>100</v>
      </c>
      <c r="E178" s="55"/>
      <c r="F178" s="54" t="s">
        <v>967</v>
      </c>
      <c r="G178" s="54"/>
      <c r="H178" s="54" t="s">
        <v>973</v>
      </c>
      <c r="I178" s="54" t="s">
        <v>974</v>
      </c>
      <c r="J178" s="54" t="s">
        <v>969</v>
      </c>
      <c r="K178" s="54"/>
      <c r="L178" s="54" t="s">
        <v>975</v>
      </c>
      <c r="M178" s="54" t="s">
        <v>976</v>
      </c>
      <c r="N178" s="54" t="s">
        <v>971</v>
      </c>
      <c r="O178" s="54"/>
      <c r="P178" s="54" t="s">
        <v>975</v>
      </c>
      <c r="Q178" s="54" t="s">
        <v>977</v>
      </c>
      <c r="R178" s="56">
        <v>1</v>
      </c>
      <c r="S178" s="54">
        <v>1</v>
      </c>
      <c r="T178" s="54" t="s">
        <v>153</v>
      </c>
      <c r="U178" s="54" t="s">
        <v>185</v>
      </c>
      <c r="V178" s="54" t="s">
        <v>930</v>
      </c>
      <c r="W178" s="54" t="s">
        <v>931</v>
      </c>
      <c r="X178" s="54" t="s">
        <v>966</v>
      </c>
      <c r="Y178" s="54"/>
      <c r="Z178" s="54"/>
      <c r="AA178" s="54"/>
      <c r="AB178" s="54" t="s">
        <v>290</v>
      </c>
      <c r="AC178" s="54" t="s">
        <v>290</v>
      </c>
      <c r="AD178" s="54" t="s">
        <v>290</v>
      </c>
      <c r="AE178" s="54" t="s">
        <v>290</v>
      </c>
      <c r="AF178" s="54" t="s">
        <v>291</v>
      </c>
      <c r="AG178" s="54" t="s">
        <v>291</v>
      </c>
      <c r="AH178" s="54" t="s">
        <v>290</v>
      </c>
      <c r="AI178" s="54">
        <v>0.05</v>
      </c>
      <c r="AJ178" s="57" t="s">
        <v>291</v>
      </c>
    </row>
    <row r="179" spans="1:36" x14ac:dyDescent="0.45">
      <c r="A179" s="53">
        <v>127</v>
      </c>
      <c r="B179" s="43">
        <v>963</v>
      </c>
      <c r="C179" s="54" t="s">
        <v>279</v>
      </c>
      <c r="D179" s="54" t="s">
        <v>100</v>
      </c>
      <c r="E179" s="55"/>
      <c r="F179" s="54" t="s">
        <v>967</v>
      </c>
      <c r="G179" s="54"/>
      <c r="H179" s="54" t="s">
        <v>978</v>
      </c>
      <c r="I179" s="54" t="s">
        <v>979</v>
      </c>
      <c r="J179" s="54" t="s">
        <v>969</v>
      </c>
      <c r="K179" s="54"/>
      <c r="L179" s="54" t="s">
        <v>980</v>
      </c>
      <c r="M179" s="54" t="s">
        <v>981</v>
      </c>
      <c r="N179" s="54" t="s">
        <v>971</v>
      </c>
      <c r="O179" s="54"/>
      <c r="P179" s="54" t="s">
        <v>980</v>
      </c>
      <c r="Q179" s="54" t="s">
        <v>982</v>
      </c>
      <c r="R179" s="56">
        <v>1</v>
      </c>
      <c r="S179" s="54">
        <v>1</v>
      </c>
      <c r="T179" s="54" t="s">
        <v>153</v>
      </c>
      <c r="U179" s="54" t="s">
        <v>185</v>
      </c>
      <c r="V179" s="54" t="s">
        <v>930</v>
      </c>
      <c r="W179" s="54" t="s">
        <v>931</v>
      </c>
      <c r="X179" s="54" t="s">
        <v>966</v>
      </c>
      <c r="Y179" s="54"/>
      <c r="Z179" s="54"/>
      <c r="AA179" s="54"/>
      <c r="AB179" s="54" t="s">
        <v>290</v>
      </c>
      <c r="AC179" s="54" t="s">
        <v>290</v>
      </c>
      <c r="AD179" s="54" t="s">
        <v>290</v>
      </c>
      <c r="AE179" s="54" t="s">
        <v>290</v>
      </c>
      <c r="AF179" s="54" t="s">
        <v>291</v>
      </c>
      <c r="AG179" s="54" t="s">
        <v>291</v>
      </c>
      <c r="AH179" s="54" t="s">
        <v>290</v>
      </c>
      <c r="AI179" s="54">
        <v>0.05</v>
      </c>
      <c r="AJ179" s="57" t="s">
        <v>291</v>
      </c>
    </row>
    <row r="180" spans="1:36" x14ac:dyDescent="0.45">
      <c r="A180" s="53">
        <v>128</v>
      </c>
      <c r="B180" s="43">
        <v>964</v>
      </c>
      <c r="C180" s="54" t="s">
        <v>279</v>
      </c>
      <c r="D180" s="54" t="s">
        <v>100</v>
      </c>
      <c r="E180" s="55"/>
      <c r="F180" s="54" t="s">
        <v>983</v>
      </c>
      <c r="G180" s="54"/>
      <c r="H180" s="54" t="s">
        <v>984</v>
      </c>
      <c r="I180" s="54" t="s">
        <v>985</v>
      </c>
      <c r="J180" s="54" t="s">
        <v>969</v>
      </c>
      <c r="K180" s="54"/>
      <c r="L180" s="54" t="s">
        <v>986</v>
      </c>
      <c r="M180" s="54" t="s">
        <v>987</v>
      </c>
      <c r="N180" s="54" t="s">
        <v>971</v>
      </c>
      <c r="O180" s="54"/>
      <c r="P180" s="54" t="s">
        <v>986</v>
      </c>
      <c r="Q180" s="54" t="s">
        <v>988</v>
      </c>
      <c r="R180" s="56">
        <v>1</v>
      </c>
      <c r="S180" s="54">
        <v>1</v>
      </c>
      <c r="T180" s="54" t="s">
        <v>153</v>
      </c>
      <c r="U180" s="54" t="s">
        <v>185</v>
      </c>
      <c r="V180" s="54" t="s">
        <v>930</v>
      </c>
      <c r="W180" s="54" t="s">
        <v>931</v>
      </c>
      <c r="X180" s="54" t="s">
        <v>966</v>
      </c>
      <c r="Y180" s="54"/>
      <c r="Z180" s="54"/>
      <c r="AA180" s="54"/>
      <c r="AB180" s="54" t="s">
        <v>290</v>
      </c>
      <c r="AC180" s="54" t="s">
        <v>290</v>
      </c>
      <c r="AD180" s="54" t="s">
        <v>290</v>
      </c>
      <c r="AE180" s="54" t="s">
        <v>290</v>
      </c>
      <c r="AF180" s="54" t="s">
        <v>291</v>
      </c>
      <c r="AG180" s="54" t="s">
        <v>291</v>
      </c>
      <c r="AH180" s="54" t="s">
        <v>290</v>
      </c>
      <c r="AI180" s="54">
        <v>0.05</v>
      </c>
      <c r="AJ180" s="57" t="s">
        <v>291</v>
      </c>
    </row>
    <row r="181" spans="1:36" x14ac:dyDescent="0.45">
      <c r="A181" s="53">
        <v>134</v>
      </c>
      <c r="B181" s="43">
        <v>965</v>
      </c>
      <c r="C181" s="54" t="s">
        <v>279</v>
      </c>
      <c r="D181" s="54" t="s">
        <v>100</v>
      </c>
      <c r="E181" s="55"/>
      <c r="F181" s="54" t="s">
        <v>989</v>
      </c>
      <c r="G181" s="54"/>
      <c r="H181" s="54" t="s">
        <v>303</v>
      </c>
      <c r="I181" s="54" t="s">
        <v>989</v>
      </c>
      <c r="J181" s="54" t="s">
        <v>990</v>
      </c>
      <c r="K181" s="54"/>
      <c r="L181" s="54" t="s">
        <v>305</v>
      </c>
      <c r="M181" s="54" t="s">
        <v>990</v>
      </c>
      <c r="N181" s="54" t="s">
        <v>991</v>
      </c>
      <c r="O181" s="54"/>
      <c r="P181" s="54" t="s">
        <v>306</v>
      </c>
      <c r="Q181" s="54" t="s">
        <v>991</v>
      </c>
      <c r="R181" s="56">
        <v>1</v>
      </c>
      <c r="S181" s="54">
        <v>1</v>
      </c>
      <c r="T181" s="54" t="s">
        <v>153</v>
      </c>
      <c r="U181" s="54" t="s">
        <v>185</v>
      </c>
      <c r="V181" s="54" t="s">
        <v>930</v>
      </c>
      <c r="W181" s="54" t="s">
        <v>931</v>
      </c>
      <c r="X181" s="54" t="s">
        <v>966</v>
      </c>
      <c r="Y181" s="54"/>
      <c r="Z181" s="54"/>
      <c r="AA181" s="54"/>
      <c r="AB181" s="54" t="s">
        <v>290</v>
      </c>
      <c r="AC181" s="54" t="s">
        <v>290</v>
      </c>
      <c r="AD181" s="54" t="s">
        <v>290</v>
      </c>
      <c r="AE181" s="54" t="s">
        <v>290</v>
      </c>
      <c r="AF181" s="54" t="s">
        <v>291</v>
      </c>
      <c r="AG181" s="54" t="s">
        <v>291</v>
      </c>
      <c r="AH181" s="54" t="s">
        <v>290</v>
      </c>
      <c r="AI181" s="54">
        <v>0.05</v>
      </c>
      <c r="AJ181" s="57" t="s">
        <v>291</v>
      </c>
    </row>
    <row r="182" spans="1:36" x14ac:dyDescent="0.45">
      <c r="A182" s="53">
        <v>135</v>
      </c>
      <c r="B182" s="43">
        <v>966</v>
      </c>
      <c r="C182" s="54" t="s">
        <v>279</v>
      </c>
      <c r="D182" s="54" t="s">
        <v>100</v>
      </c>
      <c r="E182" s="55"/>
      <c r="F182" s="54" t="s">
        <v>992</v>
      </c>
      <c r="G182" s="54"/>
      <c r="H182" s="54" t="s">
        <v>993</v>
      </c>
      <c r="I182" s="54" t="s">
        <v>994</v>
      </c>
      <c r="J182" s="54" t="s">
        <v>995</v>
      </c>
      <c r="K182" s="54"/>
      <c r="L182" s="54" t="s">
        <v>996</v>
      </c>
      <c r="M182" s="54" t="s">
        <v>997</v>
      </c>
      <c r="N182" s="54" t="s">
        <v>998</v>
      </c>
      <c r="O182" s="54"/>
      <c r="P182" s="54" t="s">
        <v>996</v>
      </c>
      <c r="Q182" s="54" t="s">
        <v>999</v>
      </c>
      <c r="R182" s="56">
        <v>1</v>
      </c>
      <c r="S182" s="54">
        <v>1</v>
      </c>
      <c r="T182" s="54" t="s">
        <v>153</v>
      </c>
      <c r="U182" s="54" t="s">
        <v>185</v>
      </c>
      <c r="V182" s="54" t="s">
        <v>930</v>
      </c>
      <c r="W182" s="54" t="s">
        <v>931</v>
      </c>
      <c r="X182" s="54" t="s">
        <v>966</v>
      </c>
      <c r="Y182" s="54"/>
      <c r="Z182" s="54"/>
      <c r="AA182" s="54"/>
      <c r="AB182" s="54" t="s">
        <v>290</v>
      </c>
      <c r="AC182" s="54" t="s">
        <v>290</v>
      </c>
      <c r="AD182" s="54" t="s">
        <v>290</v>
      </c>
      <c r="AE182" s="54" t="s">
        <v>290</v>
      </c>
      <c r="AF182" s="54" t="s">
        <v>291</v>
      </c>
      <c r="AG182" s="54" t="s">
        <v>291</v>
      </c>
      <c r="AH182" s="54" t="s">
        <v>290</v>
      </c>
      <c r="AI182" s="54">
        <v>0.05</v>
      </c>
      <c r="AJ182" s="57" t="s">
        <v>291</v>
      </c>
    </row>
    <row r="183" spans="1:36" x14ac:dyDescent="0.45">
      <c r="A183" s="53">
        <v>136</v>
      </c>
      <c r="B183" s="43">
        <v>967</v>
      </c>
      <c r="C183" s="54" t="s">
        <v>279</v>
      </c>
      <c r="D183" s="54" t="s">
        <v>100</v>
      </c>
      <c r="E183" s="55"/>
      <c r="F183" s="54" t="s">
        <v>992</v>
      </c>
      <c r="G183" s="54"/>
      <c r="H183" s="54" t="s">
        <v>1000</v>
      </c>
      <c r="I183" s="54" t="s">
        <v>1001</v>
      </c>
      <c r="J183" s="54" t="s">
        <v>995</v>
      </c>
      <c r="K183" s="54"/>
      <c r="L183" s="54" t="s">
        <v>1002</v>
      </c>
      <c r="M183" s="54" t="s">
        <v>1003</v>
      </c>
      <c r="N183" s="54" t="s">
        <v>998</v>
      </c>
      <c r="O183" s="54"/>
      <c r="P183" s="54" t="s">
        <v>1002</v>
      </c>
      <c r="Q183" s="54" t="s">
        <v>1004</v>
      </c>
      <c r="R183" s="56">
        <v>1</v>
      </c>
      <c r="S183" s="54">
        <v>1</v>
      </c>
      <c r="T183" s="54" t="s">
        <v>153</v>
      </c>
      <c r="U183" s="54" t="s">
        <v>185</v>
      </c>
      <c r="V183" s="54" t="s">
        <v>930</v>
      </c>
      <c r="W183" s="54" t="s">
        <v>931</v>
      </c>
      <c r="X183" s="54" t="s">
        <v>966</v>
      </c>
      <c r="Y183" s="54"/>
      <c r="Z183" s="54"/>
      <c r="AA183" s="54"/>
      <c r="AB183" s="54" t="s">
        <v>290</v>
      </c>
      <c r="AC183" s="54" t="s">
        <v>290</v>
      </c>
      <c r="AD183" s="54" t="s">
        <v>290</v>
      </c>
      <c r="AE183" s="54" t="s">
        <v>290</v>
      </c>
      <c r="AF183" s="54" t="s">
        <v>291</v>
      </c>
      <c r="AG183" s="54" t="s">
        <v>291</v>
      </c>
      <c r="AH183" s="54" t="s">
        <v>290</v>
      </c>
      <c r="AI183" s="54">
        <v>0.05</v>
      </c>
      <c r="AJ183" s="57" t="s">
        <v>291</v>
      </c>
    </row>
    <row r="184" spans="1:36" x14ac:dyDescent="0.45">
      <c r="A184" s="53">
        <v>137</v>
      </c>
      <c r="B184" s="43">
        <v>968</v>
      </c>
      <c r="C184" s="54" t="s">
        <v>279</v>
      </c>
      <c r="D184" s="54" t="s">
        <v>100</v>
      </c>
      <c r="E184" s="55"/>
      <c r="F184" s="54" t="s">
        <v>992</v>
      </c>
      <c r="G184" s="54"/>
      <c r="H184" s="54" t="s">
        <v>1005</v>
      </c>
      <c r="I184" s="54" t="s">
        <v>1006</v>
      </c>
      <c r="J184" s="54" t="s">
        <v>995</v>
      </c>
      <c r="K184" s="54"/>
      <c r="L184" s="54" t="s">
        <v>1007</v>
      </c>
      <c r="M184" s="54" t="s">
        <v>1008</v>
      </c>
      <c r="N184" s="54" t="s">
        <v>998</v>
      </c>
      <c r="O184" s="54"/>
      <c r="P184" s="54" t="s">
        <v>1007</v>
      </c>
      <c r="Q184" s="54" t="s">
        <v>1009</v>
      </c>
      <c r="R184" s="56">
        <v>1</v>
      </c>
      <c r="S184" s="54">
        <v>1</v>
      </c>
      <c r="T184" s="54" t="s">
        <v>153</v>
      </c>
      <c r="U184" s="54" t="s">
        <v>185</v>
      </c>
      <c r="V184" s="54" t="s">
        <v>930</v>
      </c>
      <c r="W184" s="54" t="s">
        <v>931</v>
      </c>
      <c r="X184" s="54" t="s">
        <v>966</v>
      </c>
      <c r="Y184" s="54"/>
      <c r="Z184" s="54"/>
      <c r="AA184" s="54"/>
      <c r="AB184" s="54" t="s">
        <v>290</v>
      </c>
      <c r="AC184" s="54" t="s">
        <v>290</v>
      </c>
      <c r="AD184" s="54" t="s">
        <v>290</v>
      </c>
      <c r="AE184" s="54" t="s">
        <v>290</v>
      </c>
      <c r="AF184" s="54" t="s">
        <v>291</v>
      </c>
      <c r="AG184" s="54" t="s">
        <v>291</v>
      </c>
      <c r="AH184" s="54" t="s">
        <v>290</v>
      </c>
      <c r="AI184" s="54">
        <v>0.05</v>
      </c>
      <c r="AJ184" s="57" t="s">
        <v>291</v>
      </c>
    </row>
    <row r="185" spans="1:36" x14ac:dyDescent="0.45">
      <c r="A185" s="53">
        <v>138</v>
      </c>
      <c r="B185" s="43">
        <v>969</v>
      </c>
      <c r="C185" s="54" t="s">
        <v>279</v>
      </c>
      <c r="D185" s="54" t="s">
        <v>100</v>
      </c>
      <c r="E185" s="55"/>
      <c r="F185" s="54" t="s">
        <v>992</v>
      </c>
      <c r="G185" s="54"/>
      <c r="H185" s="54" t="s">
        <v>1010</v>
      </c>
      <c r="I185" s="54" t="s">
        <v>1011</v>
      </c>
      <c r="J185" s="54" t="s">
        <v>995</v>
      </c>
      <c r="K185" s="54"/>
      <c r="L185" s="54" t="s">
        <v>1012</v>
      </c>
      <c r="M185" s="54" t="s">
        <v>1013</v>
      </c>
      <c r="N185" s="54" t="s">
        <v>998</v>
      </c>
      <c r="O185" s="54"/>
      <c r="P185" s="54" t="s">
        <v>1012</v>
      </c>
      <c r="Q185" s="54" t="s">
        <v>1014</v>
      </c>
      <c r="R185" s="56">
        <v>1</v>
      </c>
      <c r="S185" s="54">
        <v>1</v>
      </c>
      <c r="T185" s="54" t="s">
        <v>153</v>
      </c>
      <c r="U185" s="54" t="s">
        <v>185</v>
      </c>
      <c r="V185" s="54" t="s">
        <v>930</v>
      </c>
      <c r="W185" s="54" t="s">
        <v>931</v>
      </c>
      <c r="X185" s="54" t="s">
        <v>966</v>
      </c>
      <c r="Y185" s="54"/>
      <c r="Z185" s="54"/>
      <c r="AA185" s="54"/>
      <c r="AB185" s="54" t="s">
        <v>290</v>
      </c>
      <c r="AC185" s="54" t="s">
        <v>290</v>
      </c>
      <c r="AD185" s="54" t="s">
        <v>290</v>
      </c>
      <c r="AE185" s="54" t="s">
        <v>290</v>
      </c>
      <c r="AF185" s="54" t="s">
        <v>291</v>
      </c>
      <c r="AG185" s="54" t="s">
        <v>291</v>
      </c>
      <c r="AH185" s="54" t="s">
        <v>290</v>
      </c>
      <c r="AI185" s="54">
        <v>0.05</v>
      </c>
      <c r="AJ185" s="57" t="s">
        <v>291</v>
      </c>
    </row>
    <row r="186" spans="1:36" x14ac:dyDescent="0.45">
      <c r="A186" s="53">
        <v>143</v>
      </c>
      <c r="B186" s="43">
        <v>970</v>
      </c>
      <c r="C186" s="54" t="s">
        <v>279</v>
      </c>
      <c r="D186" s="54" t="s">
        <v>100</v>
      </c>
      <c r="E186" s="55"/>
      <c r="F186" s="54" t="s">
        <v>1015</v>
      </c>
      <c r="G186" s="54"/>
      <c r="H186" s="54" t="s">
        <v>303</v>
      </c>
      <c r="I186" s="54" t="s">
        <v>1015</v>
      </c>
      <c r="J186" s="54" t="s">
        <v>1016</v>
      </c>
      <c r="K186" s="54"/>
      <c r="L186" s="54" t="s">
        <v>305</v>
      </c>
      <c r="M186" s="54" t="s">
        <v>1016</v>
      </c>
      <c r="N186" s="54" t="s">
        <v>1017</v>
      </c>
      <c r="O186" s="54"/>
      <c r="P186" s="54" t="s">
        <v>306</v>
      </c>
      <c r="Q186" s="54" t="s">
        <v>1017</v>
      </c>
      <c r="R186" s="56">
        <v>1</v>
      </c>
      <c r="S186" s="54">
        <v>1</v>
      </c>
      <c r="T186" s="54" t="s">
        <v>153</v>
      </c>
      <c r="U186" s="54" t="s">
        <v>185</v>
      </c>
      <c r="V186" s="54" t="s">
        <v>930</v>
      </c>
      <c r="W186" s="54" t="s">
        <v>931</v>
      </c>
      <c r="X186" s="54" t="s">
        <v>966</v>
      </c>
      <c r="Y186" s="54"/>
      <c r="Z186" s="54"/>
      <c r="AA186" s="54"/>
      <c r="AB186" s="54" t="s">
        <v>290</v>
      </c>
      <c r="AC186" s="54" t="s">
        <v>290</v>
      </c>
      <c r="AD186" s="54" t="s">
        <v>290</v>
      </c>
      <c r="AE186" s="54" t="s">
        <v>290</v>
      </c>
      <c r="AF186" s="54" t="s">
        <v>291</v>
      </c>
      <c r="AG186" s="54" t="s">
        <v>291</v>
      </c>
      <c r="AH186" s="54" t="s">
        <v>290</v>
      </c>
      <c r="AI186" s="54">
        <v>0.05</v>
      </c>
      <c r="AJ186" s="57" t="s">
        <v>291</v>
      </c>
    </row>
    <row r="187" spans="1:36" x14ac:dyDescent="0.45">
      <c r="A187" s="53">
        <v>146</v>
      </c>
      <c r="B187" s="43">
        <v>971</v>
      </c>
      <c r="C187" s="54" t="s">
        <v>279</v>
      </c>
      <c r="D187" s="54" t="s">
        <v>100</v>
      </c>
      <c r="E187" s="55"/>
      <c r="F187" s="54" t="s">
        <v>1018</v>
      </c>
      <c r="G187" s="54"/>
      <c r="H187" s="54" t="s">
        <v>303</v>
      </c>
      <c r="I187" s="54" t="s">
        <v>1018</v>
      </c>
      <c r="J187" s="54" t="s">
        <v>1019</v>
      </c>
      <c r="K187" s="54"/>
      <c r="L187" s="54" t="s">
        <v>305</v>
      </c>
      <c r="M187" s="54" t="s">
        <v>1019</v>
      </c>
      <c r="N187" s="54" t="s">
        <v>1020</v>
      </c>
      <c r="O187" s="54"/>
      <c r="P187" s="54" t="s">
        <v>306</v>
      </c>
      <c r="Q187" s="54" t="s">
        <v>1020</v>
      </c>
      <c r="R187" s="56">
        <v>1</v>
      </c>
      <c r="S187" s="54">
        <v>1</v>
      </c>
      <c r="T187" s="54" t="s">
        <v>153</v>
      </c>
      <c r="U187" s="54" t="s">
        <v>185</v>
      </c>
      <c r="V187" s="54" t="s">
        <v>1021</v>
      </c>
      <c r="W187" s="54" t="s">
        <v>1022</v>
      </c>
      <c r="X187" s="54" t="s">
        <v>1023</v>
      </c>
      <c r="Y187" s="54"/>
      <c r="Z187" s="54"/>
      <c r="AA187" s="54"/>
      <c r="AB187" s="54" t="s">
        <v>290</v>
      </c>
      <c r="AC187" s="54" t="s">
        <v>290</v>
      </c>
      <c r="AD187" s="54" t="s">
        <v>290</v>
      </c>
      <c r="AE187" s="54" t="s">
        <v>290</v>
      </c>
      <c r="AF187" s="54" t="s">
        <v>291</v>
      </c>
      <c r="AG187" s="54" t="s">
        <v>291</v>
      </c>
      <c r="AH187" s="54" t="s">
        <v>290</v>
      </c>
      <c r="AI187" s="54">
        <v>0.05</v>
      </c>
      <c r="AJ187" s="57" t="s">
        <v>291</v>
      </c>
    </row>
    <row r="188" spans="1:36" x14ac:dyDescent="0.45">
      <c r="A188" s="53">
        <v>145</v>
      </c>
      <c r="B188" s="43">
        <v>972</v>
      </c>
      <c r="C188" s="54" t="s">
        <v>279</v>
      </c>
      <c r="D188" s="54" t="s">
        <v>100</v>
      </c>
      <c r="E188" s="55"/>
      <c r="F188" s="54" t="s">
        <v>1024</v>
      </c>
      <c r="G188" s="54"/>
      <c r="H188" s="54" t="s">
        <v>303</v>
      </c>
      <c r="I188" s="54" t="s">
        <v>1024</v>
      </c>
      <c r="J188" s="54" t="s">
        <v>1025</v>
      </c>
      <c r="K188" s="54"/>
      <c r="L188" s="54" t="s">
        <v>305</v>
      </c>
      <c r="M188" s="54" t="s">
        <v>1025</v>
      </c>
      <c r="N188" s="54" t="s">
        <v>1026</v>
      </c>
      <c r="O188" s="54"/>
      <c r="P188" s="54" t="s">
        <v>306</v>
      </c>
      <c r="Q188" s="54" t="s">
        <v>1026</v>
      </c>
      <c r="R188" s="56">
        <v>1</v>
      </c>
      <c r="S188" s="54">
        <v>1</v>
      </c>
      <c r="T188" s="54" t="s">
        <v>153</v>
      </c>
      <c r="U188" s="54" t="s">
        <v>185</v>
      </c>
      <c r="V188" s="54" t="s">
        <v>1021</v>
      </c>
      <c r="W188" s="54" t="s">
        <v>1027</v>
      </c>
      <c r="X188" s="54" t="s">
        <v>1028</v>
      </c>
      <c r="Y188" s="54"/>
      <c r="Z188" s="54"/>
      <c r="AA188" s="54"/>
      <c r="AB188" s="54" t="s">
        <v>290</v>
      </c>
      <c r="AC188" s="54" t="s">
        <v>290</v>
      </c>
      <c r="AD188" s="54" t="s">
        <v>290</v>
      </c>
      <c r="AE188" s="54" t="s">
        <v>290</v>
      </c>
      <c r="AF188" s="54" t="s">
        <v>291</v>
      </c>
      <c r="AG188" s="54" t="s">
        <v>290</v>
      </c>
      <c r="AH188" s="54" t="s">
        <v>290</v>
      </c>
      <c r="AI188" s="54">
        <v>0</v>
      </c>
      <c r="AJ188" s="57" t="s">
        <v>291</v>
      </c>
    </row>
    <row r="189" spans="1:36" x14ac:dyDescent="0.45">
      <c r="A189" s="53">
        <v>147</v>
      </c>
      <c r="B189" s="43">
        <v>916</v>
      </c>
      <c r="C189" s="54" t="s">
        <v>279</v>
      </c>
      <c r="D189" s="54" t="s">
        <v>100</v>
      </c>
      <c r="E189" s="55"/>
      <c r="F189" s="54" t="s">
        <v>1029</v>
      </c>
      <c r="G189" s="54" t="s">
        <v>281</v>
      </c>
      <c r="H189" s="54" t="s">
        <v>791</v>
      </c>
      <c r="I189" s="54" t="s">
        <v>1030</v>
      </c>
      <c r="J189" s="54" t="s">
        <v>1031</v>
      </c>
      <c r="K189" s="54" t="s">
        <v>285</v>
      </c>
      <c r="L189" s="54" t="s">
        <v>791</v>
      </c>
      <c r="M189" s="54" t="s">
        <v>1030</v>
      </c>
      <c r="N189" s="54" t="s">
        <v>1029</v>
      </c>
      <c r="O189" s="54" t="s">
        <v>286</v>
      </c>
      <c r="P189" s="54" t="s">
        <v>791</v>
      </c>
      <c r="Q189" s="54" t="s">
        <v>1030</v>
      </c>
      <c r="R189" s="56">
        <v>0.5</v>
      </c>
      <c r="S189" s="54">
        <v>1</v>
      </c>
      <c r="T189" s="54" t="s">
        <v>153</v>
      </c>
      <c r="U189" s="54" t="s">
        <v>185</v>
      </c>
      <c r="V189" s="54" t="s">
        <v>211</v>
      </c>
      <c r="W189" s="54" t="s">
        <v>1032</v>
      </c>
      <c r="X189" s="54" t="s">
        <v>1033</v>
      </c>
      <c r="Y189" s="54"/>
      <c r="Z189" s="54"/>
      <c r="AA189" s="54"/>
      <c r="AB189" s="54" t="s">
        <v>290</v>
      </c>
      <c r="AC189" s="54" t="s">
        <v>290</v>
      </c>
      <c r="AD189" s="54" t="s">
        <v>290</v>
      </c>
      <c r="AE189" s="54" t="s">
        <v>290</v>
      </c>
      <c r="AF189" s="54" t="s">
        <v>291</v>
      </c>
      <c r="AG189" s="54" t="s">
        <v>291</v>
      </c>
      <c r="AH189" s="54" t="s">
        <v>290</v>
      </c>
      <c r="AI189" s="54">
        <v>0.05</v>
      </c>
      <c r="AJ189" s="57" t="s">
        <v>291</v>
      </c>
    </row>
    <row r="190" spans="1:36" x14ac:dyDescent="0.45">
      <c r="A190" s="53">
        <v>147</v>
      </c>
      <c r="B190" s="43">
        <v>917</v>
      </c>
      <c r="C190" s="54" t="s">
        <v>279</v>
      </c>
      <c r="D190" s="54" t="s">
        <v>100</v>
      </c>
      <c r="E190" s="55"/>
      <c r="F190" s="54" t="s">
        <v>1031</v>
      </c>
      <c r="G190" s="54" t="s">
        <v>281</v>
      </c>
      <c r="H190" s="54" t="s">
        <v>795</v>
      </c>
      <c r="I190" s="54" t="s">
        <v>1034</v>
      </c>
      <c r="J190" s="54" t="s">
        <v>1031</v>
      </c>
      <c r="K190" s="54" t="s">
        <v>285</v>
      </c>
      <c r="L190" s="54" t="s">
        <v>795</v>
      </c>
      <c r="M190" s="54" t="s">
        <v>1034</v>
      </c>
      <c r="N190" s="54" t="s">
        <v>1029</v>
      </c>
      <c r="O190" s="54" t="s">
        <v>286</v>
      </c>
      <c r="P190" s="54" t="s">
        <v>795</v>
      </c>
      <c r="Q190" s="54" t="s">
        <v>1034</v>
      </c>
      <c r="R190" s="56">
        <v>0.75</v>
      </c>
      <c r="S190" s="54">
        <v>1</v>
      </c>
      <c r="T190" s="54" t="s">
        <v>153</v>
      </c>
      <c r="U190" s="54" t="s">
        <v>185</v>
      </c>
      <c r="V190" s="54" t="s">
        <v>211</v>
      </c>
      <c r="W190" s="54" t="s">
        <v>1032</v>
      </c>
      <c r="X190" s="54" t="s">
        <v>1033</v>
      </c>
      <c r="Y190" s="54"/>
      <c r="Z190" s="54"/>
      <c r="AA190" s="54"/>
      <c r="AB190" s="54" t="s">
        <v>290</v>
      </c>
      <c r="AC190" s="54" t="s">
        <v>290</v>
      </c>
      <c r="AD190" s="54" t="s">
        <v>290</v>
      </c>
      <c r="AE190" s="54" t="s">
        <v>290</v>
      </c>
      <c r="AF190" s="54" t="s">
        <v>291</v>
      </c>
      <c r="AG190" s="54" t="s">
        <v>291</v>
      </c>
      <c r="AH190" s="54" t="s">
        <v>290</v>
      </c>
      <c r="AI190" s="54">
        <v>0.05</v>
      </c>
      <c r="AJ190" s="57" t="s">
        <v>291</v>
      </c>
    </row>
    <row r="191" spans="1:36" x14ac:dyDescent="0.45">
      <c r="A191" s="53">
        <v>147</v>
      </c>
      <c r="B191" s="43">
        <v>918</v>
      </c>
      <c r="C191" s="54" t="s">
        <v>279</v>
      </c>
      <c r="D191" s="54" t="s">
        <v>100</v>
      </c>
      <c r="E191" s="55"/>
      <c r="F191" s="54" t="s">
        <v>1031</v>
      </c>
      <c r="G191" s="54" t="s">
        <v>281</v>
      </c>
      <c r="H191" s="54" t="s">
        <v>466</v>
      </c>
      <c r="I191" s="54" t="s">
        <v>1035</v>
      </c>
      <c r="J191" s="54" t="s">
        <v>1031</v>
      </c>
      <c r="K191" s="54" t="s">
        <v>285</v>
      </c>
      <c r="L191" s="54" t="s">
        <v>466</v>
      </c>
      <c r="M191" s="54" t="s">
        <v>1035</v>
      </c>
      <c r="N191" s="54" t="s">
        <v>1029</v>
      </c>
      <c r="O191" s="54" t="s">
        <v>286</v>
      </c>
      <c r="P191" s="54" t="s">
        <v>466</v>
      </c>
      <c r="Q191" s="54" t="s">
        <v>1035</v>
      </c>
      <c r="R191" s="56">
        <v>1</v>
      </c>
      <c r="S191" s="54">
        <v>1</v>
      </c>
      <c r="T191" s="54" t="s">
        <v>153</v>
      </c>
      <c r="U191" s="54" t="s">
        <v>185</v>
      </c>
      <c r="V191" s="54" t="s">
        <v>211</v>
      </c>
      <c r="W191" s="54" t="s">
        <v>1032</v>
      </c>
      <c r="X191" s="54" t="s">
        <v>1033</v>
      </c>
      <c r="Y191" s="54"/>
      <c r="Z191" s="54"/>
      <c r="AA191" s="54"/>
      <c r="AB191" s="54" t="s">
        <v>290</v>
      </c>
      <c r="AC191" s="54" t="s">
        <v>290</v>
      </c>
      <c r="AD191" s="54" t="s">
        <v>290</v>
      </c>
      <c r="AE191" s="54" t="s">
        <v>290</v>
      </c>
      <c r="AF191" s="54" t="s">
        <v>291</v>
      </c>
      <c r="AG191" s="54" t="s">
        <v>291</v>
      </c>
      <c r="AH191" s="54" t="s">
        <v>290</v>
      </c>
      <c r="AI191" s="54">
        <v>0.05</v>
      </c>
      <c r="AJ191" s="57" t="s">
        <v>291</v>
      </c>
    </row>
    <row r="192" spans="1:36" x14ac:dyDescent="0.45">
      <c r="A192" s="53">
        <v>148</v>
      </c>
      <c r="B192" s="43">
        <v>919</v>
      </c>
      <c r="C192" s="54" t="s">
        <v>279</v>
      </c>
      <c r="D192" s="54" t="s">
        <v>100</v>
      </c>
      <c r="E192" s="55"/>
      <c r="F192" s="54" t="s">
        <v>211</v>
      </c>
      <c r="G192" s="54" t="s">
        <v>281</v>
      </c>
      <c r="H192" s="54" t="s">
        <v>466</v>
      </c>
      <c r="I192" s="54" t="s">
        <v>1036</v>
      </c>
      <c r="J192" s="54" t="s">
        <v>1037</v>
      </c>
      <c r="K192" s="54" t="s">
        <v>285</v>
      </c>
      <c r="L192" s="54" t="s">
        <v>466</v>
      </c>
      <c r="M192" s="54" t="s">
        <v>1038</v>
      </c>
      <c r="N192" s="54" t="s">
        <v>225</v>
      </c>
      <c r="O192" s="54" t="s">
        <v>286</v>
      </c>
      <c r="P192" s="54" t="s">
        <v>466</v>
      </c>
      <c r="Q192" s="54" t="s">
        <v>1039</v>
      </c>
      <c r="R192" s="56">
        <v>1</v>
      </c>
      <c r="S192" s="54">
        <v>1</v>
      </c>
      <c r="T192" s="54" t="s">
        <v>153</v>
      </c>
      <c r="U192" s="54" t="s">
        <v>185</v>
      </c>
      <c r="V192" s="54" t="s">
        <v>211</v>
      </c>
      <c r="W192" s="54" t="s">
        <v>1032</v>
      </c>
      <c r="X192" s="54" t="s">
        <v>1033</v>
      </c>
      <c r="Y192" s="54"/>
      <c r="Z192" s="54"/>
      <c r="AA192" s="54"/>
      <c r="AB192" s="54" t="s">
        <v>290</v>
      </c>
      <c r="AC192" s="54" t="s">
        <v>290</v>
      </c>
      <c r="AD192" s="54" t="s">
        <v>290</v>
      </c>
      <c r="AE192" s="54" t="s">
        <v>290</v>
      </c>
      <c r="AF192" s="54" t="s">
        <v>291</v>
      </c>
      <c r="AG192" s="54" t="s">
        <v>291</v>
      </c>
      <c r="AH192" s="54" t="s">
        <v>290</v>
      </c>
      <c r="AI192" s="54">
        <v>0</v>
      </c>
      <c r="AJ192" s="57" t="s">
        <v>291</v>
      </c>
    </row>
    <row r="193" spans="1:36" x14ac:dyDescent="0.45">
      <c r="A193" s="53">
        <v>148</v>
      </c>
      <c r="B193" s="43">
        <v>920</v>
      </c>
      <c r="C193" s="54" t="s">
        <v>279</v>
      </c>
      <c r="D193" s="54" t="s">
        <v>100</v>
      </c>
      <c r="E193" s="55"/>
      <c r="F193" s="54" t="s">
        <v>1040</v>
      </c>
      <c r="G193" s="54" t="s">
        <v>281</v>
      </c>
      <c r="H193" s="54" t="s">
        <v>759</v>
      </c>
      <c r="I193" s="54" t="s">
        <v>1041</v>
      </c>
      <c r="J193" s="54" t="s">
        <v>1037</v>
      </c>
      <c r="K193" s="54" t="s">
        <v>285</v>
      </c>
      <c r="L193" s="54" t="s">
        <v>759</v>
      </c>
      <c r="M193" s="54" t="s">
        <v>1042</v>
      </c>
      <c r="N193" s="54" t="s">
        <v>225</v>
      </c>
      <c r="O193" s="54" t="s">
        <v>286</v>
      </c>
      <c r="P193" s="54" t="s">
        <v>759</v>
      </c>
      <c r="Q193" s="54" t="s">
        <v>1043</v>
      </c>
      <c r="R193" s="56">
        <v>0.25</v>
      </c>
      <c r="S193" s="54">
        <v>1</v>
      </c>
      <c r="T193" s="54" t="s">
        <v>153</v>
      </c>
      <c r="U193" s="54" t="s">
        <v>185</v>
      </c>
      <c r="V193" s="54" t="s">
        <v>211</v>
      </c>
      <c r="W193" s="54" t="s">
        <v>1032</v>
      </c>
      <c r="X193" s="54" t="s">
        <v>1033</v>
      </c>
      <c r="Y193" s="54"/>
      <c r="Z193" s="54"/>
      <c r="AA193" s="54"/>
      <c r="AB193" s="54" t="s">
        <v>290</v>
      </c>
      <c r="AC193" s="54" t="s">
        <v>290</v>
      </c>
      <c r="AD193" s="54" t="s">
        <v>290</v>
      </c>
      <c r="AE193" s="54" t="s">
        <v>290</v>
      </c>
      <c r="AF193" s="54" t="s">
        <v>291</v>
      </c>
      <c r="AG193" s="54" t="s">
        <v>291</v>
      </c>
      <c r="AH193" s="54" t="s">
        <v>290</v>
      </c>
      <c r="AI193" s="54">
        <v>0</v>
      </c>
      <c r="AJ193" s="57" t="s">
        <v>291</v>
      </c>
    </row>
    <row r="194" spans="1:36" x14ac:dyDescent="0.45">
      <c r="A194" s="53">
        <v>148</v>
      </c>
      <c r="B194" s="43">
        <v>921</v>
      </c>
      <c r="C194" s="54" t="s">
        <v>279</v>
      </c>
      <c r="D194" s="54" t="s">
        <v>100</v>
      </c>
      <c r="E194" s="55"/>
      <c r="F194" s="54" t="s">
        <v>1040</v>
      </c>
      <c r="G194" s="54" t="s">
        <v>281</v>
      </c>
      <c r="H194" s="54" t="s">
        <v>791</v>
      </c>
      <c r="I194" s="54" t="s">
        <v>1044</v>
      </c>
      <c r="J194" s="54" t="s">
        <v>1037</v>
      </c>
      <c r="K194" s="54" t="s">
        <v>285</v>
      </c>
      <c r="L194" s="54" t="s">
        <v>791</v>
      </c>
      <c r="M194" s="54" t="s">
        <v>1045</v>
      </c>
      <c r="N194" s="54" t="s">
        <v>225</v>
      </c>
      <c r="O194" s="54" t="s">
        <v>286</v>
      </c>
      <c r="P194" s="54" t="s">
        <v>791</v>
      </c>
      <c r="Q194" s="54" t="s">
        <v>1046</v>
      </c>
      <c r="R194" s="56">
        <v>0.5</v>
      </c>
      <c r="S194" s="54">
        <v>1</v>
      </c>
      <c r="T194" s="54" t="s">
        <v>153</v>
      </c>
      <c r="U194" s="54" t="s">
        <v>185</v>
      </c>
      <c r="V194" s="54" t="s">
        <v>211</v>
      </c>
      <c r="W194" s="54" t="s">
        <v>1032</v>
      </c>
      <c r="X194" s="54" t="s">
        <v>1033</v>
      </c>
      <c r="Y194" s="54"/>
      <c r="Z194" s="54"/>
      <c r="AA194" s="54"/>
      <c r="AB194" s="54" t="s">
        <v>290</v>
      </c>
      <c r="AC194" s="54" t="s">
        <v>290</v>
      </c>
      <c r="AD194" s="54" t="s">
        <v>290</v>
      </c>
      <c r="AE194" s="54" t="s">
        <v>290</v>
      </c>
      <c r="AF194" s="54" t="s">
        <v>291</v>
      </c>
      <c r="AG194" s="54" t="s">
        <v>291</v>
      </c>
      <c r="AH194" s="54" t="s">
        <v>290</v>
      </c>
      <c r="AI194" s="54">
        <v>0</v>
      </c>
      <c r="AJ194" s="57" t="s">
        <v>291</v>
      </c>
    </row>
    <row r="195" spans="1:36" x14ac:dyDescent="0.45">
      <c r="A195" s="53">
        <v>148</v>
      </c>
      <c r="B195" s="43">
        <v>922</v>
      </c>
      <c r="C195" s="54" t="s">
        <v>279</v>
      </c>
      <c r="D195" s="54" t="s">
        <v>100</v>
      </c>
      <c r="E195" s="55"/>
      <c r="F195" s="54" t="s">
        <v>1040</v>
      </c>
      <c r="G195" s="54" t="s">
        <v>281</v>
      </c>
      <c r="H195" s="54" t="s">
        <v>795</v>
      </c>
      <c r="I195" s="54" t="s">
        <v>1047</v>
      </c>
      <c r="J195" s="54" t="s">
        <v>1037</v>
      </c>
      <c r="K195" s="54" t="s">
        <v>285</v>
      </c>
      <c r="L195" s="54" t="s">
        <v>795</v>
      </c>
      <c r="M195" s="54" t="s">
        <v>1048</v>
      </c>
      <c r="N195" s="54" t="s">
        <v>225</v>
      </c>
      <c r="O195" s="54" t="s">
        <v>286</v>
      </c>
      <c r="P195" s="54" t="s">
        <v>795</v>
      </c>
      <c r="Q195" s="54" t="s">
        <v>1049</v>
      </c>
      <c r="R195" s="56">
        <v>0.75</v>
      </c>
      <c r="S195" s="54">
        <v>1</v>
      </c>
      <c r="T195" s="54" t="s">
        <v>153</v>
      </c>
      <c r="U195" s="54" t="s">
        <v>185</v>
      </c>
      <c r="V195" s="54" t="s">
        <v>211</v>
      </c>
      <c r="W195" s="54" t="s">
        <v>1032</v>
      </c>
      <c r="X195" s="54" t="s">
        <v>1033</v>
      </c>
      <c r="Y195" s="54"/>
      <c r="Z195" s="54"/>
      <c r="AA195" s="54"/>
      <c r="AB195" s="54" t="s">
        <v>290</v>
      </c>
      <c r="AC195" s="54" t="s">
        <v>290</v>
      </c>
      <c r="AD195" s="54" t="s">
        <v>290</v>
      </c>
      <c r="AE195" s="54" t="s">
        <v>290</v>
      </c>
      <c r="AF195" s="54" t="s">
        <v>291</v>
      </c>
      <c r="AG195" s="54" t="s">
        <v>291</v>
      </c>
      <c r="AH195" s="54" t="s">
        <v>290</v>
      </c>
      <c r="AI195" s="54">
        <v>0</v>
      </c>
      <c r="AJ195" s="57" t="s">
        <v>291</v>
      </c>
    </row>
    <row r="196" spans="1:36" x14ac:dyDescent="0.45">
      <c r="A196" s="53">
        <v>200</v>
      </c>
      <c r="B196" s="55">
        <v>135</v>
      </c>
      <c r="C196" s="54" t="s">
        <v>597</v>
      </c>
      <c r="D196" s="54" t="s">
        <v>100</v>
      </c>
      <c r="E196" s="55" t="s">
        <v>1425</v>
      </c>
      <c r="F196" s="54" t="s">
        <v>1050</v>
      </c>
      <c r="G196" s="54" t="s">
        <v>1051</v>
      </c>
      <c r="H196" s="54"/>
      <c r="I196" s="54" t="s">
        <v>1052</v>
      </c>
      <c r="J196" s="54" t="s">
        <v>1053</v>
      </c>
      <c r="K196" s="54" t="s">
        <v>1054</v>
      </c>
      <c r="L196" s="54"/>
      <c r="M196" s="54" t="s">
        <v>1053</v>
      </c>
      <c r="N196" s="54" t="s">
        <v>1055</v>
      </c>
      <c r="O196" s="54" t="s">
        <v>1056</v>
      </c>
      <c r="P196" s="54"/>
      <c r="Q196" s="54" t="s">
        <v>1057</v>
      </c>
      <c r="R196" s="56">
        <v>1</v>
      </c>
      <c r="S196" s="54">
        <v>1</v>
      </c>
      <c r="T196" s="54" t="s">
        <v>147</v>
      </c>
      <c r="U196" s="54" t="s">
        <v>184</v>
      </c>
      <c r="V196" s="54" t="s">
        <v>1058</v>
      </c>
      <c r="W196" s="54" t="s">
        <v>1058</v>
      </c>
      <c r="X196" s="54" t="s">
        <v>1059</v>
      </c>
      <c r="Y196" s="54"/>
      <c r="Z196" s="54"/>
      <c r="AA196" s="54"/>
      <c r="AB196" s="54" t="s">
        <v>290</v>
      </c>
      <c r="AC196" s="54" t="s">
        <v>290</v>
      </c>
      <c r="AD196" s="54" t="s">
        <v>290</v>
      </c>
      <c r="AE196" s="54" t="s">
        <v>290</v>
      </c>
      <c r="AF196" s="54" t="s">
        <v>291</v>
      </c>
      <c r="AG196" s="54" t="s">
        <v>291</v>
      </c>
      <c r="AH196" s="54" t="s">
        <v>290</v>
      </c>
      <c r="AI196" s="60">
        <v>0.05</v>
      </c>
      <c r="AJ196" s="57" t="s">
        <v>291</v>
      </c>
    </row>
    <row r="197" spans="1:36" x14ac:dyDescent="0.45">
      <c r="A197" s="53">
        <v>201</v>
      </c>
      <c r="B197" s="55">
        <v>180</v>
      </c>
      <c r="C197" s="54" t="s">
        <v>279</v>
      </c>
      <c r="D197" s="54" t="s">
        <v>100</v>
      </c>
      <c r="E197" s="55"/>
      <c r="F197" s="54" t="s">
        <v>1060</v>
      </c>
      <c r="G197" s="54" t="s">
        <v>1061</v>
      </c>
      <c r="H197" s="54" t="s">
        <v>303</v>
      </c>
      <c r="I197" s="54" t="s">
        <v>1062</v>
      </c>
      <c r="J197" s="54" t="s">
        <v>1060</v>
      </c>
      <c r="K197" s="54" t="s">
        <v>1061</v>
      </c>
      <c r="L197" s="54" t="s">
        <v>305</v>
      </c>
      <c r="M197" s="54" t="s">
        <v>1063</v>
      </c>
      <c r="N197" s="54" t="s">
        <v>1060</v>
      </c>
      <c r="O197" s="54" t="s">
        <v>1061</v>
      </c>
      <c r="P197" s="54" t="s">
        <v>306</v>
      </c>
      <c r="Q197" s="54" t="s">
        <v>1064</v>
      </c>
      <c r="R197" s="56">
        <v>1</v>
      </c>
      <c r="S197" s="54">
        <v>1</v>
      </c>
      <c r="T197" s="54" t="s">
        <v>153</v>
      </c>
      <c r="U197" s="54" t="s">
        <v>185</v>
      </c>
      <c r="V197" s="54" t="s">
        <v>1058</v>
      </c>
      <c r="W197" s="54" t="s">
        <v>1058</v>
      </c>
      <c r="X197" s="54" t="s">
        <v>1059</v>
      </c>
      <c r="Y197" s="54"/>
      <c r="Z197" s="54"/>
      <c r="AA197" s="54"/>
      <c r="AB197" s="54" t="s">
        <v>290</v>
      </c>
      <c r="AC197" s="54" t="s">
        <v>290</v>
      </c>
      <c r="AD197" s="54" t="s">
        <v>290</v>
      </c>
      <c r="AE197" s="54" t="s">
        <v>290</v>
      </c>
      <c r="AF197" s="54" t="s">
        <v>291</v>
      </c>
      <c r="AG197" s="54" t="s">
        <v>291</v>
      </c>
      <c r="AH197" s="54" t="s">
        <v>290</v>
      </c>
      <c r="AI197" s="60">
        <v>0.05</v>
      </c>
      <c r="AJ197" s="57" t="s">
        <v>291</v>
      </c>
    </row>
    <row r="198" spans="1:36" x14ac:dyDescent="0.45">
      <c r="A198" s="53">
        <v>202</v>
      </c>
      <c r="B198" s="54"/>
      <c r="C198" s="54" t="s">
        <v>279</v>
      </c>
      <c r="D198" s="54" t="s">
        <v>100</v>
      </c>
      <c r="E198" s="55">
        <v>7613399001270</v>
      </c>
      <c r="F198" s="54" t="s">
        <v>1060</v>
      </c>
      <c r="G198" s="54" t="s">
        <v>1065</v>
      </c>
      <c r="H198" s="54" t="s">
        <v>656</v>
      </c>
      <c r="I198" s="54" t="s">
        <v>1066</v>
      </c>
      <c r="J198" s="54" t="s">
        <v>1060</v>
      </c>
      <c r="K198" s="54" t="s">
        <v>1067</v>
      </c>
      <c r="L198" s="54" t="s">
        <v>656</v>
      </c>
      <c r="M198" s="54" t="s">
        <v>1068</v>
      </c>
      <c r="N198" s="54" t="s">
        <v>1060</v>
      </c>
      <c r="O198" s="54" t="s">
        <v>1069</v>
      </c>
      <c r="P198" s="54" t="s">
        <v>656</v>
      </c>
      <c r="Q198" s="54" t="s">
        <v>1070</v>
      </c>
      <c r="R198" s="56">
        <v>0.2</v>
      </c>
      <c r="S198" s="54">
        <v>100</v>
      </c>
      <c r="T198" s="54" t="s">
        <v>146</v>
      </c>
      <c r="U198" s="54" t="s">
        <v>185</v>
      </c>
      <c r="V198" s="54" t="s">
        <v>1058</v>
      </c>
      <c r="W198" s="54" t="s">
        <v>1058</v>
      </c>
      <c r="X198" s="54" t="s">
        <v>1059</v>
      </c>
      <c r="Y198" s="54"/>
      <c r="Z198" s="54"/>
      <c r="AA198" s="54"/>
      <c r="AB198" s="54" t="s">
        <v>290</v>
      </c>
      <c r="AC198" s="54" t="s">
        <v>290</v>
      </c>
      <c r="AD198" s="54" t="s">
        <v>290</v>
      </c>
      <c r="AE198" s="54" t="s">
        <v>290</v>
      </c>
      <c r="AF198" s="54" t="s">
        <v>291</v>
      </c>
      <c r="AG198" s="54" t="s">
        <v>291</v>
      </c>
      <c r="AH198" s="54" t="s">
        <v>290</v>
      </c>
      <c r="AI198" s="60">
        <v>0.05</v>
      </c>
      <c r="AJ198" s="57" t="s">
        <v>291</v>
      </c>
    </row>
    <row r="199" spans="1:36" x14ac:dyDescent="0.45">
      <c r="A199" s="53">
        <v>203</v>
      </c>
      <c r="B199" s="54"/>
      <c r="C199" s="54" t="s">
        <v>279</v>
      </c>
      <c r="D199" s="54"/>
      <c r="E199" s="57" t="s">
        <v>1427</v>
      </c>
      <c r="F199" s="54" t="s">
        <v>1071</v>
      </c>
      <c r="G199" s="54" t="s">
        <v>1072</v>
      </c>
      <c r="H199" s="54"/>
      <c r="I199" s="54" t="s">
        <v>1073</v>
      </c>
      <c r="J199" s="54" t="s">
        <v>1074</v>
      </c>
      <c r="K199" s="54" t="s">
        <v>1075</v>
      </c>
      <c r="L199" s="54"/>
      <c r="M199" s="54" t="s">
        <v>1076</v>
      </c>
      <c r="N199" s="54" t="s">
        <v>1077</v>
      </c>
      <c r="O199" s="54" t="s">
        <v>1078</v>
      </c>
      <c r="P199" s="54"/>
      <c r="Q199" s="54" t="s">
        <v>1079</v>
      </c>
      <c r="R199" s="56">
        <v>1</v>
      </c>
      <c r="S199" s="54">
        <v>1</v>
      </c>
      <c r="T199" s="54" t="s">
        <v>147</v>
      </c>
      <c r="U199" s="54" t="s">
        <v>185</v>
      </c>
      <c r="V199" s="54" t="s">
        <v>1058</v>
      </c>
      <c r="W199" s="54" t="s">
        <v>1058</v>
      </c>
      <c r="X199" s="54" t="s">
        <v>1059</v>
      </c>
      <c r="Y199" s="54"/>
      <c r="Z199" s="54"/>
      <c r="AA199" s="54"/>
      <c r="AB199" s="54" t="s">
        <v>290</v>
      </c>
      <c r="AC199" s="54" t="s">
        <v>290</v>
      </c>
      <c r="AD199" s="54" t="s">
        <v>290</v>
      </c>
      <c r="AE199" s="54" t="s">
        <v>290</v>
      </c>
      <c r="AF199" s="54" t="s">
        <v>291</v>
      </c>
      <c r="AG199" s="54" t="s">
        <v>291</v>
      </c>
      <c r="AH199" s="54" t="s">
        <v>290</v>
      </c>
      <c r="AI199" s="60">
        <v>0.05</v>
      </c>
      <c r="AJ199" s="57" t="s">
        <v>291</v>
      </c>
    </row>
    <row r="200" spans="1:36" x14ac:dyDescent="0.45">
      <c r="A200" s="53">
        <v>204</v>
      </c>
      <c r="B200" s="54"/>
      <c r="C200" s="54" t="s">
        <v>279</v>
      </c>
      <c r="D200" s="54" t="s">
        <v>100</v>
      </c>
      <c r="E200" s="55">
        <v>7613399021476</v>
      </c>
      <c r="F200" s="54" t="s">
        <v>1080</v>
      </c>
      <c r="G200" s="54"/>
      <c r="H200" s="54" t="s">
        <v>1081</v>
      </c>
      <c r="I200" s="54" t="s">
        <v>1082</v>
      </c>
      <c r="J200" s="54" t="s">
        <v>1083</v>
      </c>
      <c r="K200" s="54"/>
      <c r="L200" s="54" t="s">
        <v>1081</v>
      </c>
      <c r="M200" s="54" t="s">
        <v>1084</v>
      </c>
      <c r="N200" s="54" t="s">
        <v>1085</v>
      </c>
      <c r="O200" s="54"/>
      <c r="P200" s="54" t="s">
        <v>1081</v>
      </c>
      <c r="Q200" s="54" t="s">
        <v>1086</v>
      </c>
      <c r="R200" s="56">
        <v>2</v>
      </c>
      <c r="S200" s="54">
        <v>1</v>
      </c>
      <c r="T200" s="54" t="s">
        <v>147</v>
      </c>
      <c r="U200" s="54" t="s">
        <v>185</v>
      </c>
      <c r="V200" s="54" t="s">
        <v>1058</v>
      </c>
      <c r="W200" s="54" t="s">
        <v>1058</v>
      </c>
      <c r="X200" s="54" t="s">
        <v>1059</v>
      </c>
      <c r="Y200" s="54"/>
      <c r="Z200" s="54"/>
      <c r="AA200" s="54"/>
      <c r="AB200" s="54" t="s">
        <v>290</v>
      </c>
      <c r="AC200" s="54" t="s">
        <v>290</v>
      </c>
      <c r="AD200" s="54" t="s">
        <v>290</v>
      </c>
      <c r="AE200" s="54" t="s">
        <v>290</v>
      </c>
      <c r="AF200" s="54" t="s">
        <v>291</v>
      </c>
      <c r="AG200" s="54" t="s">
        <v>291</v>
      </c>
      <c r="AH200" s="54" t="s">
        <v>290</v>
      </c>
      <c r="AI200" s="60">
        <v>0.05</v>
      </c>
      <c r="AJ200" s="57" t="s">
        <v>291</v>
      </c>
    </row>
    <row r="201" spans="1:36" x14ac:dyDescent="0.45">
      <c r="A201" s="53">
        <v>205</v>
      </c>
      <c r="B201" s="55">
        <v>122</v>
      </c>
      <c r="C201" s="54" t="s">
        <v>597</v>
      </c>
      <c r="D201" s="54" t="s">
        <v>100</v>
      </c>
      <c r="E201" s="54" t="s">
        <v>1425</v>
      </c>
      <c r="F201" s="54" t="s">
        <v>1087</v>
      </c>
      <c r="G201" s="54" t="s">
        <v>1088</v>
      </c>
      <c r="H201" s="54"/>
      <c r="I201" s="54" t="s">
        <v>1089</v>
      </c>
      <c r="J201" s="54" t="s">
        <v>1090</v>
      </c>
      <c r="K201" s="54" t="s">
        <v>1091</v>
      </c>
      <c r="L201" s="54"/>
      <c r="M201" s="54" t="s">
        <v>1092</v>
      </c>
      <c r="N201" s="54" t="s">
        <v>1093</v>
      </c>
      <c r="O201" s="54" t="s">
        <v>1094</v>
      </c>
      <c r="P201" s="54"/>
      <c r="Q201" s="54" t="s">
        <v>1095</v>
      </c>
      <c r="R201" s="56">
        <v>1</v>
      </c>
      <c r="S201" s="54">
        <v>1</v>
      </c>
      <c r="T201" s="54" t="s">
        <v>147</v>
      </c>
      <c r="U201" s="54" t="s">
        <v>184</v>
      </c>
      <c r="V201" s="54" t="s">
        <v>1058</v>
      </c>
      <c r="W201" s="54" t="s">
        <v>1058</v>
      </c>
      <c r="X201" s="54" t="s">
        <v>1059</v>
      </c>
      <c r="Y201" s="54"/>
      <c r="Z201" s="54"/>
      <c r="AA201" s="54"/>
      <c r="AB201" s="54" t="s">
        <v>290</v>
      </c>
      <c r="AC201" s="54" t="s">
        <v>290</v>
      </c>
      <c r="AD201" s="54" t="s">
        <v>290</v>
      </c>
      <c r="AE201" s="54" t="s">
        <v>290</v>
      </c>
      <c r="AF201" s="54" t="s">
        <v>291</v>
      </c>
      <c r="AG201" s="54" t="s">
        <v>291</v>
      </c>
      <c r="AH201" s="54" t="s">
        <v>290</v>
      </c>
      <c r="AI201" s="60">
        <v>0.05</v>
      </c>
      <c r="AJ201" s="57" t="s">
        <v>291</v>
      </c>
    </row>
    <row r="202" spans="1:36" x14ac:dyDescent="0.45">
      <c r="A202" s="53">
        <v>206</v>
      </c>
      <c r="B202" s="54"/>
      <c r="C202" s="54" t="s">
        <v>597</v>
      </c>
      <c r="D202" s="54" t="s">
        <v>94</v>
      </c>
      <c r="E202" s="57" t="s">
        <v>1426</v>
      </c>
      <c r="F202" s="54" t="s">
        <v>1080</v>
      </c>
      <c r="G202" s="54"/>
      <c r="H202" s="54" t="s">
        <v>1096</v>
      </c>
      <c r="I202" s="56" t="s">
        <v>1097</v>
      </c>
      <c r="J202" s="54" t="s">
        <v>1083</v>
      </c>
      <c r="K202" s="54"/>
      <c r="L202" s="54" t="s">
        <v>1098</v>
      </c>
      <c r="M202" s="56" t="s">
        <v>1099</v>
      </c>
      <c r="N202" s="54" t="s">
        <v>1085</v>
      </c>
      <c r="O202" s="54"/>
      <c r="P202" s="56" t="s">
        <v>1096</v>
      </c>
      <c r="Q202" s="54" t="s">
        <v>1100</v>
      </c>
      <c r="R202" s="54">
        <v>0.8</v>
      </c>
      <c r="S202" s="54">
        <v>1</v>
      </c>
      <c r="T202" s="54" t="s">
        <v>147</v>
      </c>
      <c r="U202" s="54" t="s">
        <v>185</v>
      </c>
      <c r="V202" s="54" t="s">
        <v>1058</v>
      </c>
      <c r="W202" s="54" t="s">
        <v>1058</v>
      </c>
      <c r="X202" s="54" t="s">
        <v>1059</v>
      </c>
      <c r="Y202" s="54"/>
      <c r="Z202" s="54"/>
      <c r="AA202" s="54"/>
      <c r="AB202" s="54" t="s">
        <v>290</v>
      </c>
      <c r="AC202" s="54" t="s">
        <v>290</v>
      </c>
      <c r="AD202" s="54" t="s">
        <v>290</v>
      </c>
      <c r="AE202" s="54" t="s">
        <v>290</v>
      </c>
      <c r="AF202" s="54" t="s">
        <v>291</v>
      </c>
      <c r="AG202" s="54" t="s">
        <v>291</v>
      </c>
      <c r="AH202" s="54" t="s">
        <v>290</v>
      </c>
      <c r="AI202" s="60">
        <v>0.05</v>
      </c>
      <c r="AJ202" s="57" t="s">
        <v>291</v>
      </c>
    </row>
    <row r="203" spans="1:36" x14ac:dyDescent="0.45">
      <c r="A203" s="53">
        <v>207</v>
      </c>
      <c r="B203" s="55">
        <v>124</v>
      </c>
      <c r="C203" s="54" t="s">
        <v>597</v>
      </c>
      <c r="D203" s="54"/>
      <c r="E203" s="54"/>
      <c r="F203" s="54" t="s">
        <v>1101</v>
      </c>
      <c r="G203" s="54"/>
      <c r="H203" s="54"/>
      <c r="I203" s="54" t="s">
        <v>1101</v>
      </c>
      <c r="J203" s="54" t="s">
        <v>1102</v>
      </c>
      <c r="K203" s="54" t="s">
        <v>1103</v>
      </c>
      <c r="L203" s="54"/>
      <c r="M203" s="54" t="s">
        <v>1104</v>
      </c>
      <c r="N203" s="54" t="s">
        <v>1085</v>
      </c>
      <c r="O203" s="54" t="s">
        <v>1105</v>
      </c>
      <c r="P203" s="54"/>
      <c r="Q203" s="54" t="s">
        <v>1106</v>
      </c>
      <c r="R203" s="56">
        <v>1</v>
      </c>
      <c r="S203" s="54">
        <v>1</v>
      </c>
      <c r="T203" s="54" t="s">
        <v>147</v>
      </c>
      <c r="U203" s="54" t="s">
        <v>184</v>
      </c>
      <c r="V203" s="54" t="s">
        <v>1058</v>
      </c>
      <c r="W203" s="54" t="s">
        <v>1058</v>
      </c>
      <c r="X203" s="54" t="s">
        <v>1059</v>
      </c>
      <c r="Y203" s="54"/>
      <c r="Z203" s="54"/>
      <c r="AA203" s="54"/>
      <c r="AB203" s="54" t="s">
        <v>290</v>
      </c>
      <c r="AC203" s="54" t="s">
        <v>290</v>
      </c>
      <c r="AD203" s="54" t="s">
        <v>290</v>
      </c>
      <c r="AE203" s="54" t="s">
        <v>290</v>
      </c>
      <c r="AF203" s="54" t="s">
        <v>291</v>
      </c>
      <c r="AG203" s="54" t="s">
        <v>291</v>
      </c>
      <c r="AH203" s="54" t="s">
        <v>290</v>
      </c>
      <c r="AI203" s="60">
        <v>0.05</v>
      </c>
      <c r="AJ203" s="57" t="s">
        <v>291</v>
      </c>
    </row>
    <row r="204" spans="1:36" x14ac:dyDescent="0.45">
      <c r="A204" s="53">
        <v>208</v>
      </c>
      <c r="B204" s="54"/>
      <c r="C204" s="54" t="s">
        <v>597</v>
      </c>
      <c r="D204" s="54" t="s">
        <v>94</v>
      </c>
      <c r="E204" s="55">
        <v>2203231000000</v>
      </c>
      <c r="F204" s="54" t="s">
        <v>1080</v>
      </c>
      <c r="G204" s="54" t="s">
        <v>1107</v>
      </c>
      <c r="H204" s="54" t="s">
        <v>1108</v>
      </c>
      <c r="I204" s="54" t="s">
        <v>1109</v>
      </c>
      <c r="J204" s="54" t="s">
        <v>1083</v>
      </c>
      <c r="K204" s="54" t="s">
        <v>1110</v>
      </c>
      <c r="L204" s="54" t="s">
        <v>1108</v>
      </c>
      <c r="M204" s="54" t="s">
        <v>1111</v>
      </c>
      <c r="N204" s="54" t="s">
        <v>1085</v>
      </c>
      <c r="O204" s="54" t="s">
        <v>1112</v>
      </c>
      <c r="P204" s="54" t="s">
        <v>1108</v>
      </c>
      <c r="Q204" s="54" t="s">
        <v>1113</v>
      </c>
      <c r="R204" s="56">
        <v>0.65</v>
      </c>
      <c r="S204" s="54">
        <v>1</v>
      </c>
      <c r="T204" s="54" t="s">
        <v>147</v>
      </c>
      <c r="U204" s="54" t="s">
        <v>185</v>
      </c>
      <c r="V204" s="54" t="s">
        <v>1058</v>
      </c>
      <c r="W204" s="54" t="s">
        <v>1058</v>
      </c>
      <c r="X204" s="54" t="s">
        <v>1059</v>
      </c>
      <c r="Y204" s="54"/>
      <c r="Z204" s="54"/>
      <c r="AA204" s="54"/>
      <c r="AB204" s="54" t="s">
        <v>290</v>
      </c>
      <c r="AC204" s="54" t="s">
        <v>290</v>
      </c>
      <c r="AD204" s="54" t="s">
        <v>290</v>
      </c>
      <c r="AE204" s="54" t="s">
        <v>290</v>
      </c>
      <c r="AF204" s="54" t="s">
        <v>291</v>
      </c>
      <c r="AG204" s="54" t="s">
        <v>291</v>
      </c>
      <c r="AH204" s="54" t="s">
        <v>290</v>
      </c>
      <c r="AI204" s="60">
        <v>0.05</v>
      </c>
      <c r="AJ204" s="57" t="s">
        <v>291</v>
      </c>
    </row>
    <row r="205" spans="1:36" x14ac:dyDescent="0.45">
      <c r="A205" s="53">
        <v>209</v>
      </c>
      <c r="B205" s="54"/>
      <c r="C205" s="54" t="s">
        <v>279</v>
      </c>
      <c r="D205" s="54" t="s">
        <v>100</v>
      </c>
      <c r="E205" s="55">
        <v>7613399047834</v>
      </c>
      <c r="F205" s="54" t="s">
        <v>1114</v>
      </c>
      <c r="G205" s="54"/>
      <c r="H205" s="54" t="s">
        <v>656</v>
      </c>
      <c r="I205" s="54" t="s">
        <v>1115</v>
      </c>
      <c r="J205" s="54" t="s">
        <v>1116</v>
      </c>
      <c r="K205" s="54"/>
      <c r="L205" s="54" t="s">
        <v>656</v>
      </c>
      <c r="M205" s="54" t="s">
        <v>1117</v>
      </c>
      <c r="N205" s="54" t="s">
        <v>1118</v>
      </c>
      <c r="O205" s="54"/>
      <c r="P205" s="54" t="s">
        <v>656</v>
      </c>
      <c r="Q205" s="54" t="s">
        <v>1119</v>
      </c>
      <c r="R205" s="56">
        <v>0.2</v>
      </c>
      <c r="S205" s="54">
        <v>100</v>
      </c>
      <c r="T205" s="54" t="s">
        <v>146</v>
      </c>
      <c r="U205" s="54" t="s">
        <v>185</v>
      </c>
      <c r="V205" s="54" t="s">
        <v>1058</v>
      </c>
      <c r="W205" s="54" t="s">
        <v>1058</v>
      </c>
      <c r="X205" s="54" t="s">
        <v>1059</v>
      </c>
      <c r="Y205" s="54"/>
      <c r="Z205" s="54"/>
      <c r="AA205" s="54"/>
      <c r="AB205" s="54" t="s">
        <v>290</v>
      </c>
      <c r="AC205" s="54" t="s">
        <v>290</v>
      </c>
      <c r="AD205" s="54" t="s">
        <v>290</v>
      </c>
      <c r="AE205" s="54" t="s">
        <v>290</v>
      </c>
      <c r="AF205" s="54" t="s">
        <v>291</v>
      </c>
      <c r="AG205" s="54" t="s">
        <v>291</v>
      </c>
      <c r="AH205" s="54" t="s">
        <v>290</v>
      </c>
      <c r="AI205" s="60">
        <v>0.05</v>
      </c>
      <c r="AJ205" s="57" t="s">
        <v>291</v>
      </c>
    </row>
    <row r="206" spans="1:36" x14ac:dyDescent="0.45">
      <c r="A206" s="53">
        <v>210</v>
      </c>
      <c r="B206" s="55">
        <v>126</v>
      </c>
      <c r="C206" s="54" t="s">
        <v>597</v>
      </c>
      <c r="D206" s="54" t="s">
        <v>100</v>
      </c>
      <c r="E206" s="55" t="s">
        <v>1425</v>
      </c>
      <c r="F206" s="54" t="s">
        <v>1120</v>
      </c>
      <c r="G206" s="54" t="s">
        <v>1121</v>
      </c>
      <c r="H206" s="54"/>
      <c r="I206" s="54" t="s">
        <v>1122</v>
      </c>
      <c r="J206" s="54" t="s">
        <v>1123</v>
      </c>
      <c r="K206" s="54" t="s">
        <v>1124</v>
      </c>
      <c r="L206" s="54"/>
      <c r="M206" s="54" t="s">
        <v>1125</v>
      </c>
      <c r="N206" s="54" t="s">
        <v>1126</v>
      </c>
      <c r="O206" s="54" t="s">
        <v>1105</v>
      </c>
      <c r="P206" s="54"/>
      <c r="Q206" s="54" t="s">
        <v>1127</v>
      </c>
      <c r="R206" s="56">
        <v>1</v>
      </c>
      <c r="S206" s="54">
        <v>1</v>
      </c>
      <c r="T206" s="54" t="s">
        <v>147</v>
      </c>
      <c r="U206" s="54" t="s">
        <v>184</v>
      </c>
      <c r="V206" s="54" t="s">
        <v>1058</v>
      </c>
      <c r="W206" s="54" t="s">
        <v>1058</v>
      </c>
      <c r="X206" s="54" t="s">
        <v>1059</v>
      </c>
      <c r="Y206" s="54"/>
      <c r="Z206" s="54"/>
      <c r="AA206" s="54"/>
      <c r="AB206" s="54" t="s">
        <v>290</v>
      </c>
      <c r="AC206" s="54" t="s">
        <v>290</v>
      </c>
      <c r="AD206" s="54" t="s">
        <v>290</v>
      </c>
      <c r="AE206" s="54" t="s">
        <v>290</v>
      </c>
      <c r="AF206" s="54" t="s">
        <v>291</v>
      </c>
      <c r="AG206" s="54" t="s">
        <v>291</v>
      </c>
      <c r="AH206" s="54" t="s">
        <v>290</v>
      </c>
      <c r="AI206" s="60">
        <v>0.05</v>
      </c>
      <c r="AJ206" s="57" t="s">
        <v>291</v>
      </c>
    </row>
    <row r="207" spans="1:36" x14ac:dyDescent="0.45">
      <c r="A207" s="53">
        <v>211</v>
      </c>
      <c r="B207" s="54"/>
      <c r="C207" s="54" t="s">
        <v>597</v>
      </c>
      <c r="D207" s="54" t="s">
        <v>94</v>
      </c>
      <c r="E207" s="55">
        <v>2201581000000</v>
      </c>
      <c r="F207" s="54" t="s">
        <v>1128</v>
      </c>
      <c r="G207" s="54" t="s">
        <v>1072</v>
      </c>
      <c r="H207" s="54"/>
      <c r="I207" s="54" t="s">
        <v>1129</v>
      </c>
      <c r="J207" s="54" t="s">
        <v>1130</v>
      </c>
      <c r="K207" s="54" t="s">
        <v>1075</v>
      </c>
      <c r="L207" s="54"/>
      <c r="M207" s="54" t="s">
        <v>1131</v>
      </c>
      <c r="N207" s="54" t="s">
        <v>1132</v>
      </c>
      <c r="O207" s="54" t="s">
        <v>1078</v>
      </c>
      <c r="P207" s="54"/>
      <c r="Q207" s="54" t="s">
        <v>1133</v>
      </c>
      <c r="R207" s="56">
        <v>1</v>
      </c>
      <c r="S207" s="54">
        <v>1</v>
      </c>
      <c r="T207" s="54" t="s">
        <v>147</v>
      </c>
      <c r="U207" s="54" t="s">
        <v>185</v>
      </c>
      <c r="V207" s="54" t="s">
        <v>1058</v>
      </c>
      <c r="W207" s="54" t="s">
        <v>1058</v>
      </c>
      <c r="X207" s="54" t="s">
        <v>1059</v>
      </c>
      <c r="Y207" s="54"/>
      <c r="Z207" s="54"/>
      <c r="AA207" s="54"/>
      <c r="AB207" s="54" t="s">
        <v>290</v>
      </c>
      <c r="AC207" s="54" t="s">
        <v>290</v>
      </c>
      <c r="AD207" s="54" t="s">
        <v>290</v>
      </c>
      <c r="AE207" s="54" t="s">
        <v>290</v>
      </c>
      <c r="AF207" s="54" t="s">
        <v>291</v>
      </c>
      <c r="AG207" s="54" t="s">
        <v>291</v>
      </c>
      <c r="AH207" s="54" t="s">
        <v>290</v>
      </c>
      <c r="AI207" s="60">
        <v>0.05</v>
      </c>
      <c r="AJ207" s="57" t="s">
        <v>291</v>
      </c>
    </row>
    <row r="208" spans="1:36" x14ac:dyDescent="0.45">
      <c r="A208" s="53">
        <v>212</v>
      </c>
      <c r="B208" s="54"/>
      <c r="C208" s="54" t="s">
        <v>279</v>
      </c>
      <c r="D208" s="54" t="s">
        <v>100</v>
      </c>
      <c r="E208" s="55">
        <v>7610632050514</v>
      </c>
      <c r="F208" s="54" t="s">
        <v>1134</v>
      </c>
      <c r="G208" s="54" t="s">
        <v>1107</v>
      </c>
      <c r="H208" s="54" t="s">
        <v>282</v>
      </c>
      <c r="I208" s="54" t="s">
        <v>1135</v>
      </c>
      <c r="J208" s="54" t="s">
        <v>1136</v>
      </c>
      <c r="K208" s="54" t="s">
        <v>1110</v>
      </c>
      <c r="L208" s="54" t="s">
        <v>282</v>
      </c>
      <c r="M208" s="54" t="s">
        <v>1137</v>
      </c>
      <c r="N208" s="54" t="s">
        <v>1138</v>
      </c>
      <c r="O208" s="54" t="s">
        <v>1112</v>
      </c>
      <c r="P208" s="54" t="s">
        <v>282</v>
      </c>
      <c r="Q208" s="54" t="s">
        <v>1139</v>
      </c>
      <c r="R208" s="56">
        <v>0.25</v>
      </c>
      <c r="S208" s="54">
        <v>100</v>
      </c>
      <c r="T208" s="54" t="s">
        <v>146</v>
      </c>
      <c r="U208" s="54" t="s">
        <v>185</v>
      </c>
      <c r="V208" s="54" t="s">
        <v>1058</v>
      </c>
      <c r="W208" s="54" t="s">
        <v>1058</v>
      </c>
      <c r="X208" s="54" t="s">
        <v>1059</v>
      </c>
      <c r="Y208" s="54"/>
      <c r="Z208" s="54"/>
      <c r="AA208" s="54"/>
      <c r="AB208" s="54" t="s">
        <v>290</v>
      </c>
      <c r="AC208" s="54" t="s">
        <v>290</v>
      </c>
      <c r="AD208" s="54" t="s">
        <v>290</v>
      </c>
      <c r="AE208" s="54" t="s">
        <v>290</v>
      </c>
      <c r="AF208" s="54" t="s">
        <v>291</v>
      </c>
      <c r="AG208" s="54" t="s">
        <v>291</v>
      </c>
      <c r="AH208" s="54" t="s">
        <v>290</v>
      </c>
      <c r="AI208" s="60">
        <v>0.05</v>
      </c>
      <c r="AJ208" s="57" t="s">
        <v>291</v>
      </c>
    </row>
    <row r="209" spans="1:36" x14ac:dyDescent="0.45">
      <c r="A209" s="53">
        <v>213</v>
      </c>
      <c r="B209" s="55">
        <v>128</v>
      </c>
      <c r="C209" s="54" t="s">
        <v>597</v>
      </c>
      <c r="D209" s="54"/>
      <c r="E209" s="54"/>
      <c r="F209" s="54" t="s">
        <v>1140</v>
      </c>
      <c r="G209" s="54"/>
      <c r="H209" s="54"/>
      <c r="I209" s="54" t="s">
        <v>1140</v>
      </c>
      <c r="J209" s="54" t="s">
        <v>1141</v>
      </c>
      <c r="K209" s="54" t="s">
        <v>1124</v>
      </c>
      <c r="L209" s="54"/>
      <c r="M209" s="54" t="s">
        <v>1142</v>
      </c>
      <c r="N209" s="54" t="s">
        <v>1143</v>
      </c>
      <c r="O209" s="54" t="s">
        <v>1105</v>
      </c>
      <c r="P209" s="54"/>
      <c r="Q209" s="54" t="s">
        <v>1144</v>
      </c>
      <c r="R209" s="56">
        <v>1</v>
      </c>
      <c r="S209" s="54">
        <v>1</v>
      </c>
      <c r="T209" s="54" t="s">
        <v>147</v>
      </c>
      <c r="U209" s="54" t="s">
        <v>184</v>
      </c>
      <c r="V209" s="54" t="s">
        <v>1058</v>
      </c>
      <c r="W209" s="54" t="s">
        <v>1058</v>
      </c>
      <c r="X209" s="54" t="s">
        <v>1059</v>
      </c>
      <c r="Y209" s="54"/>
      <c r="Z209" s="54"/>
      <c r="AA209" s="54"/>
      <c r="AB209" s="54" t="s">
        <v>290</v>
      </c>
      <c r="AC209" s="54" t="s">
        <v>290</v>
      </c>
      <c r="AD209" s="54" t="s">
        <v>290</v>
      </c>
      <c r="AE209" s="54" t="s">
        <v>290</v>
      </c>
      <c r="AF209" s="54" t="s">
        <v>291</v>
      </c>
      <c r="AG209" s="54" t="s">
        <v>291</v>
      </c>
      <c r="AH209" s="54" t="s">
        <v>290</v>
      </c>
      <c r="AI209" s="60">
        <v>0.05</v>
      </c>
      <c r="AJ209" s="57" t="s">
        <v>291</v>
      </c>
    </row>
    <row r="210" spans="1:36" x14ac:dyDescent="0.45">
      <c r="A210" s="53">
        <v>214</v>
      </c>
      <c r="B210" s="55">
        <v>171</v>
      </c>
      <c r="C210" s="54" t="s">
        <v>597</v>
      </c>
      <c r="D210" s="54"/>
      <c r="E210" s="54"/>
      <c r="F210" s="54" t="s">
        <v>1145</v>
      </c>
      <c r="G210" s="54"/>
      <c r="H210" s="54"/>
      <c r="I210" s="54" t="s">
        <v>1145</v>
      </c>
      <c r="J210" s="54" t="s">
        <v>1146</v>
      </c>
      <c r="K210" s="54" t="s">
        <v>1147</v>
      </c>
      <c r="L210" s="54"/>
      <c r="M210" s="54" t="s">
        <v>1148</v>
      </c>
      <c r="N210" s="54" t="s">
        <v>1149</v>
      </c>
      <c r="O210" s="54"/>
      <c r="P210" s="54"/>
      <c r="Q210" s="54" t="s">
        <v>1149</v>
      </c>
      <c r="R210" s="56">
        <v>1</v>
      </c>
      <c r="S210" s="54">
        <v>1</v>
      </c>
      <c r="T210" s="54" t="s">
        <v>147</v>
      </c>
      <c r="U210" s="54" t="s">
        <v>184</v>
      </c>
      <c r="V210" s="54" t="s">
        <v>1058</v>
      </c>
      <c r="W210" s="54" t="s">
        <v>1058</v>
      </c>
      <c r="X210" s="54" t="s">
        <v>1059</v>
      </c>
      <c r="Y210" s="54"/>
      <c r="Z210" s="54"/>
      <c r="AA210" s="54"/>
      <c r="AB210" s="54" t="s">
        <v>290</v>
      </c>
      <c r="AC210" s="54" t="s">
        <v>290</v>
      </c>
      <c r="AD210" s="54" t="s">
        <v>290</v>
      </c>
      <c r="AE210" s="54" t="s">
        <v>290</v>
      </c>
      <c r="AF210" s="54" t="s">
        <v>291</v>
      </c>
      <c r="AG210" s="54" t="s">
        <v>291</v>
      </c>
      <c r="AH210" s="54" t="s">
        <v>290</v>
      </c>
      <c r="AI210" s="60">
        <v>0.05</v>
      </c>
      <c r="AJ210" s="57" t="s">
        <v>291</v>
      </c>
    </row>
    <row r="211" spans="1:36" x14ac:dyDescent="0.45">
      <c r="A211" s="53">
        <v>215</v>
      </c>
      <c r="B211" s="55">
        <v>159</v>
      </c>
      <c r="C211" s="54" t="s">
        <v>597</v>
      </c>
      <c r="D211" s="54"/>
      <c r="E211" s="54"/>
      <c r="F211" s="54" t="s">
        <v>1150</v>
      </c>
      <c r="G211" s="54"/>
      <c r="H211" s="54"/>
      <c r="I211" s="54" t="s">
        <v>1150</v>
      </c>
      <c r="J211" s="54" t="s">
        <v>1151</v>
      </c>
      <c r="K211" s="54" t="s">
        <v>1124</v>
      </c>
      <c r="L211" s="54"/>
      <c r="M211" s="54" t="s">
        <v>1152</v>
      </c>
      <c r="N211" s="54" t="s">
        <v>1153</v>
      </c>
      <c r="O211" s="54" t="s">
        <v>1105</v>
      </c>
      <c r="P211" s="54"/>
      <c r="Q211" s="54" t="s">
        <v>1154</v>
      </c>
      <c r="R211" s="56">
        <v>1</v>
      </c>
      <c r="S211" s="54">
        <v>1</v>
      </c>
      <c r="T211" s="54" t="s">
        <v>147</v>
      </c>
      <c r="U211" s="54" t="s">
        <v>184</v>
      </c>
      <c r="V211" s="54" t="s">
        <v>1058</v>
      </c>
      <c r="W211" s="54" t="s">
        <v>1058</v>
      </c>
      <c r="X211" s="54" t="s">
        <v>1059</v>
      </c>
      <c r="Y211" s="54"/>
      <c r="Z211" s="54"/>
      <c r="AA211" s="54"/>
      <c r="AB211" s="54" t="s">
        <v>290</v>
      </c>
      <c r="AC211" s="54" t="s">
        <v>290</v>
      </c>
      <c r="AD211" s="54" t="s">
        <v>290</v>
      </c>
      <c r="AE211" s="54" t="s">
        <v>290</v>
      </c>
      <c r="AF211" s="54" t="s">
        <v>291</v>
      </c>
      <c r="AG211" s="54" t="s">
        <v>291</v>
      </c>
      <c r="AH211" s="54" t="s">
        <v>290</v>
      </c>
      <c r="AI211" s="60">
        <v>0.05</v>
      </c>
      <c r="AJ211" s="57" t="s">
        <v>291</v>
      </c>
    </row>
    <row r="212" spans="1:36" x14ac:dyDescent="0.45">
      <c r="A212" s="53">
        <v>216</v>
      </c>
      <c r="B212" s="55">
        <v>137</v>
      </c>
      <c r="C212" s="54" t="s">
        <v>597</v>
      </c>
      <c r="D212" s="54"/>
      <c r="E212" s="55"/>
      <c r="F212" s="54" t="s">
        <v>1155</v>
      </c>
      <c r="G212" s="54" t="s">
        <v>1051</v>
      </c>
      <c r="H212" s="54"/>
      <c r="I212" s="54" t="s">
        <v>1156</v>
      </c>
      <c r="J212" s="54" t="s">
        <v>1157</v>
      </c>
      <c r="K212" s="54" t="s">
        <v>1054</v>
      </c>
      <c r="L212" s="54"/>
      <c r="M212" s="54" t="s">
        <v>1158</v>
      </c>
      <c r="N212" s="54" t="s">
        <v>1159</v>
      </c>
      <c r="O212" s="54" t="s">
        <v>1056</v>
      </c>
      <c r="P212" s="54"/>
      <c r="Q212" s="54" t="s">
        <v>1160</v>
      </c>
      <c r="R212" s="56">
        <v>1</v>
      </c>
      <c r="S212" s="54">
        <v>1</v>
      </c>
      <c r="T212" s="54" t="s">
        <v>147</v>
      </c>
      <c r="U212" s="54" t="s">
        <v>184</v>
      </c>
      <c r="V212" s="54" t="s">
        <v>1058</v>
      </c>
      <c r="W212" s="54" t="s">
        <v>1058</v>
      </c>
      <c r="X212" s="54" t="s">
        <v>1059</v>
      </c>
      <c r="Y212" s="54"/>
      <c r="Z212" s="54"/>
      <c r="AA212" s="54"/>
      <c r="AB212" s="54" t="s">
        <v>290</v>
      </c>
      <c r="AC212" s="54" t="s">
        <v>290</v>
      </c>
      <c r="AD212" s="54" t="s">
        <v>290</v>
      </c>
      <c r="AE212" s="54" t="s">
        <v>290</v>
      </c>
      <c r="AF212" s="54" t="s">
        <v>291</v>
      </c>
      <c r="AG212" s="54" t="s">
        <v>291</v>
      </c>
      <c r="AH212" s="54" t="s">
        <v>290</v>
      </c>
      <c r="AI212" s="60">
        <v>0.05</v>
      </c>
      <c r="AJ212" s="57" t="s">
        <v>291</v>
      </c>
    </row>
    <row r="213" spans="1:36" x14ac:dyDescent="0.45">
      <c r="A213" s="53">
        <v>217</v>
      </c>
      <c r="B213" s="55">
        <v>142</v>
      </c>
      <c r="C213" s="54" t="s">
        <v>597</v>
      </c>
      <c r="D213" s="54"/>
      <c r="E213" s="55"/>
      <c r="F213" s="54" t="s">
        <v>1161</v>
      </c>
      <c r="G213" s="54" t="s">
        <v>1051</v>
      </c>
      <c r="H213" s="54"/>
      <c r="I213" s="54" t="s">
        <v>1162</v>
      </c>
      <c r="J213" s="54" t="s">
        <v>1163</v>
      </c>
      <c r="K213" s="54" t="s">
        <v>1054</v>
      </c>
      <c r="L213" s="54"/>
      <c r="M213" s="54" t="s">
        <v>1164</v>
      </c>
      <c r="N213" s="54" t="s">
        <v>1165</v>
      </c>
      <c r="O213" s="54" t="s">
        <v>1056</v>
      </c>
      <c r="P213" s="54"/>
      <c r="Q213" s="54" t="s">
        <v>1166</v>
      </c>
      <c r="R213" s="56">
        <v>1</v>
      </c>
      <c r="S213" s="54">
        <v>1</v>
      </c>
      <c r="T213" s="54" t="s">
        <v>147</v>
      </c>
      <c r="U213" s="54" t="s">
        <v>184</v>
      </c>
      <c r="V213" s="54" t="s">
        <v>1058</v>
      </c>
      <c r="W213" s="54" t="s">
        <v>1058</v>
      </c>
      <c r="X213" s="54" t="s">
        <v>1059</v>
      </c>
      <c r="Y213" s="54"/>
      <c r="Z213" s="54"/>
      <c r="AA213" s="54"/>
      <c r="AB213" s="54" t="s">
        <v>290</v>
      </c>
      <c r="AC213" s="54" t="s">
        <v>290</v>
      </c>
      <c r="AD213" s="54" t="s">
        <v>290</v>
      </c>
      <c r="AE213" s="54" t="s">
        <v>290</v>
      </c>
      <c r="AF213" s="54" t="s">
        <v>291</v>
      </c>
      <c r="AG213" s="54" t="s">
        <v>291</v>
      </c>
      <c r="AH213" s="54" t="s">
        <v>290</v>
      </c>
      <c r="AI213" s="60">
        <v>0.05</v>
      </c>
      <c r="AJ213" s="57" t="s">
        <v>291</v>
      </c>
    </row>
    <row r="214" spans="1:36" x14ac:dyDescent="0.45">
      <c r="A214" s="53">
        <v>218</v>
      </c>
      <c r="B214" s="54"/>
      <c r="C214" s="54" t="s">
        <v>597</v>
      </c>
      <c r="D214" s="54" t="s">
        <v>94</v>
      </c>
      <c r="E214" s="55">
        <v>2203071000000</v>
      </c>
      <c r="F214" s="54" t="s">
        <v>1167</v>
      </c>
      <c r="G214" s="54" t="s">
        <v>1168</v>
      </c>
      <c r="H214" s="54"/>
      <c r="I214" s="54" t="s">
        <v>1169</v>
      </c>
      <c r="J214" s="54" t="s">
        <v>1170</v>
      </c>
      <c r="K214" s="54" t="s">
        <v>1171</v>
      </c>
      <c r="L214" s="54"/>
      <c r="M214" s="54" t="s">
        <v>1172</v>
      </c>
      <c r="N214" s="54" t="s">
        <v>1173</v>
      </c>
      <c r="O214" s="54" t="s">
        <v>1174</v>
      </c>
      <c r="P214" s="54"/>
      <c r="Q214" s="54" t="s">
        <v>1175</v>
      </c>
      <c r="R214" s="56">
        <v>1</v>
      </c>
      <c r="S214" s="54">
        <v>1</v>
      </c>
      <c r="T214" s="54" t="s">
        <v>147</v>
      </c>
      <c r="U214" s="54" t="s">
        <v>185</v>
      </c>
      <c r="V214" s="54" t="s">
        <v>1058</v>
      </c>
      <c r="W214" s="54" t="s">
        <v>1058</v>
      </c>
      <c r="X214" s="54" t="s">
        <v>1059</v>
      </c>
      <c r="Y214" s="54"/>
      <c r="Z214" s="54"/>
      <c r="AA214" s="54"/>
      <c r="AB214" s="54" t="s">
        <v>290</v>
      </c>
      <c r="AC214" s="54" t="s">
        <v>290</v>
      </c>
      <c r="AD214" s="54" t="s">
        <v>290</v>
      </c>
      <c r="AE214" s="54" t="s">
        <v>290</v>
      </c>
      <c r="AF214" s="54" t="s">
        <v>291</v>
      </c>
      <c r="AG214" s="54" t="s">
        <v>291</v>
      </c>
      <c r="AH214" s="54" t="s">
        <v>290</v>
      </c>
      <c r="AI214" s="60">
        <v>0.05</v>
      </c>
      <c r="AJ214" s="57" t="s">
        <v>291</v>
      </c>
    </row>
    <row r="215" spans="1:36" x14ac:dyDescent="0.45">
      <c r="A215" s="53">
        <v>219</v>
      </c>
      <c r="B215" s="54"/>
      <c r="C215" s="54" t="s">
        <v>597</v>
      </c>
      <c r="D215" s="54" t="s">
        <v>94</v>
      </c>
      <c r="E215" s="55">
        <v>2215861000009</v>
      </c>
      <c r="F215" s="54" t="s">
        <v>1176</v>
      </c>
      <c r="G215" s="54" t="s">
        <v>1168</v>
      </c>
      <c r="H215" s="54"/>
      <c r="I215" s="54" t="s">
        <v>1177</v>
      </c>
      <c r="J215" s="54" t="s">
        <v>1178</v>
      </c>
      <c r="K215" s="54" t="s">
        <v>1171</v>
      </c>
      <c r="L215" s="54"/>
      <c r="M215" s="54" t="s">
        <v>1179</v>
      </c>
      <c r="N215" s="54" t="s">
        <v>1180</v>
      </c>
      <c r="O215" s="54" t="s">
        <v>1174</v>
      </c>
      <c r="P215" s="54"/>
      <c r="Q215" s="54" t="s">
        <v>1181</v>
      </c>
      <c r="R215" s="56">
        <v>1</v>
      </c>
      <c r="S215" s="54">
        <v>1</v>
      </c>
      <c r="T215" s="54" t="s">
        <v>147</v>
      </c>
      <c r="U215" s="54" t="s">
        <v>185</v>
      </c>
      <c r="V215" s="54" t="s">
        <v>1058</v>
      </c>
      <c r="W215" s="54" t="s">
        <v>1058</v>
      </c>
      <c r="X215" s="54" t="s">
        <v>1059</v>
      </c>
      <c r="Y215" s="54"/>
      <c r="Z215" s="54"/>
      <c r="AA215" s="54"/>
      <c r="AB215" s="54" t="s">
        <v>290</v>
      </c>
      <c r="AC215" s="54" t="s">
        <v>290</v>
      </c>
      <c r="AD215" s="54" t="s">
        <v>290</v>
      </c>
      <c r="AE215" s="54" t="s">
        <v>290</v>
      </c>
      <c r="AF215" s="54" t="s">
        <v>291</v>
      </c>
      <c r="AG215" s="54" t="s">
        <v>291</v>
      </c>
      <c r="AH215" s="54" t="s">
        <v>290</v>
      </c>
      <c r="AI215" s="60">
        <v>0.05</v>
      </c>
      <c r="AJ215" s="57" t="s">
        <v>291</v>
      </c>
    </row>
    <row r="216" spans="1:36" x14ac:dyDescent="0.45">
      <c r="A216" s="53">
        <v>220</v>
      </c>
      <c r="B216" s="55">
        <v>134</v>
      </c>
      <c r="C216" s="54" t="s">
        <v>597</v>
      </c>
      <c r="D216" s="54" t="s">
        <v>100</v>
      </c>
      <c r="E216" s="55" t="s">
        <v>1425</v>
      </c>
      <c r="F216" s="54" t="s">
        <v>1182</v>
      </c>
      <c r="G216" s="54" t="s">
        <v>1051</v>
      </c>
      <c r="H216" s="54"/>
      <c r="I216" s="54" t="s">
        <v>1183</v>
      </c>
      <c r="J216" s="54" t="s">
        <v>1184</v>
      </c>
      <c r="K216" s="54" t="s">
        <v>1054</v>
      </c>
      <c r="L216" s="54"/>
      <c r="M216" s="54" t="s">
        <v>1185</v>
      </c>
      <c r="N216" s="54" t="s">
        <v>1186</v>
      </c>
      <c r="O216" s="54" t="s">
        <v>1056</v>
      </c>
      <c r="P216" s="54"/>
      <c r="Q216" s="54" t="s">
        <v>1187</v>
      </c>
      <c r="R216" s="56">
        <v>1</v>
      </c>
      <c r="S216" s="54">
        <v>1</v>
      </c>
      <c r="T216" s="54" t="s">
        <v>147</v>
      </c>
      <c r="U216" s="54" t="s">
        <v>184</v>
      </c>
      <c r="V216" s="54" t="s">
        <v>1058</v>
      </c>
      <c r="W216" s="54" t="s">
        <v>1058</v>
      </c>
      <c r="X216" s="54" t="s">
        <v>1059</v>
      </c>
      <c r="Y216" s="54"/>
      <c r="Z216" s="54"/>
      <c r="AA216" s="54"/>
      <c r="AB216" s="54" t="s">
        <v>290</v>
      </c>
      <c r="AC216" s="54" t="s">
        <v>290</v>
      </c>
      <c r="AD216" s="54" t="s">
        <v>290</v>
      </c>
      <c r="AE216" s="54" t="s">
        <v>290</v>
      </c>
      <c r="AF216" s="54" t="s">
        <v>291</v>
      </c>
      <c r="AG216" s="54" t="s">
        <v>291</v>
      </c>
      <c r="AH216" s="54" t="s">
        <v>290</v>
      </c>
      <c r="AI216" s="60">
        <v>0.05</v>
      </c>
      <c r="AJ216" s="57" t="s">
        <v>291</v>
      </c>
    </row>
    <row r="217" spans="1:36" x14ac:dyDescent="0.45">
      <c r="A217" s="53">
        <v>221</v>
      </c>
      <c r="B217" s="55"/>
      <c r="C217" s="54" t="s">
        <v>597</v>
      </c>
      <c r="D217" s="54" t="s">
        <v>94</v>
      </c>
      <c r="E217" s="55">
        <v>2260561000002</v>
      </c>
      <c r="F217" s="54" t="s">
        <v>1182</v>
      </c>
      <c r="G217" s="54" t="s">
        <v>1168</v>
      </c>
      <c r="H217" s="54"/>
      <c r="I217" s="54" t="s">
        <v>1188</v>
      </c>
      <c r="J217" s="54" t="s">
        <v>1184</v>
      </c>
      <c r="K217" s="54" t="s">
        <v>1171</v>
      </c>
      <c r="L217" s="54"/>
      <c r="M217" s="54" t="s">
        <v>1189</v>
      </c>
      <c r="N217" s="54" t="s">
        <v>1186</v>
      </c>
      <c r="O217" s="54" t="s">
        <v>1174</v>
      </c>
      <c r="P217" s="54"/>
      <c r="Q217" s="54" t="s">
        <v>1190</v>
      </c>
      <c r="R217" s="56">
        <v>1</v>
      </c>
      <c r="S217" s="54">
        <v>1</v>
      </c>
      <c r="T217" s="54" t="s">
        <v>147</v>
      </c>
      <c r="U217" s="54" t="s">
        <v>185</v>
      </c>
      <c r="V217" s="54" t="s">
        <v>1058</v>
      </c>
      <c r="W217" s="54" t="s">
        <v>1058</v>
      </c>
      <c r="X217" s="54" t="s">
        <v>1059</v>
      </c>
      <c r="Y217" s="54"/>
      <c r="Z217" s="54"/>
      <c r="AA217" s="54"/>
      <c r="AB217" s="54" t="s">
        <v>290</v>
      </c>
      <c r="AC217" s="54" t="s">
        <v>290</v>
      </c>
      <c r="AD217" s="54" t="s">
        <v>290</v>
      </c>
      <c r="AE217" s="54" t="s">
        <v>290</v>
      </c>
      <c r="AF217" s="54" t="s">
        <v>291</v>
      </c>
      <c r="AG217" s="54" t="s">
        <v>291</v>
      </c>
      <c r="AH217" s="54" t="s">
        <v>290</v>
      </c>
      <c r="AI217" s="60">
        <v>0.05</v>
      </c>
      <c r="AJ217" s="57" t="s">
        <v>291</v>
      </c>
    </row>
    <row r="218" spans="1:36" x14ac:dyDescent="0.45">
      <c r="A218" s="53">
        <v>222</v>
      </c>
      <c r="B218" s="55"/>
      <c r="C218" s="54" t="s">
        <v>597</v>
      </c>
      <c r="D218" s="54" t="s">
        <v>94</v>
      </c>
      <c r="E218" s="55">
        <v>2287572000000</v>
      </c>
      <c r="F218" s="54" t="s">
        <v>1191</v>
      </c>
      <c r="G218" s="54" t="s">
        <v>1168</v>
      </c>
      <c r="H218" s="54"/>
      <c r="I218" s="54" t="s">
        <v>1192</v>
      </c>
      <c r="J218" s="54" t="s">
        <v>1193</v>
      </c>
      <c r="K218" s="54" t="s">
        <v>1171</v>
      </c>
      <c r="L218" s="54"/>
      <c r="M218" s="54" t="s">
        <v>1194</v>
      </c>
      <c r="N218" s="54" t="s">
        <v>1195</v>
      </c>
      <c r="O218" s="54" t="s">
        <v>1174</v>
      </c>
      <c r="P218" s="54"/>
      <c r="Q218" s="54" t="s">
        <v>1196</v>
      </c>
      <c r="R218" s="56">
        <v>1</v>
      </c>
      <c r="S218" s="54">
        <v>1</v>
      </c>
      <c r="T218" s="54" t="s">
        <v>147</v>
      </c>
      <c r="U218" s="54" t="s">
        <v>185</v>
      </c>
      <c r="V218" s="54" t="s">
        <v>1058</v>
      </c>
      <c r="W218" s="54" t="s">
        <v>1058</v>
      </c>
      <c r="X218" s="54" t="s">
        <v>1059</v>
      </c>
      <c r="Y218" s="54"/>
      <c r="Z218" s="54"/>
      <c r="AA218" s="54"/>
      <c r="AB218" s="54" t="s">
        <v>290</v>
      </c>
      <c r="AC218" s="54" t="s">
        <v>290</v>
      </c>
      <c r="AD218" s="54" t="s">
        <v>290</v>
      </c>
      <c r="AE218" s="54" t="s">
        <v>290</v>
      </c>
      <c r="AF218" s="54" t="s">
        <v>291</v>
      </c>
      <c r="AG218" s="54" t="s">
        <v>291</v>
      </c>
      <c r="AH218" s="54" t="s">
        <v>290</v>
      </c>
      <c r="AI218" s="60">
        <v>0.05</v>
      </c>
      <c r="AJ218" s="57" t="s">
        <v>291</v>
      </c>
    </row>
    <row r="219" spans="1:36" x14ac:dyDescent="0.45">
      <c r="A219" s="53">
        <v>223</v>
      </c>
      <c r="B219" s="55">
        <v>136</v>
      </c>
      <c r="C219" s="54" t="s">
        <v>597</v>
      </c>
      <c r="D219" s="54" t="s">
        <v>100</v>
      </c>
      <c r="E219" s="55" t="s">
        <v>1425</v>
      </c>
      <c r="F219" s="54" t="s">
        <v>1197</v>
      </c>
      <c r="G219" s="54" t="s">
        <v>1051</v>
      </c>
      <c r="H219" s="54"/>
      <c r="I219" s="54" t="s">
        <v>1198</v>
      </c>
      <c r="J219" s="54" t="s">
        <v>1199</v>
      </c>
      <c r="K219" s="54" t="s">
        <v>1054</v>
      </c>
      <c r="L219" s="54"/>
      <c r="M219" s="54" t="s">
        <v>1200</v>
      </c>
      <c r="N219" s="54" t="s">
        <v>1201</v>
      </c>
      <c r="O219" s="54" t="s">
        <v>1056</v>
      </c>
      <c r="P219" s="54"/>
      <c r="Q219" s="54" t="s">
        <v>1202</v>
      </c>
      <c r="R219" s="56">
        <v>1</v>
      </c>
      <c r="S219" s="54">
        <v>1</v>
      </c>
      <c r="T219" s="54" t="s">
        <v>147</v>
      </c>
      <c r="U219" s="54" t="s">
        <v>184</v>
      </c>
      <c r="V219" s="54" t="s">
        <v>1058</v>
      </c>
      <c r="W219" s="54" t="s">
        <v>1058</v>
      </c>
      <c r="X219" s="54" t="s">
        <v>1059</v>
      </c>
      <c r="Y219" s="54"/>
      <c r="Z219" s="54"/>
      <c r="AA219" s="54"/>
      <c r="AB219" s="54" t="s">
        <v>290</v>
      </c>
      <c r="AC219" s="54" t="s">
        <v>290</v>
      </c>
      <c r="AD219" s="54" t="s">
        <v>290</v>
      </c>
      <c r="AE219" s="54" t="s">
        <v>290</v>
      </c>
      <c r="AF219" s="54" t="s">
        <v>291</v>
      </c>
      <c r="AG219" s="54" t="s">
        <v>291</v>
      </c>
      <c r="AH219" s="54" t="s">
        <v>290</v>
      </c>
      <c r="AI219" s="60">
        <v>0.05</v>
      </c>
      <c r="AJ219" s="57" t="s">
        <v>291</v>
      </c>
    </row>
    <row r="220" spans="1:36" x14ac:dyDescent="0.45">
      <c r="A220" s="53">
        <v>224</v>
      </c>
      <c r="B220" s="54"/>
      <c r="C220" s="54" t="s">
        <v>597</v>
      </c>
      <c r="D220" s="54" t="s">
        <v>94</v>
      </c>
      <c r="E220" s="55">
        <v>2216831000005</v>
      </c>
      <c r="F220" s="54" t="s">
        <v>1197</v>
      </c>
      <c r="G220" s="54" t="s">
        <v>1168</v>
      </c>
      <c r="H220" s="54"/>
      <c r="I220" s="54" t="s">
        <v>1203</v>
      </c>
      <c r="J220" s="54" t="s">
        <v>1199</v>
      </c>
      <c r="K220" s="54" t="s">
        <v>1171</v>
      </c>
      <c r="L220" s="54"/>
      <c r="M220" s="54" t="s">
        <v>1204</v>
      </c>
      <c r="N220" s="54" t="s">
        <v>1201</v>
      </c>
      <c r="O220" s="54" t="s">
        <v>1174</v>
      </c>
      <c r="P220" s="54"/>
      <c r="Q220" s="54" t="s">
        <v>1205</v>
      </c>
      <c r="R220" s="56">
        <v>1</v>
      </c>
      <c r="S220" s="54">
        <v>1</v>
      </c>
      <c r="T220" s="54" t="s">
        <v>147</v>
      </c>
      <c r="U220" s="54" t="s">
        <v>185</v>
      </c>
      <c r="V220" s="54" t="s">
        <v>1058</v>
      </c>
      <c r="W220" s="54" t="s">
        <v>1058</v>
      </c>
      <c r="X220" s="54" t="s">
        <v>1059</v>
      </c>
      <c r="Y220" s="54"/>
      <c r="Z220" s="54"/>
      <c r="AA220" s="54"/>
      <c r="AB220" s="54" t="s">
        <v>290</v>
      </c>
      <c r="AC220" s="54" t="s">
        <v>290</v>
      </c>
      <c r="AD220" s="54" t="s">
        <v>290</v>
      </c>
      <c r="AE220" s="54" t="s">
        <v>290</v>
      </c>
      <c r="AF220" s="54" t="s">
        <v>291</v>
      </c>
      <c r="AG220" s="54" t="s">
        <v>291</v>
      </c>
      <c r="AH220" s="54" t="s">
        <v>290</v>
      </c>
      <c r="AI220" s="60">
        <v>0.05</v>
      </c>
      <c r="AJ220" s="57" t="s">
        <v>291</v>
      </c>
    </row>
    <row r="221" spans="1:36" x14ac:dyDescent="0.45">
      <c r="A221" s="53">
        <v>225</v>
      </c>
      <c r="B221" s="54"/>
      <c r="C221" s="54" t="s">
        <v>597</v>
      </c>
      <c r="D221" s="54" t="s">
        <v>94</v>
      </c>
      <c r="E221" s="55">
        <v>2216799000000</v>
      </c>
      <c r="F221" s="54" t="s">
        <v>1206</v>
      </c>
      <c r="G221" s="54" t="s">
        <v>1168</v>
      </c>
      <c r="H221" s="54"/>
      <c r="I221" s="54" t="s">
        <v>1207</v>
      </c>
      <c r="J221" s="54" t="s">
        <v>1208</v>
      </c>
      <c r="K221" s="54" t="s">
        <v>1171</v>
      </c>
      <c r="L221" s="54"/>
      <c r="M221" s="54" t="s">
        <v>1209</v>
      </c>
      <c r="N221" s="54" t="s">
        <v>1210</v>
      </c>
      <c r="O221" s="54" t="s">
        <v>1174</v>
      </c>
      <c r="P221" s="54"/>
      <c r="Q221" s="54" t="s">
        <v>1211</v>
      </c>
      <c r="R221" s="56">
        <v>1</v>
      </c>
      <c r="S221" s="54">
        <v>1</v>
      </c>
      <c r="T221" s="54" t="s">
        <v>147</v>
      </c>
      <c r="U221" s="54" t="s">
        <v>185</v>
      </c>
      <c r="V221" s="54" t="s">
        <v>1058</v>
      </c>
      <c r="W221" s="54" t="s">
        <v>1058</v>
      </c>
      <c r="X221" s="54" t="s">
        <v>1059</v>
      </c>
      <c r="Y221" s="54"/>
      <c r="Z221" s="54"/>
      <c r="AA221" s="54"/>
      <c r="AB221" s="54" t="s">
        <v>290</v>
      </c>
      <c r="AC221" s="54" t="s">
        <v>290</v>
      </c>
      <c r="AD221" s="54" t="s">
        <v>290</v>
      </c>
      <c r="AE221" s="54" t="s">
        <v>290</v>
      </c>
      <c r="AF221" s="54" t="s">
        <v>291</v>
      </c>
      <c r="AG221" s="54" t="s">
        <v>291</v>
      </c>
      <c r="AH221" s="54" t="s">
        <v>290</v>
      </c>
      <c r="AI221" s="60">
        <v>0.05</v>
      </c>
      <c r="AJ221" s="57" t="s">
        <v>291</v>
      </c>
    </row>
    <row r="222" spans="1:36" x14ac:dyDescent="0.45">
      <c r="A222" s="53">
        <v>226</v>
      </c>
      <c r="B222" s="55">
        <v>138</v>
      </c>
      <c r="C222" s="54" t="s">
        <v>597</v>
      </c>
      <c r="D222" s="54" t="s">
        <v>100</v>
      </c>
      <c r="E222" s="55" t="s">
        <v>1425</v>
      </c>
      <c r="F222" s="54" t="s">
        <v>1212</v>
      </c>
      <c r="G222" s="54" t="s">
        <v>1051</v>
      </c>
      <c r="H222" s="54"/>
      <c r="I222" s="54" t="s">
        <v>1213</v>
      </c>
      <c r="J222" s="54" t="s">
        <v>1214</v>
      </c>
      <c r="K222" s="54" t="s">
        <v>1054</v>
      </c>
      <c r="L222" s="54"/>
      <c r="M222" s="54" t="s">
        <v>1215</v>
      </c>
      <c r="N222" s="54" t="s">
        <v>1216</v>
      </c>
      <c r="O222" s="54" t="s">
        <v>1056</v>
      </c>
      <c r="P222" s="54"/>
      <c r="Q222" s="54" t="s">
        <v>1217</v>
      </c>
      <c r="R222" s="56">
        <v>1</v>
      </c>
      <c r="S222" s="54">
        <v>1</v>
      </c>
      <c r="T222" s="54" t="s">
        <v>147</v>
      </c>
      <c r="U222" s="54" t="s">
        <v>184</v>
      </c>
      <c r="V222" s="54" t="s">
        <v>1058</v>
      </c>
      <c r="W222" s="54" t="s">
        <v>1058</v>
      </c>
      <c r="X222" s="54" t="s">
        <v>1059</v>
      </c>
      <c r="Y222" s="54"/>
      <c r="Z222" s="54"/>
      <c r="AA222" s="54"/>
      <c r="AB222" s="54" t="s">
        <v>290</v>
      </c>
      <c r="AC222" s="54" t="s">
        <v>290</v>
      </c>
      <c r="AD222" s="54" t="s">
        <v>290</v>
      </c>
      <c r="AE222" s="54" t="s">
        <v>290</v>
      </c>
      <c r="AF222" s="54" t="s">
        <v>291</v>
      </c>
      <c r="AG222" s="54" t="s">
        <v>291</v>
      </c>
      <c r="AH222" s="54" t="s">
        <v>290</v>
      </c>
      <c r="AI222" s="60">
        <v>0.05</v>
      </c>
      <c r="AJ222" s="57" t="s">
        <v>291</v>
      </c>
    </row>
    <row r="223" spans="1:36" x14ac:dyDescent="0.45">
      <c r="A223" s="53">
        <v>227</v>
      </c>
      <c r="B223" s="54"/>
      <c r="C223" s="54" t="s">
        <v>597</v>
      </c>
      <c r="D223" s="54" t="s">
        <v>94</v>
      </c>
      <c r="E223" s="55">
        <v>2287571000006</v>
      </c>
      <c r="F223" s="54" t="s">
        <v>1212</v>
      </c>
      <c r="G223" s="54" t="s">
        <v>1168</v>
      </c>
      <c r="H223" s="54"/>
      <c r="I223" s="54" t="s">
        <v>1218</v>
      </c>
      <c r="J223" s="54" t="s">
        <v>1214</v>
      </c>
      <c r="K223" s="54" t="s">
        <v>1171</v>
      </c>
      <c r="L223" s="54"/>
      <c r="M223" s="54" t="s">
        <v>1219</v>
      </c>
      <c r="N223" s="54" t="s">
        <v>1216</v>
      </c>
      <c r="O223" s="54" t="s">
        <v>1174</v>
      </c>
      <c r="P223" s="54"/>
      <c r="Q223" s="54" t="s">
        <v>1220</v>
      </c>
      <c r="R223" s="56">
        <v>1</v>
      </c>
      <c r="S223" s="54">
        <v>1</v>
      </c>
      <c r="T223" s="54" t="s">
        <v>147</v>
      </c>
      <c r="U223" s="54" t="s">
        <v>185</v>
      </c>
      <c r="V223" s="54" t="s">
        <v>1058</v>
      </c>
      <c r="W223" s="54" t="s">
        <v>1058</v>
      </c>
      <c r="X223" s="54" t="s">
        <v>1059</v>
      </c>
      <c r="Y223" s="54"/>
      <c r="Z223" s="54"/>
      <c r="AA223" s="54"/>
      <c r="AB223" s="54" t="s">
        <v>290</v>
      </c>
      <c r="AC223" s="54" t="s">
        <v>290</v>
      </c>
      <c r="AD223" s="54" t="s">
        <v>290</v>
      </c>
      <c r="AE223" s="54" t="s">
        <v>290</v>
      </c>
      <c r="AF223" s="54" t="s">
        <v>291</v>
      </c>
      <c r="AG223" s="54" t="s">
        <v>291</v>
      </c>
      <c r="AH223" s="54" t="s">
        <v>290</v>
      </c>
      <c r="AI223" s="60">
        <v>0.05</v>
      </c>
      <c r="AJ223" s="57" t="s">
        <v>291</v>
      </c>
    </row>
    <row r="224" spans="1:36" x14ac:dyDescent="0.45">
      <c r="A224" s="53">
        <v>228</v>
      </c>
      <c r="B224" s="55">
        <v>139</v>
      </c>
      <c r="C224" s="54" t="s">
        <v>597</v>
      </c>
      <c r="D224" s="54" t="s">
        <v>100</v>
      </c>
      <c r="E224" s="55" t="s">
        <v>1425</v>
      </c>
      <c r="F224" s="54" t="s">
        <v>1221</v>
      </c>
      <c r="G224" s="54" t="s">
        <v>1051</v>
      </c>
      <c r="H224" s="54"/>
      <c r="I224" s="54" t="s">
        <v>1222</v>
      </c>
      <c r="J224" s="54" t="s">
        <v>1223</v>
      </c>
      <c r="K224" s="54" t="s">
        <v>1054</v>
      </c>
      <c r="L224" s="54"/>
      <c r="M224" s="54" t="s">
        <v>1224</v>
      </c>
      <c r="N224" s="54" t="s">
        <v>1225</v>
      </c>
      <c r="O224" s="54" t="s">
        <v>1056</v>
      </c>
      <c r="P224" s="54"/>
      <c r="Q224" s="54" t="s">
        <v>1226</v>
      </c>
      <c r="R224" s="56">
        <v>1</v>
      </c>
      <c r="S224" s="54">
        <v>1</v>
      </c>
      <c r="T224" s="54" t="s">
        <v>147</v>
      </c>
      <c r="U224" s="54" t="s">
        <v>184</v>
      </c>
      <c r="V224" s="54" t="s">
        <v>1058</v>
      </c>
      <c r="W224" s="54" t="s">
        <v>1058</v>
      </c>
      <c r="X224" s="54" t="s">
        <v>1059</v>
      </c>
      <c r="Y224" s="54"/>
      <c r="Z224" s="54"/>
      <c r="AA224" s="54"/>
      <c r="AB224" s="54" t="s">
        <v>290</v>
      </c>
      <c r="AC224" s="54" t="s">
        <v>290</v>
      </c>
      <c r="AD224" s="54" t="s">
        <v>290</v>
      </c>
      <c r="AE224" s="54" t="s">
        <v>290</v>
      </c>
      <c r="AF224" s="54" t="s">
        <v>291</v>
      </c>
      <c r="AG224" s="54" t="s">
        <v>291</v>
      </c>
      <c r="AH224" s="54" t="s">
        <v>290</v>
      </c>
      <c r="AI224" s="60">
        <v>0.05</v>
      </c>
      <c r="AJ224" s="57" t="s">
        <v>291</v>
      </c>
    </row>
    <row r="225" spans="1:36" x14ac:dyDescent="0.45">
      <c r="A225" s="53">
        <v>229</v>
      </c>
      <c r="B225" s="54"/>
      <c r="C225" s="54" t="s">
        <v>597</v>
      </c>
      <c r="D225" s="54" t="s">
        <v>94</v>
      </c>
      <c r="E225" s="55">
        <v>2287571000006</v>
      </c>
      <c r="F225" s="54" t="s">
        <v>1221</v>
      </c>
      <c r="G225" s="54" t="s">
        <v>1168</v>
      </c>
      <c r="H225" s="54"/>
      <c r="I225" s="54" t="s">
        <v>1227</v>
      </c>
      <c r="J225" s="54" t="s">
        <v>1223</v>
      </c>
      <c r="K225" s="54" t="s">
        <v>1171</v>
      </c>
      <c r="L225" s="54"/>
      <c r="M225" s="54" t="s">
        <v>1228</v>
      </c>
      <c r="N225" s="54" t="s">
        <v>1225</v>
      </c>
      <c r="O225" s="54" t="s">
        <v>1174</v>
      </c>
      <c r="P225" s="54"/>
      <c r="Q225" s="54" t="s">
        <v>1229</v>
      </c>
      <c r="R225" s="56">
        <v>1</v>
      </c>
      <c r="S225" s="54">
        <v>1</v>
      </c>
      <c r="T225" s="54" t="s">
        <v>147</v>
      </c>
      <c r="U225" s="54" t="s">
        <v>185</v>
      </c>
      <c r="V225" s="54" t="s">
        <v>1058</v>
      </c>
      <c r="W225" s="54" t="s">
        <v>1058</v>
      </c>
      <c r="X225" s="54" t="s">
        <v>1059</v>
      </c>
      <c r="Y225" s="54"/>
      <c r="Z225" s="54"/>
      <c r="AA225" s="54"/>
      <c r="AB225" s="54" t="s">
        <v>290</v>
      </c>
      <c r="AC225" s="54" t="s">
        <v>290</v>
      </c>
      <c r="AD225" s="54" t="s">
        <v>290</v>
      </c>
      <c r="AE225" s="54" t="s">
        <v>290</v>
      </c>
      <c r="AF225" s="54" t="s">
        <v>291</v>
      </c>
      <c r="AG225" s="54" t="s">
        <v>291</v>
      </c>
      <c r="AH225" s="54" t="s">
        <v>290</v>
      </c>
      <c r="AI225" s="60">
        <v>0.05</v>
      </c>
      <c r="AJ225" s="57" t="s">
        <v>291</v>
      </c>
    </row>
    <row r="226" spans="1:36" x14ac:dyDescent="0.45">
      <c r="A226" s="53">
        <v>230</v>
      </c>
      <c r="B226" s="55">
        <v>140</v>
      </c>
      <c r="C226" s="54" t="s">
        <v>597</v>
      </c>
      <c r="D226" s="54" t="s">
        <v>100</v>
      </c>
      <c r="E226" s="55" t="s">
        <v>1425</v>
      </c>
      <c r="F226" s="54" t="s">
        <v>1230</v>
      </c>
      <c r="G226" s="54" t="s">
        <v>1051</v>
      </c>
      <c r="H226" s="54"/>
      <c r="I226" s="54" t="s">
        <v>1231</v>
      </c>
      <c r="J226" s="54" t="s">
        <v>1232</v>
      </c>
      <c r="K226" s="54" t="s">
        <v>1054</v>
      </c>
      <c r="L226" s="54"/>
      <c r="M226" s="54" t="s">
        <v>1233</v>
      </c>
      <c r="N226" s="54" t="s">
        <v>1234</v>
      </c>
      <c r="O226" s="54" t="s">
        <v>1056</v>
      </c>
      <c r="P226" s="54"/>
      <c r="Q226" s="54" t="s">
        <v>1235</v>
      </c>
      <c r="R226" s="56">
        <v>1</v>
      </c>
      <c r="S226" s="54">
        <v>1</v>
      </c>
      <c r="T226" s="54" t="s">
        <v>147</v>
      </c>
      <c r="U226" s="54" t="s">
        <v>184</v>
      </c>
      <c r="V226" s="54" t="s">
        <v>1058</v>
      </c>
      <c r="W226" s="54" t="s">
        <v>1058</v>
      </c>
      <c r="X226" s="54" t="s">
        <v>1059</v>
      </c>
      <c r="Y226" s="54"/>
      <c r="Z226" s="54"/>
      <c r="AA226" s="54"/>
      <c r="AB226" s="54" t="s">
        <v>290</v>
      </c>
      <c r="AC226" s="54" t="s">
        <v>290</v>
      </c>
      <c r="AD226" s="54" t="s">
        <v>290</v>
      </c>
      <c r="AE226" s="54" t="s">
        <v>290</v>
      </c>
      <c r="AF226" s="54" t="s">
        <v>291</v>
      </c>
      <c r="AG226" s="54" t="s">
        <v>291</v>
      </c>
      <c r="AH226" s="54" t="s">
        <v>290</v>
      </c>
      <c r="AI226" s="60">
        <v>0.05</v>
      </c>
      <c r="AJ226" s="57" t="s">
        <v>291</v>
      </c>
    </row>
    <row r="227" spans="1:36" x14ac:dyDescent="0.45">
      <c r="A227" s="53">
        <v>231</v>
      </c>
      <c r="B227" s="54"/>
      <c r="C227" s="54" t="s">
        <v>597</v>
      </c>
      <c r="D227" s="54" t="s">
        <v>94</v>
      </c>
      <c r="E227" s="55">
        <v>2216791000008</v>
      </c>
      <c r="F227" s="54" t="s">
        <v>1230</v>
      </c>
      <c r="G227" s="54" t="s">
        <v>1168</v>
      </c>
      <c r="H227" s="54"/>
      <c r="I227" s="54" t="s">
        <v>1236</v>
      </c>
      <c r="J227" s="54" t="s">
        <v>1232</v>
      </c>
      <c r="K227" s="54" t="s">
        <v>1171</v>
      </c>
      <c r="L227" s="54"/>
      <c r="M227" s="54" t="s">
        <v>1237</v>
      </c>
      <c r="N227" s="54" t="s">
        <v>1234</v>
      </c>
      <c r="O227" s="54" t="s">
        <v>1174</v>
      </c>
      <c r="P227" s="54"/>
      <c r="Q227" s="54" t="s">
        <v>1238</v>
      </c>
      <c r="R227" s="56">
        <v>1</v>
      </c>
      <c r="S227" s="54">
        <v>1</v>
      </c>
      <c r="T227" s="54" t="s">
        <v>147</v>
      </c>
      <c r="U227" s="54" t="s">
        <v>185</v>
      </c>
      <c r="V227" s="54" t="s">
        <v>1058</v>
      </c>
      <c r="W227" s="54" t="s">
        <v>1058</v>
      </c>
      <c r="X227" s="54" t="s">
        <v>1059</v>
      </c>
      <c r="Y227" s="54"/>
      <c r="Z227" s="54"/>
      <c r="AA227" s="54"/>
      <c r="AB227" s="54" t="s">
        <v>290</v>
      </c>
      <c r="AC227" s="54" t="s">
        <v>290</v>
      </c>
      <c r="AD227" s="54" t="s">
        <v>290</v>
      </c>
      <c r="AE227" s="54" t="s">
        <v>290</v>
      </c>
      <c r="AF227" s="54" t="s">
        <v>291</v>
      </c>
      <c r="AG227" s="54" t="s">
        <v>291</v>
      </c>
      <c r="AH227" s="54" t="s">
        <v>290</v>
      </c>
      <c r="AI227" s="60">
        <v>0.05</v>
      </c>
      <c r="AJ227" s="57" t="s">
        <v>291</v>
      </c>
    </row>
    <row r="228" spans="1:36" x14ac:dyDescent="0.45">
      <c r="A228" s="53">
        <v>232</v>
      </c>
      <c r="B228" s="55">
        <v>141</v>
      </c>
      <c r="C228" s="54" t="s">
        <v>597</v>
      </c>
      <c r="D228" s="54" t="s">
        <v>100</v>
      </c>
      <c r="E228" s="55" t="s">
        <v>1425</v>
      </c>
      <c r="F228" s="54" t="s">
        <v>1239</v>
      </c>
      <c r="G228" s="54" t="s">
        <v>1051</v>
      </c>
      <c r="H228" s="54"/>
      <c r="I228" s="54" t="s">
        <v>1240</v>
      </c>
      <c r="J228" s="54" t="s">
        <v>1241</v>
      </c>
      <c r="K228" s="54" t="s">
        <v>1054</v>
      </c>
      <c r="L228" s="54"/>
      <c r="M228" s="54" t="s">
        <v>1242</v>
      </c>
      <c r="N228" s="54" t="s">
        <v>1243</v>
      </c>
      <c r="O228" s="54" t="s">
        <v>1056</v>
      </c>
      <c r="P228" s="54"/>
      <c r="Q228" s="54" t="s">
        <v>1244</v>
      </c>
      <c r="R228" s="56">
        <v>1</v>
      </c>
      <c r="S228" s="54">
        <v>1</v>
      </c>
      <c r="T228" s="54" t="s">
        <v>147</v>
      </c>
      <c r="U228" s="54" t="s">
        <v>184</v>
      </c>
      <c r="V228" s="54" t="s">
        <v>1058</v>
      </c>
      <c r="W228" s="54" t="s">
        <v>1058</v>
      </c>
      <c r="X228" s="54" t="s">
        <v>1059</v>
      </c>
      <c r="Y228" s="54"/>
      <c r="Z228" s="54"/>
      <c r="AA228" s="54"/>
      <c r="AB228" s="54" t="s">
        <v>290</v>
      </c>
      <c r="AC228" s="54" t="s">
        <v>290</v>
      </c>
      <c r="AD228" s="54" t="s">
        <v>290</v>
      </c>
      <c r="AE228" s="54" t="s">
        <v>290</v>
      </c>
      <c r="AF228" s="54" t="s">
        <v>291</v>
      </c>
      <c r="AG228" s="54" t="s">
        <v>291</v>
      </c>
      <c r="AH228" s="54" t="s">
        <v>290</v>
      </c>
      <c r="AI228" s="60">
        <v>0.05</v>
      </c>
      <c r="AJ228" s="57" t="s">
        <v>291</v>
      </c>
    </row>
    <row r="229" spans="1:36" x14ac:dyDescent="0.45">
      <c r="A229" s="53">
        <v>233</v>
      </c>
      <c r="B229" s="54"/>
      <c r="C229" s="54" t="s">
        <v>597</v>
      </c>
      <c r="D229" s="54" t="s">
        <v>94</v>
      </c>
      <c r="E229" s="55">
        <v>2213811000000</v>
      </c>
      <c r="F229" s="54" t="s">
        <v>1245</v>
      </c>
      <c r="G229" s="54" t="s">
        <v>1168</v>
      </c>
      <c r="H229" s="54"/>
      <c r="I229" s="54" t="s">
        <v>1246</v>
      </c>
      <c r="J229" s="54" t="s">
        <v>1247</v>
      </c>
      <c r="K229" s="54" t="s">
        <v>1171</v>
      </c>
      <c r="L229" s="54"/>
      <c r="M229" s="54" t="s">
        <v>1248</v>
      </c>
      <c r="N229" s="54" t="s">
        <v>1249</v>
      </c>
      <c r="O229" s="54" t="s">
        <v>1174</v>
      </c>
      <c r="P229" s="54"/>
      <c r="Q229" s="54" t="s">
        <v>1250</v>
      </c>
      <c r="R229" s="56">
        <v>1</v>
      </c>
      <c r="S229" s="54">
        <v>1</v>
      </c>
      <c r="T229" s="54" t="s">
        <v>147</v>
      </c>
      <c r="U229" s="54" t="s">
        <v>185</v>
      </c>
      <c r="V229" s="54" t="s">
        <v>1058</v>
      </c>
      <c r="W229" s="54" t="s">
        <v>1058</v>
      </c>
      <c r="X229" s="54" t="s">
        <v>1059</v>
      </c>
      <c r="Y229" s="54"/>
      <c r="Z229" s="54"/>
      <c r="AA229" s="54"/>
      <c r="AB229" s="54" t="s">
        <v>290</v>
      </c>
      <c r="AC229" s="54" t="s">
        <v>290</v>
      </c>
      <c r="AD229" s="54" t="s">
        <v>290</v>
      </c>
      <c r="AE229" s="54" t="s">
        <v>290</v>
      </c>
      <c r="AF229" s="54" t="s">
        <v>291</v>
      </c>
      <c r="AG229" s="54" t="s">
        <v>291</v>
      </c>
      <c r="AH229" s="54" t="s">
        <v>290</v>
      </c>
      <c r="AI229" s="60">
        <v>0.05</v>
      </c>
      <c r="AJ229" s="57" t="s">
        <v>291</v>
      </c>
    </row>
    <row r="230" spans="1:36" x14ac:dyDescent="0.45">
      <c r="A230" s="53">
        <v>234</v>
      </c>
      <c r="B230" s="55">
        <v>147</v>
      </c>
      <c r="C230" s="54" t="s">
        <v>597</v>
      </c>
      <c r="D230" s="54"/>
      <c r="E230" s="54"/>
      <c r="F230" s="54" t="s">
        <v>1251</v>
      </c>
      <c r="G230" s="54"/>
      <c r="H230" s="54"/>
      <c r="I230" s="54" t="s">
        <v>1251</v>
      </c>
      <c r="J230" s="54" t="s">
        <v>1252</v>
      </c>
      <c r="K230" s="54" t="s">
        <v>1124</v>
      </c>
      <c r="L230" s="54"/>
      <c r="M230" s="54" t="s">
        <v>1253</v>
      </c>
      <c r="N230" s="54" t="s">
        <v>1254</v>
      </c>
      <c r="O230" s="54" t="s">
        <v>1105</v>
      </c>
      <c r="P230" s="54"/>
      <c r="Q230" s="54" t="s">
        <v>1255</v>
      </c>
      <c r="R230" s="56">
        <v>1</v>
      </c>
      <c r="S230" s="54">
        <v>1</v>
      </c>
      <c r="T230" s="54" t="s">
        <v>147</v>
      </c>
      <c r="U230" s="54" t="s">
        <v>184</v>
      </c>
      <c r="V230" s="54" t="s">
        <v>1058</v>
      </c>
      <c r="W230" s="54" t="s">
        <v>1058</v>
      </c>
      <c r="X230" s="54" t="s">
        <v>1059</v>
      </c>
      <c r="Y230" s="54"/>
      <c r="Z230" s="54"/>
      <c r="AA230" s="54"/>
      <c r="AB230" s="54" t="s">
        <v>290</v>
      </c>
      <c r="AC230" s="54" t="s">
        <v>290</v>
      </c>
      <c r="AD230" s="54" t="s">
        <v>290</v>
      </c>
      <c r="AE230" s="54" t="s">
        <v>290</v>
      </c>
      <c r="AF230" s="54" t="s">
        <v>291</v>
      </c>
      <c r="AG230" s="54" t="s">
        <v>291</v>
      </c>
      <c r="AH230" s="54" t="s">
        <v>290</v>
      </c>
      <c r="AI230" s="60">
        <v>0.05</v>
      </c>
      <c r="AJ230" s="57" t="s">
        <v>291</v>
      </c>
    </row>
    <row r="231" spans="1:36" x14ac:dyDescent="0.45">
      <c r="A231" s="53">
        <v>235</v>
      </c>
      <c r="B231" s="55">
        <v>144</v>
      </c>
      <c r="C231" s="54" t="s">
        <v>597</v>
      </c>
      <c r="D231" s="54" t="s">
        <v>100</v>
      </c>
      <c r="E231" s="55" t="s">
        <v>1425</v>
      </c>
      <c r="F231" s="54" t="s">
        <v>1256</v>
      </c>
      <c r="G231" s="54" t="s">
        <v>1051</v>
      </c>
      <c r="H231" s="54"/>
      <c r="I231" s="54" t="s">
        <v>1257</v>
      </c>
      <c r="J231" s="54" t="s">
        <v>1258</v>
      </c>
      <c r="K231" s="54" t="s">
        <v>1054</v>
      </c>
      <c r="L231" s="54"/>
      <c r="M231" s="54" t="s">
        <v>1259</v>
      </c>
      <c r="N231" s="54" t="s">
        <v>1260</v>
      </c>
      <c r="O231" s="54" t="s">
        <v>1056</v>
      </c>
      <c r="P231" s="54"/>
      <c r="Q231" s="54" t="s">
        <v>1261</v>
      </c>
      <c r="R231" s="56">
        <v>1</v>
      </c>
      <c r="S231" s="54">
        <v>1</v>
      </c>
      <c r="T231" s="54" t="s">
        <v>147</v>
      </c>
      <c r="U231" s="54" t="s">
        <v>184</v>
      </c>
      <c r="V231" s="54" t="s">
        <v>1058</v>
      </c>
      <c r="W231" s="54" t="s">
        <v>1058</v>
      </c>
      <c r="X231" s="54" t="s">
        <v>1059</v>
      </c>
      <c r="Y231" s="54"/>
      <c r="Z231" s="54"/>
      <c r="AA231" s="54"/>
      <c r="AB231" s="54" t="s">
        <v>290</v>
      </c>
      <c r="AC231" s="54" t="s">
        <v>290</v>
      </c>
      <c r="AD231" s="54" t="s">
        <v>290</v>
      </c>
      <c r="AE231" s="54" t="s">
        <v>290</v>
      </c>
      <c r="AF231" s="54" t="s">
        <v>291</v>
      </c>
      <c r="AG231" s="54" t="s">
        <v>291</v>
      </c>
      <c r="AH231" s="54" t="s">
        <v>290</v>
      </c>
      <c r="AI231" s="60">
        <v>0.05</v>
      </c>
      <c r="AJ231" s="57" t="s">
        <v>291</v>
      </c>
    </row>
    <row r="232" spans="1:36" x14ac:dyDescent="0.45">
      <c r="A232" s="53">
        <v>236</v>
      </c>
      <c r="B232" s="54"/>
      <c r="C232" s="54" t="s">
        <v>597</v>
      </c>
      <c r="D232" s="54" t="s">
        <v>94</v>
      </c>
      <c r="E232" s="55">
        <v>2216921000007</v>
      </c>
      <c r="F232" s="54" t="s">
        <v>1256</v>
      </c>
      <c r="G232" s="54" t="s">
        <v>1168</v>
      </c>
      <c r="H232" s="54"/>
      <c r="I232" s="54" t="s">
        <v>1262</v>
      </c>
      <c r="J232" s="54" t="s">
        <v>1258</v>
      </c>
      <c r="K232" s="54" t="s">
        <v>1171</v>
      </c>
      <c r="L232" s="54"/>
      <c r="M232" s="54" t="s">
        <v>1263</v>
      </c>
      <c r="N232" s="54" t="s">
        <v>1260</v>
      </c>
      <c r="O232" s="54" t="s">
        <v>1174</v>
      </c>
      <c r="P232" s="54"/>
      <c r="Q232" s="54" t="s">
        <v>1264</v>
      </c>
      <c r="R232" s="56">
        <v>1</v>
      </c>
      <c r="S232" s="54">
        <v>1</v>
      </c>
      <c r="T232" s="54" t="s">
        <v>147</v>
      </c>
      <c r="U232" s="54" t="s">
        <v>185</v>
      </c>
      <c r="V232" s="54" t="s">
        <v>1058</v>
      </c>
      <c r="W232" s="54" t="s">
        <v>1058</v>
      </c>
      <c r="X232" s="54" t="s">
        <v>1059</v>
      </c>
      <c r="Y232" s="54"/>
      <c r="Z232" s="54"/>
      <c r="AA232" s="54"/>
      <c r="AB232" s="54" t="s">
        <v>290</v>
      </c>
      <c r="AC232" s="54" t="s">
        <v>290</v>
      </c>
      <c r="AD232" s="54" t="s">
        <v>290</v>
      </c>
      <c r="AE232" s="54" t="s">
        <v>290</v>
      </c>
      <c r="AF232" s="54" t="s">
        <v>291</v>
      </c>
      <c r="AG232" s="54" t="s">
        <v>291</v>
      </c>
      <c r="AH232" s="54" t="s">
        <v>290</v>
      </c>
      <c r="AI232" s="60">
        <v>0.05</v>
      </c>
      <c r="AJ232" s="57" t="s">
        <v>291</v>
      </c>
    </row>
    <row r="233" spans="1:36" x14ac:dyDescent="0.45">
      <c r="A233" s="53">
        <v>237</v>
      </c>
      <c r="B233" s="55">
        <v>145</v>
      </c>
      <c r="C233" s="54" t="s">
        <v>597</v>
      </c>
      <c r="D233" s="54" t="s">
        <v>100</v>
      </c>
      <c r="E233" s="55" t="s">
        <v>1425</v>
      </c>
      <c r="F233" s="54" t="s">
        <v>1265</v>
      </c>
      <c r="G233" s="54" t="s">
        <v>1051</v>
      </c>
      <c r="H233" s="54"/>
      <c r="I233" s="54" t="s">
        <v>1266</v>
      </c>
      <c r="J233" s="54" t="s">
        <v>1267</v>
      </c>
      <c r="K233" s="54" t="s">
        <v>1054</v>
      </c>
      <c r="L233" s="54"/>
      <c r="M233" s="54" t="s">
        <v>1268</v>
      </c>
      <c r="N233" s="54" t="s">
        <v>1269</v>
      </c>
      <c r="O233" s="54" t="s">
        <v>1056</v>
      </c>
      <c r="P233" s="54"/>
      <c r="Q233" s="54" t="s">
        <v>1270</v>
      </c>
      <c r="R233" s="56">
        <v>1</v>
      </c>
      <c r="S233" s="54">
        <v>1</v>
      </c>
      <c r="T233" s="54" t="s">
        <v>147</v>
      </c>
      <c r="U233" s="54" t="s">
        <v>184</v>
      </c>
      <c r="V233" s="54" t="s">
        <v>1058</v>
      </c>
      <c r="W233" s="54" t="s">
        <v>1058</v>
      </c>
      <c r="X233" s="54" t="s">
        <v>1059</v>
      </c>
      <c r="Y233" s="54"/>
      <c r="Z233" s="54"/>
      <c r="AA233" s="54"/>
      <c r="AB233" s="54" t="s">
        <v>290</v>
      </c>
      <c r="AC233" s="54" t="s">
        <v>290</v>
      </c>
      <c r="AD233" s="54" t="s">
        <v>290</v>
      </c>
      <c r="AE233" s="54" t="s">
        <v>290</v>
      </c>
      <c r="AF233" s="54" t="s">
        <v>291</v>
      </c>
      <c r="AG233" s="54" t="s">
        <v>291</v>
      </c>
      <c r="AH233" s="54" t="s">
        <v>290</v>
      </c>
      <c r="AI233" s="60">
        <v>0.05</v>
      </c>
      <c r="AJ233" s="57" t="s">
        <v>291</v>
      </c>
    </row>
    <row r="234" spans="1:36" x14ac:dyDescent="0.45">
      <c r="A234" s="53">
        <v>238</v>
      </c>
      <c r="B234" s="54"/>
      <c r="C234" s="54" t="s">
        <v>597</v>
      </c>
      <c r="D234" s="54" t="s">
        <v>94</v>
      </c>
      <c r="E234" s="55">
        <v>2287571000006</v>
      </c>
      <c r="F234" s="54" t="s">
        <v>1271</v>
      </c>
      <c r="G234" s="54" t="s">
        <v>1168</v>
      </c>
      <c r="H234" s="54"/>
      <c r="I234" s="54" t="s">
        <v>1272</v>
      </c>
      <c r="J234" s="54" t="s">
        <v>1273</v>
      </c>
      <c r="K234" s="54" t="s">
        <v>1171</v>
      </c>
      <c r="L234" s="54"/>
      <c r="M234" s="54" t="s">
        <v>1274</v>
      </c>
      <c r="N234" s="54" t="s">
        <v>1275</v>
      </c>
      <c r="O234" s="54" t="s">
        <v>1174</v>
      </c>
      <c r="P234" s="54"/>
      <c r="Q234" s="54" t="s">
        <v>1276</v>
      </c>
      <c r="R234" s="56">
        <v>1</v>
      </c>
      <c r="S234" s="54">
        <v>1</v>
      </c>
      <c r="T234" s="54" t="s">
        <v>147</v>
      </c>
      <c r="U234" s="54" t="s">
        <v>185</v>
      </c>
      <c r="V234" s="54" t="s">
        <v>1058</v>
      </c>
      <c r="W234" s="54" t="s">
        <v>1058</v>
      </c>
      <c r="X234" s="54" t="s">
        <v>1059</v>
      </c>
      <c r="Y234" s="54"/>
      <c r="Z234" s="54"/>
      <c r="AA234" s="54"/>
      <c r="AB234" s="54" t="s">
        <v>290</v>
      </c>
      <c r="AC234" s="54" t="s">
        <v>290</v>
      </c>
      <c r="AD234" s="54" t="s">
        <v>290</v>
      </c>
      <c r="AE234" s="54" t="s">
        <v>290</v>
      </c>
      <c r="AF234" s="54" t="s">
        <v>291</v>
      </c>
      <c r="AG234" s="54" t="s">
        <v>291</v>
      </c>
      <c r="AH234" s="54" t="s">
        <v>290</v>
      </c>
      <c r="AI234" s="60">
        <v>0.05</v>
      </c>
      <c r="AJ234" s="57" t="s">
        <v>291</v>
      </c>
    </row>
    <row r="235" spans="1:36" x14ac:dyDescent="0.45">
      <c r="A235" s="53">
        <v>239</v>
      </c>
      <c r="B235" s="54"/>
      <c r="C235" s="54" t="s">
        <v>597</v>
      </c>
      <c r="D235" s="54" t="s">
        <v>94</v>
      </c>
      <c r="E235" s="55">
        <v>2215881000000</v>
      </c>
      <c r="F235" s="54" t="s">
        <v>1277</v>
      </c>
      <c r="G235" s="54" t="s">
        <v>1168</v>
      </c>
      <c r="H235" s="54"/>
      <c r="I235" s="54" t="s">
        <v>1278</v>
      </c>
      <c r="J235" s="54" t="s">
        <v>1279</v>
      </c>
      <c r="K235" s="54" t="s">
        <v>1171</v>
      </c>
      <c r="L235" s="54"/>
      <c r="M235" s="54" t="s">
        <v>1280</v>
      </c>
      <c r="N235" s="54" t="s">
        <v>1281</v>
      </c>
      <c r="O235" s="54" t="s">
        <v>1174</v>
      </c>
      <c r="P235" s="54"/>
      <c r="Q235" s="54" t="s">
        <v>1282</v>
      </c>
      <c r="R235" s="56">
        <v>1</v>
      </c>
      <c r="S235" s="54">
        <v>1</v>
      </c>
      <c r="T235" s="54" t="s">
        <v>147</v>
      </c>
      <c r="U235" s="54" t="s">
        <v>185</v>
      </c>
      <c r="V235" s="54" t="s">
        <v>1058</v>
      </c>
      <c r="W235" s="54" t="s">
        <v>1058</v>
      </c>
      <c r="X235" s="54" t="s">
        <v>1059</v>
      </c>
      <c r="Y235" s="54"/>
      <c r="Z235" s="54"/>
      <c r="AA235" s="54"/>
      <c r="AB235" s="54" t="s">
        <v>290</v>
      </c>
      <c r="AC235" s="54" t="s">
        <v>290</v>
      </c>
      <c r="AD235" s="54" t="s">
        <v>290</v>
      </c>
      <c r="AE235" s="54" t="s">
        <v>290</v>
      </c>
      <c r="AF235" s="54" t="s">
        <v>291</v>
      </c>
      <c r="AG235" s="54" t="s">
        <v>291</v>
      </c>
      <c r="AH235" s="54" t="s">
        <v>290</v>
      </c>
      <c r="AI235" s="60">
        <v>0.05</v>
      </c>
      <c r="AJ235" s="57" t="s">
        <v>291</v>
      </c>
    </row>
    <row r="236" spans="1:36" x14ac:dyDescent="0.45">
      <c r="A236" s="53">
        <v>240</v>
      </c>
      <c r="B236" s="55">
        <v>146</v>
      </c>
      <c r="C236" s="54" t="s">
        <v>597</v>
      </c>
      <c r="D236" s="54" t="s">
        <v>100</v>
      </c>
      <c r="E236" s="55" t="s">
        <v>1425</v>
      </c>
      <c r="F236" s="54" t="s">
        <v>1283</v>
      </c>
      <c r="G236" s="54" t="s">
        <v>1051</v>
      </c>
      <c r="H236" s="54"/>
      <c r="I236" s="54" t="s">
        <v>1284</v>
      </c>
      <c r="J236" s="54" t="s">
        <v>1285</v>
      </c>
      <c r="K236" s="54" t="s">
        <v>1054</v>
      </c>
      <c r="L236" s="54"/>
      <c r="M236" s="54" t="s">
        <v>1286</v>
      </c>
      <c r="N236" s="54" t="s">
        <v>1287</v>
      </c>
      <c r="O236" s="54" t="s">
        <v>1056</v>
      </c>
      <c r="P236" s="54"/>
      <c r="Q236" s="54" t="s">
        <v>1288</v>
      </c>
      <c r="R236" s="56">
        <v>1</v>
      </c>
      <c r="S236" s="54">
        <v>1</v>
      </c>
      <c r="T236" s="54" t="s">
        <v>147</v>
      </c>
      <c r="U236" s="54" t="s">
        <v>184</v>
      </c>
      <c r="V236" s="54" t="s">
        <v>1058</v>
      </c>
      <c r="W236" s="54" t="s">
        <v>1058</v>
      </c>
      <c r="X236" s="54" t="s">
        <v>1059</v>
      </c>
      <c r="Y236" s="54"/>
      <c r="Z236" s="54"/>
      <c r="AA236" s="54"/>
      <c r="AB236" s="54" t="s">
        <v>290</v>
      </c>
      <c r="AC236" s="54" t="s">
        <v>290</v>
      </c>
      <c r="AD236" s="54" t="s">
        <v>290</v>
      </c>
      <c r="AE236" s="54" t="s">
        <v>290</v>
      </c>
      <c r="AF236" s="54" t="s">
        <v>291</v>
      </c>
      <c r="AG236" s="54" t="s">
        <v>291</v>
      </c>
      <c r="AH236" s="54" t="s">
        <v>290</v>
      </c>
      <c r="AI236" s="60">
        <v>0.05</v>
      </c>
      <c r="AJ236" s="57" t="s">
        <v>291</v>
      </c>
    </row>
    <row r="237" spans="1:36" x14ac:dyDescent="0.45">
      <c r="A237" s="53">
        <v>241</v>
      </c>
      <c r="B237" s="54"/>
      <c r="C237" s="54" t="s">
        <v>597</v>
      </c>
      <c r="D237" s="54" t="s">
        <v>94</v>
      </c>
      <c r="E237" s="55">
        <v>2215861000009</v>
      </c>
      <c r="F237" s="54" t="s">
        <v>1283</v>
      </c>
      <c r="G237" s="54" t="s">
        <v>1168</v>
      </c>
      <c r="H237" s="54"/>
      <c r="I237" s="54" t="s">
        <v>1289</v>
      </c>
      <c r="J237" s="54" t="s">
        <v>1285</v>
      </c>
      <c r="K237" s="54" t="s">
        <v>1171</v>
      </c>
      <c r="L237" s="54"/>
      <c r="M237" s="54" t="s">
        <v>1290</v>
      </c>
      <c r="N237" s="54" t="s">
        <v>1287</v>
      </c>
      <c r="O237" s="54" t="s">
        <v>1174</v>
      </c>
      <c r="P237" s="54"/>
      <c r="Q237" s="54" t="s">
        <v>1291</v>
      </c>
      <c r="R237" s="56">
        <v>1</v>
      </c>
      <c r="S237" s="54">
        <v>1</v>
      </c>
      <c r="T237" s="54" t="s">
        <v>147</v>
      </c>
      <c r="U237" s="54" t="s">
        <v>185</v>
      </c>
      <c r="V237" s="54" t="s">
        <v>1058</v>
      </c>
      <c r="W237" s="54" t="s">
        <v>1058</v>
      </c>
      <c r="X237" s="54" t="s">
        <v>1059</v>
      </c>
      <c r="Y237" s="54"/>
      <c r="Z237" s="54"/>
      <c r="AA237" s="54"/>
      <c r="AB237" s="54" t="s">
        <v>290</v>
      </c>
      <c r="AC237" s="54" t="s">
        <v>290</v>
      </c>
      <c r="AD237" s="54" t="s">
        <v>290</v>
      </c>
      <c r="AE237" s="54" t="s">
        <v>290</v>
      </c>
      <c r="AF237" s="54" t="s">
        <v>291</v>
      </c>
      <c r="AG237" s="54" t="s">
        <v>291</v>
      </c>
      <c r="AH237" s="54" t="s">
        <v>290</v>
      </c>
      <c r="AI237" s="60">
        <v>0.05</v>
      </c>
      <c r="AJ237" s="57" t="s">
        <v>291</v>
      </c>
    </row>
    <row r="238" spans="1:36" x14ac:dyDescent="0.45">
      <c r="A238" s="53">
        <v>242</v>
      </c>
      <c r="B238" s="54"/>
      <c r="C238" s="54" t="s">
        <v>279</v>
      </c>
      <c r="D238" s="54" t="s">
        <v>94</v>
      </c>
      <c r="E238" s="55">
        <v>2215861000009</v>
      </c>
      <c r="F238" s="54" t="s">
        <v>1292</v>
      </c>
      <c r="G238" s="54" t="s">
        <v>1051</v>
      </c>
      <c r="H238" s="54" t="s">
        <v>298</v>
      </c>
      <c r="I238" s="54" t="s">
        <v>1293</v>
      </c>
      <c r="J238" s="54" t="s">
        <v>1294</v>
      </c>
      <c r="K238" s="54" t="s">
        <v>1054</v>
      </c>
      <c r="L238" s="54" t="s">
        <v>298</v>
      </c>
      <c r="M238" s="54" t="s">
        <v>1295</v>
      </c>
      <c r="N238" s="54" t="s">
        <v>1296</v>
      </c>
      <c r="O238" s="54" t="s">
        <v>1056</v>
      </c>
      <c r="P238" s="54" t="s">
        <v>298</v>
      </c>
      <c r="Q238" s="54" t="s">
        <v>1297</v>
      </c>
      <c r="R238" s="56">
        <v>0.5</v>
      </c>
      <c r="S238" s="54">
        <v>1</v>
      </c>
      <c r="T238" s="54" t="s">
        <v>147</v>
      </c>
      <c r="U238" s="54" t="s">
        <v>185</v>
      </c>
      <c r="V238" s="54" t="s">
        <v>1058</v>
      </c>
      <c r="W238" s="54" t="s">
        <v>1058</v>
      </c>
      <c r="X238" s="54" t="s">
        <v>1059</v>
      </c>
      <c r="Y238" s="54"/>
      <c r="Z238" s="54"/>
      <c r="AA238" s="54"/>
      <c r="AB238" s="54" t="s">
        <v>290</v>
      </c>
      <c r="AC238" s="54" t="s">
        <v>290</v>
      </c>
      <c r="AD238" s="54" t="s">
        <v>290</v>
      </c>
      <c r="AE238" s="54" t="s">
        <v>290</v>
      </c>
      <c r="AF238" s="54" t="s">
        <v>291</v>
      </c>
      <c r="AG238" s="54" t="s">
        <v>291</v>
      </c>
      <c r="AH238" s="54" t="s">
        <v>290</v>
      </c>
      <c r="AI238" s="60">
        <v>0.05</v>
      </c>
      <c r="AJ238" s="57" t="s">
        <v>291</v>
      </c>
    </row>
    <row r="239" spans="1:36" x14ac:dyDescent="0.45">
      <c r="A239" s="53">
        <v>243</v>
      </c>
      <c r="B239" s="55">
        <v>158</v>
      </c>
      <c r="C239" s="54" t="s">
        <v>597</v>
      </c>
      <c r="D239" s="54"/>
      <c r="E239" s="55"/>
      <c r="F239" s="54" t="s">
        <v>1298</v>
      </c>
      <c r="G239" s="54" t="s">
        <v>1299</v>
      </c>
      <c r="H239" s="54"/>
      <c r="I239" s="54" t="s">
        <v>1300</v>
      </c>
      <c r="J239" s="54" t="s">
        <v>1301</v>
      </c>
      <c r="K239" s="54" t="s">
        <v>1302</v>
      </c>
      <c r="L239" s="54"/>
      <c r="M239" s="54" t="s">
        <v>1303</v>
      </c>
      <c r="N239" s="54" t="s">
        <v>1304</v>
      </c>
      <c r="O239" s="54" t="s">
        <v>1305</v>
      </c>
      <c r="P239" s="54"/>
      <c r="Q239" s="54" t="s">
        <v>1306</v>
      </c>
      <c r="R239" s="56">
        <v>1</v>
      </c>
      <c r="S239" s="54">
        <v>1</v>
      </c>
      <c r="T239" s="54" t="s">
        <v>147</v>
      </c>
      <c r="U239" s="54" t="s">
        <v>184</v>
      </c>
      <c r="V239" s="54" t="s">
        <v>1058</v>
      </c>
      <c r="W239" s="54" t="s">
        <v>1058</v>
      </c>
      <c r="X239" s="54" t="s">
        <v>1059</v>
      </c>
      <c r="Y239" s="54"/>
      <c r="Z239" s="54"/>
      <c r="AA239" s="54"/>
      <c r="AB239" s="54" t="s">
        <v>290</v>
      </c>
      <c r="AC239" s="54" t="s">
        <v>290</v>
      </c>
      <c r="AD239" s="54" t="s">
        <v>290</v>
      </c>
      <c r="AE239" s="54" t="s">
        <v>290</v>
      </c>
      <c r="AF239" s="54" t="s">
        <v>291</v>
      </c>
      <c r="AG239" s="54" t="s">
        <v>291</v>
      </c>
      <c r="AH239" s="54" t="s">
        <v>290</v>
      </c>
      <c r="AI239" s="60">
        <v>0.05</v>
      </c>
      <c r="AJ239" s="57" t="s">
        <v>291</v>
      </c>
    </row>
    <row r="240" spans="1:36" x14ac:dyDescent="0.45">
      <c r="A240" s="53">
        <v>244</v>
      </c>
      <c r="B240" s="55">
        <v>100</v>
      </c>
      <c r="C240" s="54" t="s">
        <v>597</v>
      </c>
      <c r="D240" s="54" t="s">
        <v>100</v>
      </c>
      <c r="E240" s="55" t="s">
        <v>1425</v>
      </c>
      <c r="F240" s="54" t="s">
        <v>1307</v>
      </c>
      <c r="G240" s="54" t="s">
        <v>1051</v>
      </c>
      <c r="H240" s="54"/>
      <c r="I240" s="54" t="s">
        <v>1308</v>
      </c>
      <c r="J240" s="54" t="s">
        <v>1309</v>
      </c>
      <c r="K240" s="54" t="s">
        <v>1054</v>
      </c>
      <c r="L240" s="54"/>
      <c r="M240" s="54" t="s">
        <v>1310</v>
      </c>
      <c r="N240" s="54" t="s">
        <v>1311</v>
      </c>
      <c r="O240" s="54" t="s">
        <v>1056</v>
      </c>
      <c r="P240" s="54"/>
      <c r="Q240" s="54" t="s">
        <v>1312</v>
      </c>
      <c r="R240" s="56">
        <v>1</v>
      </c>
      <c r="S240" s="54">
        <v>1</v>
      </c>
      <c r="T240" s="54" t="s">
        <v>147</v>
      </c>
      <c r="U240" s="54" t="s">
        <v>184</v>
      </c>
      <c r="V240" s="54" t="s">
        <v>1058</v>
      </c>
      <c r="W240" s="54" t="s">
        <v>1058</v>
      </c>
      <c r="X240" s="54" t="s">
        <v>1059</v>
      </c>
      <c r="Y240" s="54"/>
      <c r="Z240" s="54"/>
      <c r="AA240" s="54"/>
      <c r="AB240" s="54" t="s">
        <v>290</v>
      </c>
      <c r="AC240" s="54" t="s">
        <v>290</v>
      </c>
      <c r="AD240" s="54" t="s">
        <v>290</v>
      </c>
      <c r="AE240" s="54" t="s">
        <v>290</v>
      </c>
      <c r="AF240" s="54" t="s">
        <v>291</v>
      </c>
      <c r="AG240" s="54" t="s">
        <v>291</v>
      </c>
      <c r="AH240" s="54" t="s">
        <v>290</v>
      </c>
      <c r="AI240" s="60">
        <v>0.05</v>
      </c>
      <c r="AJ240" s="57" t="s">
        <v>291</v>
      </c>
    </row>
    <row r="241" spans="1:36" x14ac:dyDescent="0.45">
      <c r="A241" s="53">
        <v>245</v>
      </c>
      <c r="B241" s="54"/>
      <c r="C241" s="54" t="s">
        <v>597</v>
      </c>
      <c r="D241" s="54" t="s">
        <v>94</v>
      </c>
      <c r="E241" s="55">
        <v>2216961000005</v>
      </c>
      <c r="F241" s="54" t="s">
        <v>1307</v>
      </c>
      <c r="G241" s="54" t="s">
        <v>1168</v>
      </c>
      <c r="H241" s="54"/>
      <c r="I241" s="54" t="s">
        <v>1313</v>
      </c>
      <c r="J241" s="54" t="s">
        <v>1309</v>
      </c>
      <c r="K241" s="54" t="s">
        <v>1171</v>
      </c>
      <c r="L241" s="54"/>
      <c r="M241" s="54" t="s">
        <v>1314</v>
      </c>
      <c r="N241" s="54" t="s">
        <v>1311</v>
      </c>
      <c r="O241" s="54" t="s">
        <v>1174</v>
      </c>
      <c r="P241" s="54"/>
      <c r="Q241" s="54" t="s">
        <v>1315</v>
      </c>
      <c r="R241" s="56">
        <v>1</v>
      </c>
      <c r="S241" s="54">
        <v>1</v>
      </c>
      <c r="T241" s="54" t="s">
        <v>147</v>
      </c>
      <c r="U241" s="54" t="s">
        <v>185</v>
      </c>
      <c r="V241" s="54" t="s">
        <v>1058</v>
      </c>
      <c r="W241" s="54" t="s">
        <v>1058</v>
      </c>
      <c r="X241" s="54" t="s">
        <v>1059</v>
      </c>
      <c r="Y241" s="54"/>
      <c r="Z241" s="54"/>
      <c r="AA241" s="54"/>
      <c r="AB241" s="54" t="s">
        <v>290</v>
      </c>
      <c r="AC241" s="54" t="s">
        <v>290</v>
      </c>
      <c r="AD241" s="54" t="s">
        <v>290</v>
      </c>
      <c r="AE241" s="54" t="s">
        <v>290</v>
      </c>
      <c r="AF241" s="54" t="s">
        <v>291</v>
      </c>
      <c r="AG241" s="54" t="s">
        <v>291</v>
      </c>
      <c r="AH241" s="54" t="s">
        <v>290</v>
      </c>
      <c r="AI241" s="60">
        <v>0.05</v>
      </c>
      <c r="AJ241" s="57" t="s">
        <v>291</v>
      </c>
    </row>
    <row r="242" spans="1:36" x14ac:dyDescent="0.45">
      <c r="A242" s="53">
        <v>246</v>
      </c>
      <c r="B242" s="55">
        <v>101</v>
      </c>
      <c r="C242" s="54" t="s">
        <v>597</v>
      </c>
      <c r="D242" s="54" t="s">
        <v>100</v>
      </c>
      <c r="E242" s="55" t="s">
        <v>1425</v>
      </c>
      <c r="F242" s="54" t="s">
        <v>1316</v>
      </c>
      <c r="G242" s="54" t="s">
        <v>1051</v>
      </c>
      <c r="H242" s="54"/>
      <c r="I242" s="54" t="s">
        <v>1317</v>
      </c>
      <c r="J242" s="54" t="s">
        <v>1318</v>
      </c>
      <c r="K242" s="54" t="s">
        <v>1054</v>
      </c>
      <c r="L242" s="54"/>
      <c r="M242" s="54" t="s">
        <v>1319</v>
      </c>
      <c r="N242" s="54" t="s">
        <v>1320</v>
      </c>
      <c r="O242" s="54" t="s">
        <v>1056</v>
      </c>
      <c r="P242" s="54"/>
      <c r="Q242" s="54" t="s">
        <v>1321</v>
      </c>
      <c r="R242" s="56">
        <v>1</v>
      </c>
      <c r="S242" s="54">
        <v>1</v>
      </c>
      <c r="T242" s="54" t="s">
        <v>147</v>
      </c>
      <c r="U242" s="54" t="s">
        <v>184</v>
      </c>
      <c r="V242" s="54" t="s">
        <v>1058</v>
      </c>
      <c r="W242" s="54" t="s">
        <v>1058</v>
      </c>
      <c r="X242" s="54" t="s">
        <v>1059</v>
      </c>
      <c r="Y242" s="54"/>
      <c r="Z242" s="54"/>
      <c r="AA242" s="54"/>
      <c r="AB242" s="54" t="s">
        <v>290</v>
      </c>
      <c r="AC242" s="54" t="s">
        <v>290</v>
      </c>
      <c r="AD242" s="54" t="s">
        <v>290</v>
      </c>
      <c r="AE242" s="54" t="s">
        <v>290</v>
      </c>
      <c r="AF242" s="54" t="s">
        <v>291</v>
      </c>
      <c r="AG242" s="54" t="s">
        <v>291</v>
      </c>
      <c r="AH242" s="54" t="s">
        <v>290</v>
      </c>
      <c r="AI242" s="60">
        <v>0.05</v>
      </c>
      <c r="AJ242" s="57" t="s">
        <v>291</v>
      </c>
    </row>
    <row r="243" spans="1:36" x14ac:dyDescent="0.45">
      <c r="A243" s="53">
        <v>247</v>
      </c>
      <c r="B243" s="54"/>
      <c r="C243" s="54" t="s">
        <v>597</v>
      </c>
      <c r="D243" s="54" t="s">
        <v>94</v>
      </c>
      <c r="E243" s="55">
        <v>2274484000001</v>
      </c>
      <c r="F243" s="54" t="s">
        <v>1316</v>
      </c>
      <c r="G243" s="54" t="s">
        <v>1168</v>
      </c>
      <c r="H243" s="54"/>
      <c r="I243" s="54" t="s">
        <v>1322</v>
      </c>
      <c r="J243" s="54" t="s">
        <v>1318</v>
      </c>
      <c r="K243" s="54" t="s">
        <v>1171</v>
      </c>
      <c r="L243" s="54"/>
      <c r="M243" s="54" t="s">
        <v>1323</v>
      </c>
      <c r="N243" s="54" t="s">
        <v>1320</v>
      </c>
      <c r="O243" s="54" t="s">
        <v>1174</v>
      </c>
      <c r="P243" s="54"/>
      <c r="Q243" s="54" t="s">
        <v>1324</v>
      </c>
      <c r="R243" s="56">
        <v>1</v>
      </c>
      <c r="S243" s="54">
        <v>1</v>
      </c>
      <c r="T243" s="54" t="s">
        <v>147</v>
      </c>
      <c r="U243" s="54" t="s">
        <v>185</v>
      </c>
      <c r="V243" s="54" t="s">
        <v>1058</v>
      </c>
      <c r="W243" s="54" t="s">
        <v>1058</v>
      </c>
      <c r="X243" s="54" t="s">
        <v>1059</v>
      </c>
      <c r="Y243" s="54"/>
      <c r="Z243" s="54"/>
      <c r="AA243" s="54"/>
      <c r="AB243" s="54" t="s">
        <v>290</v>
      </c>
      <c r="AC243" s="54" t="s">
        <v>290</v>
      </c>
      <c r="AD243" s="54" t="s">
        <v>290</v>
      </c>
      <c r="AE243" s="54" t="s">
        <v>290</v>
      </c>
      <c r="AF243" s="54" t="s">
        <v>291</v>
      </c>
      <c r="AG243" s="54" t="s">
        <v>291</v>
      </c>
      <c r="AH243" s="54" t="s">
        <v>290</v>
      </c>
      <c r="AI243" s="60">
        <v>0.05</v>
      </c>
      <c r="AJ243" s="57" t="s">
        <v>291</v>
      </c>
    </row>
    <row r="244" spans="1:36" x14ac:dyDescent="0.45">
      <c r="A244" s="53">
        <v>248</v>
      </c>
      <c r="B244" s="55">
        <v>102</v>
      </c>
      <c r="C244" s="54" t="s">
        <v>597</v>
      </c>
      <c r="D244" s="54" t="s">
        <v>100</v>
      </c>
      <c r="E244" s="55" t="s">
        <v>1425</v>
      </c>
      <c r="F244" s="54" t="s">
        <v>1316</v>
      </c>
      <c r="G244" s="54" t="s">
        <v>1325</v>
      </c>
      <c r="H244" s="54"/>
      <c r="I244" s="54" t="s">
        <v>1326</v>
      </c>
      <c r="J244" s="54" t="s">
        <v>1318</v>
      </c>
      <c r="K244" s="54" t="s">
        <v>1327</v>
      </c>
      <c r="L244" s="54"/>
      <c r="M244" s="54" t="s">
        <v>1328</v>
      </c>
      <c r="N244" s="54" t="s">
        <v>1320</v>
      </c>
      <c r="O244" s="54" t="s">
        <v>1329</v>
      </c>
      <c r="P244" s="54"/>
      <c r="Q244" s="54" t="s">
        <v>1330</v>
      </c>
      <c r="R244" s="56">
        <v>1</v>
      </c>
      <c r="S244" s="54">
        <v>1</v>
      </c>
      <c r="T244" s="54" t="s">
        <v>147</v>
      </c>
      <c r="U244" s="54" t="s">
        <v>184</v>
      </c>
      <c r="V244" s="54" t="s">
        <v>1058</v>
      </c>
      <c r="W244" s="54" t="s">
        <v>1058</v>
      </c>
      <c r="X244" s="54" t="s">
        <v>1059</v>
      </c>
      <c r="Y244" s="54"/>
      <c r="Z244" s="54"/>
      <c r="AA244" s="54"/>
      <c r="AB244" s="54" t="s">
        <v>290</v>
      </c>
      <c r="AC244" s="54" t="s">
        <v>290</v>
      </c>
      <c r="AD244" s="54" t="s">
        <v>290</v>
      </c>
      <c r="AE244" s="54" t="s">
        <v>290</v>
      </c>
      <c r="AF244" s="54" t="s">
        <v>291</v>
      </c>
      <c r="AG244" s="54" t="s">
        <v>291</v>
      </c>
      <c r="AH244" s="54" t="s">
        <v>290</v>
      </c>
      <c r="AI244" s="60">
        <v>0.05</v>
      </c>
      <c r="AJ244" s="57" t="s">
        <v>291</v>
      </c>
    </row>
    <row r="245" spans="1:36" x14ac:dyDescent="0.45">
      <c r="A245" s="53">
        <v>249</v>
      </c>
      <c r="B245" s="54"/>
      <c r="C245" s="54" t="s">
        <v>279</v>
      </c>
      <c r="D245" s="54" t="s">
        <v>100</v>
      </c>
      <c r="E245" s="55">
        <v>7610632010280</v>
      </c>
      <c r="F245" s="54" t="s">
        <v>1331</v>
      </c>
      <c r="G245" s="54" t="s">
        <v>1107</v>
      </c>
      <c r="H245" s="54" t="s">
        <v>1332</v>
      </c>
      <c r="I245" s="54" t="s">
        <v>1333</v>
      </c>
      <c r="J245" s="54" t="s">
        <v>1334</v>
      </c>
      <c r="K245" s="54" t="s">
        <v>1110</v>
      </c>
      <c r="L245" s="54" t="s">
        <v>1332</v>
      </c>
      <c r="M245" s="54" t="s">
        <v>1335</v>
      </c>
      <c r="N245" s="54" t="s">
        <v>1336</v>
      </c>
      <c r="O245" s="54" t="s">
        <v>1112</v>
      </c>
      <c r="P245" s="54" t="s">
        <v>1332</v>
      </c>
      <c r="Q245" s="54" t="s">
        <v>1337</v>
      </c>
      <c r="R245" s="56">
        <v>0.125</v>
      </c>
      <c r="S245" s="54">
        <v>100</v>
      </c>
      <c r="T245" s="54" t="s">
        <v>146</v>
      </c>
      <c r="U245" s="54" t="s">
        <v>185</v>
      </c>
      <c r="V245" s="54" t="s">
        <v>1058</v>
      </c>
      <c r="W245" s="54" t="s">
        <v>1058</v>
      </c>
      <c r="X245" s="54" t="s">
        <v>1059</v>
      </c>
      <c r="Y245" s="54"/>
      <c r="Z245" s="54"/>
      <c r="AA245" s="54"/>
      <c r="AB245" s="54" t="s">
        <v>290</v>
      </c>
      <c r="AC245" s="54" t="s">
        <v>290</v>
      </c>
      <c r="AD245" s="54" t="s">
        <v>290</v>
      </c>
      <c r="AE245" s="54" t="s">
        <v>290</v>
      </c>
      <c r="AF245" s="54" t="s">
        <v>291</v>
      </c>
      <c r="AG245" s="54" t="s">
        <v>291</v>
      </c>
      <c r="AH245" s="54" t="s">
        <v>290</v>
      </c>
      <c r="AI245" s="60">
        <v>0.05</v>
      </c>
      <c r="AJ245" s="57" t="s">
        <v>291</v>
      </c>
    </row>
    <row r="246" spans="1:36" x14ac:dyDescent="0.45">
      <c r="A246" s="53">
        <v>250</v>
      </c>
      <c r="B246" s="54"/>
      <c r="C246" s="54" t="s">
        <v>279</v>
      </c>
      <c r="D246" s="54" t="s">
        <v>100</v>
      </c>
      <c r="E246" s="55">
        <v>7610632050064</v>
      </c>
      <c r="F246" s="54" t="s">
        <v>1331</v>
      </c>
      <c r="G246" s="54" t="s">
        <v>1107</v>
      </c>
      <c r="H246" s="54" t="s">
        <v>282</v>
      </c>
      <c r="I246" s="54" t="s">
        <v>1338</v>
      </c>
      <c r="J246" s="54" t="s">
        <v>1334</v>
      </c>
      <c r="K246" s="54" t="s">
        <v>1110</v>
      </c>
      <c r="L246" s="54" t="s">
        <v>282</v>
      </c>
      <c r="M246" s="54" t="s">
        <v>1339</v>
      </c>
      <c r="N246" s="54" t="s">
        <v>1336</v>
      </c>
      <c r="O246" s="54" t="s">
        <v>1112</v>
      </c>
      <c r="P246" s="54" t="s">
        <v>282</v>
      </c>
      <c r="Q246" s="54" t="s">
        <v>1340</v>
      </c>
      <c r="R246" s="56">
        <v>0.25</v>
      </c>
      <c r="S246" s="54">
        <v>100</v>
      </c>
      <c r="T246" s="54" t="s">
        <v>146</v>
      </c>
      <c r="U246" s="54" t="s">
        <v>185</v>
      </c>
      <c r="V246" s="54" t="s">
        <v>1058</v>
      </c>
      <c r="W246" s="54" t="s">
        <v>1058</v>
      </c>
      <c r="X246" s="54" t="s">
        <v>1059</v>
      </c>
      <c r="Y246" s="54"/>
      <c r="Z246" s="54"/>
      <c r="AA246" s="54"/>
      <c r="AB246" s="54" t="s">
        <v>290</v>
      </c>
      <c r="AC246" s="54" t="s">
        <v>290</v>
      </c>
      <c r="AD246" s="54" t="s">
        <v>290</v>
      </c>
      <c r="AE246" s="54" t="s">
        <v>290</v>
      </c>
      <c r="AF246" s="54" t="s">
        <v>291</v>
      </c>
      <c r="AG246" s="54" t="s">
        <v>291</v>
      </c>
      <c r="AH246" s="54" t="s">
        <v>290</v>
      </c>
      <c r="AI246" s="60">
        <v>0.05</v>
      </c>
      <c r="AJ246" s="57" t="s">
        <v>291</v>
      </c>
    </row>
    <row r="247" spans="1:36" x14ac:dyDescent="0.45">
      <c r="A247" s="53">
        <v>251</v>
      </c>
      <c r="B247" s="55">
        <v>127</v>
      </c>
      <c r="C247" s="54" t="s">
        <v>597</v>
      </c>
      <c r="D247" s="54"/>
      <c r="E247" s="55" t="s">
        <v>1425</v>
      </c>
      <c r="F247" s="54" t="s">
        <v>1341</v>
      </c>
      <c r="G247" s="54"/>
      <c r="H247" s="54"/>
      <c r="I247" s="54" t="s">
        <v>1341</v>
      </c>
      <c r="J247" s="54" t="s">
        <v>1342</v>
      </c>
      <c r="K247" s="54" t="s">
        <v>1124</v>
      </c>
      <c r="L247" s="54"/>
      <c r="M247" s="54" t="s">
        <v>1343</v>
      </c>
      <c r="N247" s="54" t="s">
        <v>1344</v>
      </c>
      <c r="O247" s="54" t="s">
        <v>1105</v>
      </c>
      <c r="P247" s="54"/>
      <c r="Q247" s="54" t="s">
        <v>1345</v>
      </c>
      <c r="R247" s="56">
        <v>1</v>
      </c>
      <c r="S247" s="54">
        <v>1</v>
      </c>
      <c r="T247" s="54" t="s">
        <v>147</v>
      </c>
      <c r="U247" s="54" t="s">
        <v>184</v>
      </c>
      <c r="V247" s="54" t="s">
        <v>1058</v>
      </c>
      <c r="W247" s="54" t="s">
        <v>1058</v>
      </c>
      <c r="X247" s="54" t="s">
        <v>1059</v>
      </c>
      <c r="Y247" s="54"/>
      <c r="Z247" s="54"/>
      <c r="AA247" s="54"/>
      <c r="AB247" s="54" t="s">
        <v>290</v>
      </c>
      <c r="AC247" s="54" t="s">
        <v>290</v>
      </c>
      <c r="AD247" s="54" t="s">
        <v>290</v>
      </c>
      <c r="AE247" s="54" t="s">
        <v>290</v>
      </c>
      <c r="AF247" s="54" t="s">
        <v>291</v>
      </c>
      <c r="AG247" s="54" t="s">
        <v>291</v>
      </c>
      <c r="AH247" s="54" t="s">
        <v>290</v>
      </c>
      <c r="AI247" s="60">
        <v>0.05</v>
      </c>
      <c r="AJ247" s="57" t="s">
        <v>291</v>
      </c>
    </row>
    <row r="248" spans="1:36" x14ac:dyDescent="0.45">
      <c r="A248" s="53">
        <v>252</v>
      </c>
      <c r="B248" s="55">
        <v>129</v>
      </c>
      <c r="C248" s="54" t="s">
        <v>597</v>
      </c>
      <c r="D248" s="54" t="s">
        <v>100</v>
      </c>
      <c r="E248" s="55" t="s">
        <v>1425</v>
      </c>
      <c r="F248" s="54" t="s">
        <v>1346</v>
      </c>
      <c r="G248" s="54" t="s">
        <v>1121</v>
      </c>
      <c r="H248" s="54"/>
      <c r="I248" s="54" t="s">
        <v>1347</v>
      </c>
      <c r="J248" s="54" t="s">
        <v>1348</v>
      </c>
      <c r="K248" s="54" t="s">
        <v>1124</v>
      </c>
      <c r="L248" s="54"/>
      <c r="M248" s="54" t="s">
        <v>1349</v>
      </c>
      <c r="N248" s="54" t="s">
        <v>1350</v>
      </c>
      <c r="O248" s="54" t="s">
        <v>1105</v>
      </c>
      <c r="P248" s="54"/>
      <c r="Q248" s="54" t="s">
        <v>1351</v>
      </c>
      <c r="R248" s="56">
        <v>1</v>
      </c>
      <c r="S248" s="54">
        <v>1</v>
      </c>
      <c r="T248" s="54" t="s">
        <v>147</v>
      </c>
      <c r="U248" s="54" t="s">
        <v>184</v>
      </c>
      <c r="V248" s="54" t="s">
        <v>1058</v>
      </c>
      <c r="W248" s="54" t="s">
        <v>1058</v>
      </c>
      <c r="X248" s="54" t="s">
        <v>1059</v>
      </c>
      <c r="Y248" s="54"/>
      <c r="Z248" s="54"/>
      <c r="AA248" s="54"/>
      <c r="AB248" s="54" t="s">
        <v>290</v>
      </c>
      <c r="AC248" s="54" t="s">
        <v>290</v>
      </c>
      <c r="AD248" s="54" t="s">
        <v>290</v>
      </c>
      <c r="AE248" s="54" t="s">
        <v>290</v>
      </c>
      <c r="AF248" s="54" t="s">
        <v>291</v>
      </c>
      <c r="AG248" s="54" t="s">
        <v>291</v>
      </c>
      <c r="AH248" s="54" t="s">
        <v>290</v>
      </c>
      <c r="AI248" s="60">
        <v>0.05</v>
      </c>
      <c r="AJ248" s="57" t="s">
        <v>291</v>
      </c>
    </row>
    <row r="249" spans="1:36" x14ac:dyDescent="0.45">
      <c r="A249" s="53">
        <v>253</v>
      </c>
      <c r="B249" s="55">
        <v>131</v>
      </c>
      <c r="C249" s="54" t="s">
        <v>597</v>
      </c>
      <c r="D249" s="54" t="s">
        <v>100</v>
      </c>
      <c r="E249" s="55" t="s">
        <v>1425</v>
      </c>
      <c r="F249" s="54" t="s">
        <v>1352</v>
      </c>
      <c r="G249" s="54" t="s">
        <v>1121</v>
      </c>
      <c r="H249" s="54"/>
      <c r="I249" s="54" t="s">
        <v>1353</v>
      </c>
      <c r="J249" s="54" t="s">
        <v>1354</v>
      </c>
      <c r="K249" s="54" t="s">
        <v>1124</v>
      </c>
      <c r="L249" s="54"/>
      <c r="M249" s="54" t="s">
        <v>1355</v>
      </c>
      <c r="N249" s="54" t="s">
        <v>1356</v>
      </c>
      <c r="O249" s="54" t="s">
        <v>1105</v>
      </c>
      <c r="P249" s="54"/>
      <c r="Q249" s="54" t="s">
        <v>1357</v>
      </c>
      <c r="R249" s="56">
        <v>1</v>
      </c>
      <c r="S249" s="54">
        <v>1</v>
      </c>
      <c r="T249" s="54" t="s">
        <v>147</v>
      </c>
      <c r="U249" s="54" t="s">
        <v>184</v>
      </c>
      <c r="V249" s="54" t="s">
        <v>1058</v>
      </c>
      <c r="W249" s="54" t="s">
        <v>1058</v>
      </c>
      <c r="X249" s="54" t="s">
        <v>1059</v>
      </c>
      <c r="Y249" s="54"/>
      <c r="Z249" s="54"/>
      <c r="AA249" s="54"/>
      <c r="AB249" s="54" t="s">
        <v>290</v>
      </c>
      <c r="AC249" s="54" t="s">
        <v>290</v>
      </c>
      <c r="AD249" s="54" t="s">
        <v>290</v>
      </c>
      <c r="AE249" s="54" t="s">
        <v>290</v>
      </c>
      <c r="AF249" s="54" t="s">
        <v>291</v>
      </c>
      <c r="AG249" s="54" t="s">
        <v>291</v>
      </c>
      <c r="AH249" s="54" t="s">
        <v>290</v>
      </c>
      <c r="AI249" s="60">
        <v>0.05</v>
      </c>
      <c r="AJ249" s="57" t="s">
        <v>291</v>
      </c>
    </row>
    <row r="250" spans="1:36" x14ac:dyDescent="0.45">
      <c r="A250" s="53">
        <v>254</v>
      </c>
      <c r="B250" s="55">
        <v>132</v>
      </c>
      <c r="C250" s="54" t="s">
        <v>597</v>
      </c>
      <c r="D250" s="54" t="s">
        <v>100</v>
      </c>
      <c r="E250" s="55" t="s">
        <v>1425</v>
      </c>
      <c r="F250" s="54" t="s">
        <v>1358</v>
      </c>
      <c r="G250" s="54" t="s">
        <v>1359</v>
      </c>
      <c r="H250" s="54"/>
      <c r="I250" s="54" t="s">
        <v>1360</v>
      </c>
      <c r="J250" s="54" t="s">
        <v>1361</v>
      </c>
      <c r="K250" s="54" t="s">
        <v>1124</v>
      </c>
      <c r="L250" s="54"/>
      <c r="M250" s="54" t="s">
        <v>1362</v>
      </c>
      <c r="N250" s="54" t="s">
        <v>1363</v>
      </c>
      <c r="O250" s="54" t="s">
        <v>1105</v>
      </c>
      <c r="P250" s="54"/>
      <c r="Q250" s="54" t="s">
        <v>1364</v>
      </c>
      <c r="R250" s="56">
        <v>1</v>
      </c>
      <c r="S250" s="54">
        <v>1</v>
      </c>
      <c r="T250" s="54" t="s">
        <v>147</v>
      </c>
      <c r="U250" s="54" t="s">
        <v>184</v>
      </c>
      <c r="V250" s="54" t="s">
        <v>1058</v>
      </c>
      <c r="W250" s="54" t="s">
        <v>1058</v>
      </c>
      <c r="X250" s="54" t="s">
        <v>1059</v>
      </c>
      <c r="Y250" s="54"/>
      <c r="Z250" s="54"/>
      <c r="AA250" s="54"/>
      <c r="AB250" s="54" t="s">
        <v>290</v>
      </c>
      <c r="AC250" s="54" t="s">
        <v>290</v>
      </c>
      <c r="AD250" s="54" t="s">
        <v>290</v>
      </c>
      <c r="AE250" s="54" t="s">
        <v>290</v>
      </c>
      <c r="AF250" s="54" t="s">
        <v>291</v>
      </c>
      <c r="AG250" s="54" t="s">
        <v>291</v>
      </c>
      <c r="AH250" s="54" t="s">
        <v>290</v>
      </c>
      <c r="AI250" s="60">
        <v>0.05</v>
      </c>
      <c r="AJ250" s="57" t="s">
        <v>291</v>
      </c>
    </row>
    <row r="251" spans="1:36" x14ac:dyDescent="0.45">
      <c r="A251" s="53">
        <v>255</v>
      </c>
      <c r="B251" s="55">
        <v>130</v>
      </c>
      <c r="C251" s="54" t="s">
        <v>597</v>
      </c>
      <c r="D251" s="54"/>
      <c r="E251" s="55" t="s">
        <v>1425</v>
      </c>
      <c r="F251" s="54" t="s">
        <v>1365</v>
      </c>
      <c r="G251" s="54"/>
      <c r="H251" s="54"/>
      <c r="I251" s="54" t="s">
        <v>1366</v>
      </c>
      <c r="J251" s="54" t="s">
        <v>1367</v>
      </c>
      <c r="K251" s="54" t="s">
        <v>1124</v>
      </c>
      <c r="L251" s="54"/>
      <c r="M251" s="54" t="s">
        <v>1368</v>
      </c>
      <c r="N251" s="54" t="s">
        <v>1369</v>
      </c>
      <c r="O251" s="54" t="s">
        <v>1105</v>
      </c>
      <c r="P251" s="54"/>
      <c r="Q251" s="54" t="s">
        <v>1370</v>
      </c>
      <c r="R251" s="56">
        <v>1</v>
      </c>
      <c r="S251" s="54">
        <v>1</v>
      </c>
      <c r="T251" s="54" t="s">
        <v>147</v>
      </c>
      <c r="U251" s="54" t="s">
        <v>184</v>
      </c>
      <c r="V251" s="54" t="s">
        <v>1058</v>
      </c>
      <c r="W251" s="54" t="s">
        <v>1058</v>
      </c>
      <c r="X251" s="54" t="s">
        <v>1059</v>
      </c>
      <c r="Y251" s="54"/>
      <c r="Z251" s="54"/>
      <c r="AA251" s="54"/>
      <c r="AB251" s="54" t="s">
        <v>290</v>
      </c>
      <c r="AC251" s="54" t="s">
        <v>290</v>
      </c>
      <c r="AD251" s="54" t="s">
        <v>290</v>
      </c>
      <c r="AE251" s="54" t="s">
        <v>290</v>
      </c>
      <c r="AF251" s="54" t="s">
        <v>291</v>
      </c>
      <c r="AG251" s="54" t="s">
        <v>291</v>
      </c>
      <c r="AH251" s="54" t="s">
        <v>290</v>
      </c>
      <c r="AI251" s="60">
        <v>0.05</v>
      </c>
      <c r="AJ251" s="57" t="s">
        <v>291</v>
      </c>
    </row>
    <row r="252" spans="1:36" x14ac:dyDescent="0.45">
      <c r="A252" s="53">
        <v>256</v>
      </c>
      <c r="B252" s="55">
        <v>103</v>
      </c>
      <c r="C252" s="54" t="s">
        <v>597</v>
      </c>
      <c r="D252" s="54" t="s">
        <v>100</v>
      </c>
      <c r="E252" s="55" t="s">
        <v>1425</v>
      </c>
      <c r="F252" s="54" t="s">
        <v>1371</v>
      </c>
      <c r="G252" s="54" t="s">
        <v>1051</v>
      </c>
      <c r="H252" s="54"/>
      <c r="I252" s="54" t="s">
        <v>1372</v>
      </c>
      <c r="J252" s="54" t="s">
        <v>1373</v>
      </c>
      <c r="K252" s="54" t="s">
        <v>1054</v>
      </c>
      <c r="L252" s="54"/>
      <c r="M252" s="54" t="s">
        <v>1374</v>
      </c>
      <c r="N252" s="54" t="s">
        <v>1375</v>
      </c>
      <c r="O252" s="54" t="s">
        <v>1056</v>
      </c>
      <c r="P252" s="54"/>
      <c r="Q252" s="54" t="s">
        <v>1376</v>
      </c>
      <c r="R252" s="56">
        <v>1</v>
      </c>
      <c r="S252" s="54">
        <v>1</v>
      </c>
      <c r="T252" s="54" t="s">
        <v>147</v>
      </c>
      <c r="U252" s="54" t="s">
        <v>184</v>
      </c>
      <c r="V252" s="54" t="s">
        <v>1058</v>
      </c>
      <c r="W252" s="54" t="s">
        <v>1058</v>
      </c>
      <c r="X252" s="54" t="s">
        <v>1059</v>
      </c>
      <c r="Y252" s="54"/>
      <c r="Z252" s="54"/>
      <c r="AA252" s="54"/>
      <c r="AB252" s="54" t="s">
        <v>290</v>
      </c>
      <c r="AC252" s="54" t="s">
        <v>290</v>
      </c>
      <c r="AD252" s="54" t="s">
        <v>290</v>
      </c>
      <c r="AE252" s="54" t="s">
        <v>290</v>
      </c>
      <c r="AF252" s="54" t="s">
        <v>291</v>
      </c>
      <c r="AG252" s="54" t="s">
        <v>291</v>
      </c>
      <c r="AH252" s="54" t="s">
        <v>290</v>
      </c>
      <c r="AI252" s="60">
        <v>0.05</v>
      </c>
      <c r="AJ252" s="57" t="s">
        <v>291</v>
      </c>
    </row>
    <row r="253" spans="1:36" x14ac:dyDescent="0.45">
      <c r="A253" s="53">
        <v>257</v>
      </c>
      <c r="B253" s="54"/>
      <c r="C253" s="54" t="s">
        <v>597</v>
      </c>
      <c r="D253" s="54" t="s">
        <v>94</v>
      </c>
      <c r="E253" s="55">
        <v>2202261000005</v>
      </c>
      <c r="F253" s="54" t="s">
        <v>1371</v>
      </c>
      <c r="G253" s="54" t="s">
        <v>1168</v>
      </c>
      <c r="H253" s="54"/>
      <c r="I253" s="54" t="s">
        <v>1377</v>
      </c>
      <c r="J253" s="54" t="s">
        <v>1373</v>
      </c>
      <c r="K253" s="54" t="s">
        <v>1171</v>
      </c>
      <c r="L253" s="54"/>
      <c r="M253" s="54" t="s">
        <v>1378</v>
      </c>
      <c r="N253" s="54" t="s">
        <v>1375</v>
      </c>
      <c r="O253" s="54" t="s">
        <v>1174</v>
      </c>
      <c r="P253" s="54"/>
      <c r="Q253" s="54" t="s">
        <v>1379</v>
      </c>
      <c r="R253" s="56">
        <v>1</v>
      </c>
      <c r="S253" s="54">
        <v>1</v>
      </c>
      <c r="T253" s="54" t="s">
        <v>147</v>
      </c>
      <c r="U253" s="54" t="s">
        <v>185</v>
      </c>
      <c r="V253" s="54" t="s">
        <v>1058</v>
      </c>
      <c r="W253" s="54" t="s">
        <v>1058</v>
      </c>
      <c r="X253" s="54" t="s">
        <v>1059</v>
      </c>
      <c r="Y253" s="54"/>
      <c r="Z253" s="54"/>
      <c r="AA253" s="54"/>
      <c r="AB253" s="54" t="s">
        <v>290</v>
      </c>
      <c r="AC253" s="54" t="s">
        <v>290</v>
      </c>
      <c r="AD253" s="54" t="s">
        <v>290</v>
      </c>
      <c r="AE253" s="54" t="s">
        <v>290</v>
      </c>
      <c r="AF253" s="54" t="s">
        <v>291</v>
      </c>
      <c r="AG253" s="54" t="s">
        <v>291</v>
      </c>
      <c r="AH253" s="54" t="s">
        <v>290</v>
      </c>
      <c r="AI253" s="60">
        <v>0.05</v>
      </c>
      <c r="AJ253" s="57" t="s">
        <v>291</v>
      </c>
    </row>
    <row r="254" spans="1:36" x14ac:dyDescent="0.45">
      <c r="A254" s="53">
        <v>258</v>
      </c>
      <c r="B254" s="55">
        <v>125</v>
      </c>
      <c r="C254" s="54" t="s">
        <v>597</v>
      </c>
      <c r="D254" s="54"/>
      <c r="E254" s="55" t="s">
        <v>1425</v>
      </c>
      <c r="F254" s="54" t="s">
        <v>1380</v>
      </c>
      <c r="G254" s="54"/>
      <c r="H254" s="54"/>
      <c r="I254" s="54" t="s">
        <v>1380</v>
      </c>
      <c r="J254" s="54" t="s">
        <v>1381</v>
      </c>
      <c r="K254" s="54" t="s">
        <v>1382</v>
      </c>
      <c r="L254" s="54"/>
      <c r="M254" s="54" t="s">
        <v>1383</v>
      </c>
      <c r="N254" s="54" t="s">
        <v>1384</v>
      </c>
      <c r="O254" s="54" t="s">
        <v>1105</v>
      </c>
      <c r="P254" s="54"/>
      <c r="Q254" s="54" t="s">
        <v>1385</v>
      </c>
      <c r="R254" s="56">
        <v>1</v>
      </c>
      <c r="S254" s="54">
        <v>1</v>
      </c>
      <c r="T254" s="54" t="s">
        <v>147</v>
      </c>
      <c r="U254" s="54" t="s">
        <v>184</v>
      </c>
      <c r="V254" s="54" t="s">
        <v>1058</v>
      </c>
      <c r="W254" s="54" t="s">
        <v>1058</v>
      </c>
      <c r="X254" s="54" t="s">
        <v>1059</v>
      </c>
      <c r="Y254" s="54"/>
      <c r="Z254" s="54"/>
      <c r="AA254" s="54"/>
      <c r="AB254" s="54" t="s">
        <v>290</v>
      </c>
      <c r="AC254" s="54" t="s">
        <v>290</v>
      </c>
      <c r="AD254" s="54" t="s">
        <v>290</v>
      </c>
      <c r="AE254" s="54" t="s">
        <v>290</v>
      </c>
      <c r="AF254" s="54" t="s">
        <v>291</v>
      </c>
      <c r="AG254" s="54" t="s">
        <v>291</v>
      </c>
      <c r="AH254" s="54" t="s">
        <v>290</v>
      </c>
      <c r="AI254" s="60">
        <v>0.05</v>
      </c>
      <c r="AJ254" s="57" t="s">
        <v>291</v>
      </c>
    </row>
    <row r="255" spans="1:36" x14ac:dyDescent="0.45">
      <c r="A255" s="53">
        <v>259</v>
      </c>
      <c r="B255" s="55">
        <v>105</v>
      </c>
      <c r="C255" s="54" t="s">
        <v>597</v>
      </c>
      <c r="D255" s="54" t="s">
        <v>100</v>
      </c>
      <c r="E255" s="55" t="s">
        <v>1425</v>
      </c>
      <c r="F255" s="54" t="s">
        <v>1386</v>
      </c>
      <c r="G255" s="54" t="s">
        <v>1051</v>
      </c>
      <c r="H255" s="54"/>
      <c r="I255" s="54" t="s">
        <v>1387</v>
      </c>
      <c r="J255" s="54" t="s">
        <v>1388</v>
      </c>
      <c r="K255" s="54" t="s">
        <v>1054</v>
      </c>
      <c r="L255" s="54"/>
      <c r="M255" s="54" t="s">
        <v>1389</v>
      </c>
      <c r="N255" s="54" t="s">
        <v>1390</v>
      </c>
      <c r="O255" s="54" t="s">
        <v>1056</v>
      </c>
      <c r="P255" s="54"/>
      <c r="Q255" s="54" t="s">
        <v>1391</v>
      </c>
      <c r="R255" s="56">
        <v>1</v>
      </c>
      <c r="S255" s="54">
        <v>1</v>
      </c>
      <c r="T255" s="54" t="s">
        <v>147</v>
      </c>
      <c r="U255" s="54" t="s">
        <v>184</v>
      </c>
      <c r="V255" s="54" t="s">
        <v>1058</v>
      </c>
      <c r="W255" s="54" t="s">
        <v>1058</v>
      </c>
      <c r="X255" s="54" t="s">
        <v>1059</v>
      </c>
      <c r="Y255" s="54"/>
      <c r="Z255" s="54"/>
      <c r="AA255" s="54"/>
      <c r="AB255" s="54" t="s">
        <v>290</v>
      </c>
      <c r="AC255" s="54" t="s">
        <v>290</v>
      </c>
      <c r="AD255" s="54" t="s">
        <v>290</v>
      </c>
      <c r="AE255" s="54" t="s">
        <v>290</v>
      </c>
      <c r="AF255" s="54" t="s">
        <v>291</v>
      </c>
      <c r="AG255" s="54" t="s">
        <v>291</v>
      </c>
      <c r="AH255" s="54" t="s">
        <v>290</v>
      </c>
      <c r="AI255" s="60">
        <v>0.05</v>
      </c>
      <c r="AJ255" s="57" t="s">
        <v>291</v>
      </c>
    </row>
    <row r="256" spans="1:36" x14ac:dyDescent="0.45">
      <c r="A256" s="53">
        <v>260</v>
      </c>
      <c r="B256" s="54"/>
      <c r="C256" s="54" t="s">
        <v>597</v>
      </c>
      <c r="D256" s="54" t="s">
        <v>94</v>
      </c>
      <c r="E256" s="55">
        <v>2202291000006</v>
      </c>
      <c r="F256" s="54" t="s">
        <v>1386</v>
      </c>
      <c r="G256" s="54" t="s">
        <v>1168</v>
      </c>
      <c r="H256" s="54"/>
      <c r="I256" s="54" t="s">
        <v>1392</v>
      </c>
      <c r="J256" s="54" t="s">
        <v>1388</v>
      </c>
      <c r="K256" s="54" t="s">
        <v>1171</v>
      </c>
      <c r="L256" s="54"/>
      <c r="M256" s="54" t="s">
        <v>1393</v>
      </c>
      <c r="N256" s="54" t="s">
        <v>1390</v>
      </c>
      <c r="O256" s="54" t="s">
        <v>1174</v>
      </c>
      <c r="P256" s="54"/>
      <c r="Q256" s="54" t="s">
        <v>1394</v>
      </c>
      <c r="R256" s="56">
        <v>1</v>
      </c>
      <c r="S256" s="54">
        <v>1</v>
      </c>
      <c r="T256" s="54" t="s">
        <v>147</v>
      </c>
      <c r="U256" s="54" t="s">
        <v>185</v>
      </c>
      <c r="V256" s="54" t="s">
        <v>1058</v>
      </c>
      <c r="W256" s="54" t="s">
        <v>1058</v>
      </c>
      <c r="X256" s="54" t="s">
        <v>1059</v>
      </c>
      <c r="Y256" s="54"/>
      <c r="Z256" s="54"/>
      <c r="AA256" s="54"/>
      <c r="AB256" s="54" t="s">
        <v>290</v>
      </c>
      <c r="AC256" s="54" t="s">
        <v>290</v>
      </c>
      <c r="AD256" s="54" t="s">
        <v>290</v>
      </c>
      <c r="AE256" s="54" t="s">
        <v>290</v>
      </c>
      <c r="AF256" s="54" t="s">
        <v>291</v>
      </c>
      <c r="AG256" s="54" t="s">
        <v>291</v>
      </c>
      <c r="AH256" s="54" t="s">
        <v>290</v>
      </c>
      <c r="AI256" s="60">
        <v>0.05</v>
      </c>
      <c r="AJ256" s="57" t="s">
        <v>291</v>
      </c>
    </row>
    <row r="257" spans="1:36" x14ac:dyDescent="0.45">
      <c r="A257" s="53">
        <v>261</v>
      </c>
      <c r="B257" s="55">
        <v>150</v>
      </c>
      <c r="C257" s="54" t="s">
        <v>597</v>
      </c>
      <c r="D257" s="54" t="s">
        <v>100</v>
      </c>
      <c r="E257" s="55"/>
      <c r="F257" s="54" t="s">
        <v>1395</v>
      </c>
      <c r="G257" s="54" t="s">
        <v>1121</v>
      </c>
      <c r="H257" s="54"/>
      <c r="I257" s="54" t="s">
        <v>1396</v>
      </c>
      <c r="J257" s="54" t="s">
        <v>1397</v>
      </c>
      <c r="K257" s="54" t="s">
        <v>1124</v>
      </c>
      <c r="L257" s="54"/>
      <c r="M257" s="54" t="s">
        <v>1398</v>
      </c>
      <c r="N257" s="54" t="s">
        <v>1399</v>
      </c>
      <c r="O257" s="54" t="s">
        <v>1105</v>
      </c>
      <c r="P257" s="54"/>
      <c r="Q257" s="54" t="s">
        <v>1400</v>
      </c>
      <c r="R257" s="56">
        <v>1</v>
      </c>
      <c r="S257" s="54">
        <v>1</v>
      </c>
      <c r="T257" s="54" t="s">
        <v>147</v>
      </c>
      <c r="U257" s="54" t="s">
        <v>184</v>
      </c>
      <c r="V257" s="54" t="s">
        <v>1058</v>
      </c>
      <c r="W257" s="54" t="s">
        <v>1058</v>
      </c>
      <c r="X257" s="54" t="s">
        <v>1059</v>
      </c>
      <c r="Y257" s="54"/>
      <c r="Z257" s="54"/>
      <c r="AA257" s="54"/>
      <c r="AB257" s="54" t="s">
        <v>290</v>
      </c>
      <c r="AC257" s="54" t="s">
        <v>290</v>
      </c>
      <c r="AD257" s="54" t="s">
        <v>290</v>
      </c>
      <c r="AE257" s="54" t="s">
        <v>290</v>
      </c>
      <c r="AF257" s="54" t="s">
        <v>291</v>
      </c>
      <c r="AG257" s="54" t="s">
        <v>291</v>
      </c>
      <c r="AH257" s="54" t="s">
        <v>290</v>
      </c>
      <c r="AI257" s="60">
        <v>0.05</v>
      </c>
      <c r="AJ257" s="57" t="s">
        <v>291</v>
      </c>
    </row>
    <row r="258" spans="1:36" x14ac:dyDescent="0.45">
      <c r="A258" s="53">
        <v>262</v>
      </c>
      <c r="B258" s="54"/>
      <c r="C258" s="54" t="s">
        <v>279</v>
      </c>
      <c r="D258" s="54" t="s">
        <v>100</v>
      </c>
      <c r="E258" s="55">
        <v>7613399001287</v>
      </c>
      <c r="F258" s="54" t="s">
        <v>1401</v>
      </c>
      <c r="G258" s="54"/>
      <c r="H258" s="54" t="s">
        <v>656</v>
      </c>
      <c r="I258" s="54" t="s">
        <v>1402</v>
      </c>
      <c r="J258" s="54" t="s">
        <v>1403</v>
      </c>
      <c r="K258" s="54"/>
      <c r="L258" s="54" t="s">
        <v>656</v>
      </c>
      <c r="M258" s="54" t="s">
        <v>1404</v>
      </c>
      <c r="N258" s="54" t="s">
        <v>1405</v>
      </c>
      <c r="O258" s="54"/>
      <c r="P258" s="54" t="s">
        <v>656</v>
      </c>
      <c r="Q258" s="54" t="s">
        <v>1406</v>
      </c>
      <c r="R258" s="56">
        <v>0.2</v>
      </c>
      <c r="S258" s="54">
        <v>100</v>
      </c>
      <c r="T258" s="54" t="s">
        <v>146</v>
      </c>
      <c r="U258" s="54" t="s">
        <v>185</v>
      </c>
      <c r="V258" s="54" t="s">
        <v>1058</v>
      </c>
      <c r="W258" s="54" t="s">
        <v>1058</v>
      </c>
      <c r="X258" s="54" t="s">
        <v>1059</v>
      </c>
      <c r="Y258" s="54"/>
      <c r="Z258" s="54"/>
      <c r="AA258" s="54"/>
      <c r="AB258" s="54" t="s">
        <v>290</v>
      </c>
      <c r="AC258" s="54" t="s">
        <v>290</v>
      </c>
      <c r="AD258" s="54" t="s">
        <v>290</v>
      </c>
      <c r="AE258" s="54" t="s">
        <v>290</v>
      </c>
      <c r="AF258" s="54" t="s">
        <v>291</v>
      </c>
      <c r="AG258" s="54" t="s">
        <v>291</v>
      </c>
      <c r="AH258" s="54" t="s">
        <v>290</v>
      </c>
      <c r="AI258" s="60">
        <v>0.05</v>
      </c>
      <c r="AJ258" s="57" t="s">
        <v>291</v>
      </c>
    </row>
    <row r="259" spans="1:36" x14ac:dyDescent="0.45">
      <c r="A259" s="53">
        <v>263</v>
      </c>
      <c r="B259" s="54"/>
      <c r="C259" s="54" t="s">
        <v>597</v>
      </c>
      <c r="D259" s="54" t="s">
        <v>94</v>
      </c>
      <c r="E259" s="55">
        <v>2296291000005</v>
      </c>
      <c r="F259" s="54" t="s">
        <v>1407</v>
      </c>
      <c r="G259" s="54" t="s">
        <v>1408</v>
      </c>
      <c r="H259" s="54"/>
      <c r="I259" s="54" t="s">
        <v>1409</v>
      </c>
      <c r="J259" s="54" t="s">
        <v>1410</v>
      </c>
      <c r="K259" s="54" t="s">
        <v>1411</v>
      </c>
      <c r="L259" s="54"/>
      <c r="M259" s="54" t="s">
        <v>1412</v>
      </c>
      <c r="N259" s="54" t="s">
        <v>1413</v>
      </c>
      <c r="O259" s="54" t="s">
        <v>1414</v>
      </c>
      <c r="P259" s="54"/>
      <c r="Q259" s="54" t="s">
        <v>1415</v>
      </c>
      <c r="R259" s="56">
        <v>1</v>
      </c>
      <c r="S259" s="54">
        <v>1</v>
      </c>
      <c r="T259" s="54" t="s">
        <v>147</v>
      </c>
      <c r="U259" s="54" t="s">
        <v>185</v>
      </c>
      <c r="V259" s="54" t="s">
        <v>1058</v>
      </c>
      <c r="W259" s="54" t="s">
        <v>1058</v>
      </c>
      <c r="X259" s="54" t="s">
        <v>1059</v>
      </c>
      <c r="Y259" s="54"/>
      <c r="Z259" s="54"/>
      <c r="AA259" s="54"/>
      <c r="AB259" s="54" t="s">
        <v>290</v>
      </c>
      <c r="AC259" s="54" t="s">
        <v>290</v>
      </c>
      <c r="AD259" s="54" t="s">
        <v>290</v>
      </c>
      <c r="AE259" s="54" t="s">
        <v>290</v>
      </c>
      <c r="AF259" s="54" t="s">
        <v>291</v>
      </c>
      <c r="AG259" s="54" t="s">
        <v>291</v>
      </c>
      <c r="AH259" s="54" t="s">
        <v>290</v>
      </c>
      <c r="AI259" s="60">
        <v>0.05</v>
      </c>
      <c r="AJ259" s="57" t="s">
        <v>291</v>
      </c>
    </row>
    <row r="260" spans="1:36" x14ac:dyDescent="0.45">
      <c r="A260" s="53">
        <v>264</v>
      </c>
      <c r="B260" s="55">
        <v>107</v>
      </c>
      <c r="C260" s="54" t="s">
        <v>597</v>
      </c>
      <c r="D260" s="54" t="s">
        <v>100</v>
      </c>
      <c r="E260" s="55" t="s">
        <v>1425</v>
      </c>
      <c r="F260" s="54" t="s">
        <v>1416</v>
      </c>
      <c r="G260" s="54" t="s">
        <v>1051</v>
      </c>
      <c r="H260" s="54"/>
      <c r="I260" s="54" t="s">
        <v>1417</v>
      </c>
      <c r="J260" s="54" t="s">
        <v>1418</v>
      </c>
      <c r="K260" s="54" t="s">
        <v>1054</v>
      </c>
      <c r="L260" s="54"/>
      <c r="M260" s="54" t="s">
        <v>1419</v>
      </c>
      <c r="N260" s="54" t="s">
        <v>1420</v>
      </c>
      <c r="O260" s="54" t="s">
        <v>1056</v>
      </c>
      <c r="P260" s="54"/>
      <c r="Q260" s="54" t="s">
        <v>1421</v>
      </c>
      <c r="R260" s="56">
        <v>1</v>
      </c>
      <c r="S260" s="54">
        <v>1</v>
      </c>
      <c r="T260" s="54" t="s">
        <v>147</v>
      </c>
      <c r="U260" s="54" t="s">
        <v>184</v>
      </c>
      <c r="V260" s="54" t="s">
        <v>1058</v>
      </c>
      <c r="W260" s="54" t="s">
        <v>1058</v>
      </c>
      <c r="X260" s="54" t="s">
        <v>1059</v>
      </c>
      <c r="Y260" s="54"/>
      <c r="Z260" s="54"/>
      <c r="AA260" s="54"/>
      <c r="AB260" s="54" t="s">
        <v>290</v>
      </c>
      <c r="AC260" s="54" t="s">
        <v>290</v>
      </c>
      <c r="AD260" s="54" t="s">
        <v>290</v>
      </c>
      <c r="AE260" s="54" t="s">
        <v>290</v>
      </c>
      <c r="AF260" s="54" t="s">
        <v>291</v>
      </c>
      <c r="AG260" s="54" t="s">
        <v>291</v>
      </c>
      <c r="AH260" s="54" t="s">
        <v>290</v>
      </c>
      <c r="AI260" s="60">
        <v>0.05</v>
      </c>
      <c r="AJ260" s="57" t="s">
        <v>291</v>
      </c>
    </row>
    <row r="261" spans="1:36" x14ac:dyDescent="0.45">
      <c r="A261" s="53">
        <v>265</v>
      </c>
      <c r="B261" s="54"/>
      <c r="C261" s="54" t="s">
        <v>597</v>
      </c>
      <c r="D261" s="54" t="s">
        <v>94</v>
      </c>
      <c r="E261" s="55">
        <v>2202381000008</v>
      </c>
      <c r="F261" s="54" t="s">
        <v>1416</v>
      </c>
      <c r="G261" s="54" t="s">
        <v>1168</v>
      </c>
      <c r="H261" s="54"/>
      <c r="I261" s="54" t="s">
        <v>1422</v>
      </c>
      <c r="J261" s="54" t="s">
        <v>1418</v>
      </c>
      <c r="K261" s="54" t="s">
        <v>1171</v>
      </c>
      <c r="L261" s="54"/>
      <c r="M261" s="54" t="s">
        <v>1423</v>
      </c>
      <c r="N261" s="54" t="s">
        <v>1420</v>
      </c>
      <c r="O261" s="54" t="s">
        <v>1174</v>
      </c>
      <c r="P261" s="54"/>
      <c r="Q261" s="54" t="s">
        <v>1424</v>
      </c>
      <c r="R261" s="56">
        <v>1</v>
      </c>
      <c r="S261" s="54">
        <v>1</v>
      </c>
      <c r="T261" s="54" t="s">
        <v>147</v>
      </c>
      <c r="U261" s="54" t="s">
        <v>185</v>
      </c>
      <c r="V261" s="54" t="s">
        <v>1058</v>
      </c>
      <c r="W261" s="54" t="s">
        <v>1058</v>
      </c>
      <c r="X261" s="54" t="s">
        <v>1059</v>
      </c>
      <c r="Y261" s="54"/>
      <c r="Z261" s="54"/>
      <c r="AA261" s="54"/>
      <c r="AB261" s="54" t="s">
        <v>290</v>
      </c>
      <c r="AC261" s="54" t="s">
        <v>290</v>
      </c>
      <c r="AD261" s="54" t="s">
        <v>290</v>
      </c>
      <c r="AE261" s="54" t="s">
        <v>290</v>
      </c>
      <c r="AF261" s="54" t="s">
        <v>291</v>
      </c>
      <c r="AG261" s="54" t="s">
        <v>291</v>
      </c>
      <c r="AH261" s="54" t="s">
        <v>290</v>
      </c>
      <c r="AI261" s="60">
        <v>0.05</v>
      </c>
      <c r="AJ261" s="57" t="s">
        <v>291</v>
      </c>
    </row>
  </sheetData>
  <autoFilter ref="A1:AG195" xr:uid="{4A855C53-24C0-4D6A-B3F7-850D03E51587}">
    <sortState xmlns:xlrd2="http://schemas.microsoft.com/office/spreadsheetml/2017/richdata2" ref="A2:AG195">
      <sortCondition ref="V1:V195"/>
    </sortState>
  </autoFilter>
  <conditionalFormatting sqref="B2:B78 B81:B86 B89:B90 B93:B110 B117:B195">
    <cfRule type="duplicateValues" dxfId="1" priority="2"/>
  </conditionalFormatting>
  <conditionalFormatting sqref="B196:B261">
    <cfRule type="duplicateValues" dxfId="0" priority="1"/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92E6-1643-4D6B-B5A1-C041A84C7834}">
  <sheetPr codeName="Sheet5"/>
  <dimension ref="A1:E2"/>
  <sheetViews>
    <sheetView workbookViewId="0"/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86</v>
      </c>
      <c r="E2" s="4" t="s">
        <v>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D7DF1-0B47-4121-9097-8C6F75899F5B}">
  <dimension ref="A1:AQ14"/>
  <sheetViews>
    <sheetView workbookViewId="0"/>
  </sheetViews>
  <sheetFormatPr defaultRowHeight="14.25" x14ac:dyDescent="0.45"/>
  <sheetData>
    <row r="1" spans="1:43" ht="15.75" x14ac:dyDescent="0.5">
      <c r="A1" s="37" t="s">
        <v>88</v>
      </c>
      <c r="B1" s="37" t="s">
        <v>90</v>
      </c>
      <c r="C1" s="37" t="s">
        <v>92</v>
      </c>
      <c r="D1" s="37" t="s">
        <v>93</v>
      </c>
      <c r="E1" s="37" t="s">
        <v>95</v>
      </c>
      <c r="F1" s="37" t="s">
        <v>97</v>
      </c>
      <c r="G1" s="37" t="s">
        <v>99</v>
      </c>
      <c r="H1" s="37" t="s">
        <v>101</v>
      </c>
      <c r="I1" s="37" t="s">
        <v>102</v>
      </c>
      <c r="J1" s="37" t="s">
        <v>104</v>
      </c>
      <c r="K1" s="37" t="s">
        <v>105</v>
      </c>
      <c r="L1" s="37" t="s">
        <v>106</v>
      </c>
      <c r="M1" s="37" t="s">
        <v>107</v>
      </c>
      <c r="N1" s="37" t="s">
        <v>108</v>
      </c>
      <c r="O1" s="37" t="s">
        <v>109</v>
      </c>
      <c r="P1" s="37" t="s">
        <v>111</v>
      </c>
      <c r="Q1" s="37" t="s">
        <v>112</v>
      </c>
      <c r="R1" s="37" t="s">
        <v>113</v>
      </c>
      <c r="S1" s="37" t="s">
        <v>114</v>
      </c>
      <c r="T1" s="29" t="s">
        <v>116</v>
      </c>
      <c r="U1" s="29" t="s">
        <v>120</v>
      </c>
      <c r="V1" s="29" t="s">
        <v>121</v>
      </c>
      <c r="W1" s="29" t="s">
        <v>122</v>
      </c>
      <c r="X1" s="29" t="s">
        <v>134</v>
      </c>
      <c r="Y1" s="29" t="s">
        <v>135</v>
      </c>
      <c r="Z1" s="29" t="s">
        <v>136</v>
      </c>
      <c r="AA1" s="29" t="s">
        <v>141</v>
      </c>
      <c r="AB1" s="29" t="s">
        <v>142</v>
      </c>
      <c r="AC1" s="29" t="s">
        <v>143</v>
      </c>
      <c r="AD1" s="29" t="s">
        <v>155</v>
      </c>
      <c r="AE1" s="29" t="s">
        <v>167</v>
      </c>
      <c r="AF1" s="29" t="s">
        <v>178</v>
      </c>
      <c r="AG1" s="29" t="s">
        <v>182</v>
      </c>
      <c r="AH1" s="29" t="s">
        <v>183</v>
      </c>
      <c r="AI1" s="29" t="s">
        <v>193</v>
      </c>
      <c r="AJ1" s="29" t="s">
        <v>197</v>
      </c>
      <c r="AK1" s="29" t="s">
        <v>201</v>
      </c>
      <c r="AL1" s="29" t="s">
        <v>205</v>
      </c>
      <c r="AM1" s="29" t="s">
        <v>212</v>
      </c>
      <c r="AN1" s="29" t="s">
        <v>219</v>
      </c>
      <c r="AO1" s="29" t="s">
        <v>226</v>
      </c>
      <c r="AP1" s="29" t="s">
        <v>229</v>
      </c>
      <c r="AQ1" s="29" t="s">
        <v>232</v>
      </c>
    </row>
    <row r="2" spans="1:43" x14ac:dyDescent="0.45">
      <c r="A2" t="s">
        <v>89</v>
      </c>
      <c r="B2" t="s">
        <v>91</v>
      </c>
      <c r="C2" t="s">
        <v>89</v>
      </c>
      <c r="D2" t="s">
        <v>94</v>
      </c>
      <c r="E2" t="s">
        <v>96</v>
      </c>
      <c r="F2" t="s">
        <v>98</v>
      </c>
      <c r="G2" t="s">
        <v>100</v>
      </c>
      <c r="H2" t="s">
        <v>89</v>
      </c>
      <c r="I2" t="s">
        <v>103</v>
      </c>
      <c r="J2" t="s">
        <v>103</v>
      </c>
      <c r="K2" t="s">
        <v>98</v>
      </c>
      <c r="L2" t="s">
        <v>100</v>
      </c>
      <c r="M2" t="s">
        <v>100</v>
      </c>
      <c r="N2" t="s">
        <v>94</v>
      </c>
      <c r="O2" t="s">
        <v>110</v>
      </c>
      <c r="P2" t="s">
        <v>103</v>
      </c>
      <c r="Q2" t="s">
        <v>94</v>
      </c>
      <c r="R2" t="s">
        <v>98</v>
      </c>
      <c r="S2" t="s">
        <v>115</v>
      </c>
      <c r="T2" t="s">
        <v>103</v>
      </c>
      <c r="U2" t="s">
        <v>94</v>
      </c>
      <c r="V2" t="s">
        <v>94</v>
      </c>
      <c r="W2" t="s">
        <v>123</v>
      </c>
      <c r="X2" t="s">
        <v>123</v>
      </c>
      <c r="Y2" t="s">
        <v>123</v>
      </c>
      <c r="Z2" t="s">
        <v>137</v>
      </c>
      <c r="AA2" t="s">
        <v>137</v>
      </c>
      <c r="AB2" t="s">
        <v>137</v>
      </c>
      <c r="AC2" t="s">
        <v>144</v>
      </c>
      <c r="AD2" t="s">
        <v>156</v>
      </c>
      <c r="AE2" t="s">
        <v>168</v>
      </c>
      <c r="AF2" t="s">
        <v>179</v>
      </c>
      <c r="AG2" t="s">
        <v>118</v>
      </c>
      <c r="AH2" t="s">
        <v>118</v>
      </c>
      <c r="AI2" t="s">
        <v>194</v>
      </c>
      <c r="AJ2" t="s">
        <v>198</v>
      </c>
      <c r="AK2" t="s">
        <v>202</v>
      </c>
      <c r="AL2" t="s">
        <v>206</v>
      </c>
      <c r="AM2" t="s">
        <v>213</v>
      </c>
      <c r="AN2" t="s">
        <v>220</v>
      </c>
      <c r="AO2" t="s">
        <v>227</v>
      </c>
      <c r="AP2" t="s">
        <v>230</v>
      </c>
      <c r="AQ2" t="s">
        <v>233</v>
      </c>
    </row>
    <row r="3" spans="1:43" x14ac:dyDescent="0.45">
      <c r="T3" t="s">
        <v>117</v>
      </c>
      <c r="U3" t="s">
        <v>100</v>
      </c>
      <c r="V3" t="s">
        <v>100</v>
      </c>
      <c r="W3" t="s">
        <v>124</v>
      </c>
      <c r="X3" t="s">
        <v>125</v>
      </c>
      <c r="Y3" t="s">
        <v>125</v>
      </c>
      <c r="Z3" t="s">
        <v>138</v>
      </c>
      <c r="AA3" t="s">
        <v>138</v>
      </c>
      <c r="AB3" t="s">
        <v>138</v>
      </c>
      <c r="AC3" t="s">
        <v>145</v>
      </c>
      <c r="AD3" t="s">
        <v>157</v>
      </c>
      <c r="AE3" t="s">
        <v>169</v>
      </c>
      <c r="AF3" t="s">
        <v>180</v>
      </c>
      <c r="AG3" t="s">
        <v>119</v>
      </c>
      <c r="AH3" t="s">
        <v>119</v>
      </c>
      <c r="AI3" t="s">
        <v>195</v>
      </c>
      <c r="AJ3" t="s">
        <v>199</v>
      </c>
      <c r="AK3" t="s">
        <v>203</v>
      </c>
      <c r="AL3" t="s">
        <v>207</v>
      </c>
      <c r="AM3" t="s">
        <v>214</v>
      </c>
      <c r="AN3" t="s">
        <v>221</v>
      </c>
      <c r="AO3" t="s">
        <v>228</v>
      </c>
      <c r="AP3" t="s">
        <v>231</v>
      </c>
      <c r="AQ3" t="s">
        <v>234</v>
      </c>
    </row>
    <row r="4" spans="1:43" x14ac:dyDescent="0.45">
      <c r="T4" t="s">
        <v>118</v>
      </c>
      <c r="U4" t="s">
        <v>118</v>
      </c>
      <c r="V4" t="s">
        <v>118</v>
      </c>
      <c r="W4" t="s">
        <v>125</v>
      </c>
      <c r="X4" t="s">
        <v>133</v>
      </c>
      <c r="Y4" t="s">
        <v>133</v>
      </c>
      <c r="Z4" t="s">
        <v>139</v>
      </c>
      <c r="AA4" t="s">
        <v>139</v>
      </c>
      <c r="AB4" t="s">
        <v>139</v>
      </c>
      <c r="AC4" t="s">
        <v>146</v>
      </c>
      <c r="AD4" t="s">
        <v>158</v>
      </c>
      <c r="AE4" t="s">
        <v>170</v>
      </c>
      <c r="AF4" t="s">
        <v>181</v>
      </c>
      <c r="AI4" t="s">
        <v>196</v>
      </c>
      <c r="AJ4" t="s">
        <v>200</v>
      </c>
      <c r="AK4" t="s">
        <v>204</v>
      </c>
      <c r="AL4" t="s">
        <v>208</v>
      </c>
      <c r="AM4" t="s">
        <v>215</v>
      </c>
      <c r="AN4" t="s">
        <v>222</v>
      </c>
      <c r="AO4" t="s">
        <v>118</v>
      </c>
      <c r="AP4" t="s">
        <v>118</v>
      </c>
      <c r="AQ4" t="s">
        <v>118</v>
      </c>
    </row>
    <row r="5" spans="1:43" x14ac:dyDescent="0.45">
      <c r="T5" t="s">
        <v>119</v>
      </c>
      <c r="U5" t="s">
        <v>119</v>
      </c>
      <c r="V5" t="s">
        <v>119</v>
      </c>
      <c r="W5" t="s">
        <v>126</v>
      </c>
      <c r="X5" t="s">
        <v>118</v>
      </c>
      <c r="Y5" t="s">
        <v>118</v>
      </c>
      <c r="Z5" t="s">
        <v>140</v>
      </c>
      <c r="AA5" t="s">
        <v>140</v>
      </c>
      <c r="AB5" t="s">
        <v>140</v>
      </c>
      <c r="AC5" t="s">
        <v>147</v>
      </c>
      <c r="AD5" t="s">
        <v>159</v>
      </c>
      <c r="AE5" t="s">
        <v>171</v>
      </c>
      <c r="AF5" t="s">
        <v>118</v>
      </c>
      <c r="AI5" t="s">
        <v>118</v>
      </c>
      <c r="AJ5" t="s">
        <v>118</v>
      </c>
      <c r="AK5" t="s">
        <v>118</v>
      </c>
      <c r="AL5" t="s">
        <v>209</v>
      </c>
      <c r="AM5" t="s">
        <v>216</v>
      </c>
      <c r="AN5" t="s">
        <v>223</v>
      </c>
      <c r="AO5" t="s">
        <v>119</v>
      </c>
      <c r="AP5" t="s">
        <v>119</v>
      </c>
      <c r="AQ5" t="s">
        <v>119</v>
      </c>
    </row>
    <row r="6" spans="1:43" x14ac:dyDescent="0.45">
      <c r="W6" t="s">
        <v>127</v>
      </c>
      <c r="X6" t="s">
        <v>119</v>
      </c>
      <c r="Y6" t="s">
        <v>119</v>
      </c>
      <c r="Z6" t="s">
        <v>118</v>
      </c>
      <c r="AA6" t="s">
        <v>118</v>
      </c>
      <c r="AB6" t="s">
        <v>118</v>
      </c>
      <c r="AC6" t="s">
        <v>148</v>
      </c>
      <c r="AD6" t="s">
        <v>160</v>
      </c>
      <c r="AE6" t="s">
        <v>172</v>
      </c>
      <c r="AF6" t="s">
        <v>119</v>
      </c>
      <c r="AI6" t="s">
        <v>119</v>
      </c>
      <c r="AJ6" t="s">
        <v>119</v>
      </c>
      <c r="AK6" t="s">
        <v>119</v>
      </c>
      <c r="AL6" t="s">
        <v>210</v>
      </c>
      <c r="AM6" t="s">
        <v>217</v>
      </c>
      <c r="AN6" t="s">
        <v>224</v>
      </c>
    </row>
    <row r="7" spans="1:43" x14ac:dyDescent="0.45">
      <c r="W7" t="s">
        <v>128</v>
      </c>
      <c r="Z7" t="s">
        <v>119</v>
      </c>
      <c r="AA7" t="s">
        <v>119</v>
      </c>
      <c r="AB7" t="s">
        <v>119</v>
      </c>
      <c r="AC7" t="s">
        <v>149</v>
      </c>
      <c r="AD7" t="s">
        <v>161</v>
      </c>
      <c r="AE7" t="s">
        <v>145</v>
      </c>
      <c r="AL7" t="s">
        <v>211</v>
      </c>
      <c r="AM7" t="s">
        <v>218</v>
      </c>
      <c r="AN7" t="s">
        <v>225</v>
      </c>
    </row>
    <row r="8" spans="1:43" x14ac:dyDescent="0.45">
      <c r="W8" t="s">
        <v>129</v>
      </c>
      <c r="AC8" t="s">
        <v>150</v>
      </c>
      <c r="AD8" t="s">
        <v>162</v>
      </c>
      <c r="AE8" t="s">
        <v>173</v>
      </c>
      <c r="AL8" t="s">
        <v>118</v>
      </c>
      <c r="AM8" t="s">
        <v>118</v>
      </c>
      <c r="AN8" t="s">
        <v>118</v>
      </c>
    </row>
    <row r="9" spans="1:43" x14ac:dyDescent="0.45">
      <c r="W9" t="s">
        <v>130</v>
      </c>
      <c r="AC9" t="s">
        <v>151</v>
      </c>
      <c r="AD9" t="s">
        <v>163</v>
      </c>
      <c r="AE9" t="s">
        <v>174</v>
      </c>
      <c r="AL9" t="s">
        <v>119</v>
      </c>
      <c r="AM9" t="s">
        <v>119</v>
      </c>
      <c r="AN9" t="s">
        <v>119</v>
      </c>
    </row>
    <row r="10" spans="1:43" x14ac:dyDescent="0.45">
      <c r="W10" t="s">
        <v>131</v>
      </c>
      <c r="AC10" t="s">
        <v>152</v>
      </c>
      <c r="AD10" t="s">
        <v>164</v>
      </c>
      <c r="AE10" t="s">
        <v>175</v>
      </c>
    </row>
    <row r="11" spans="1:43" x14ac:dyDescent="0.45">
      <c r="W11" t="s">
        <v>132</v>
      </c>
      <c r="AC11" t="s">
        <v>153</v>
      </c>
      <c r="AD11" t="s">
        <v>165</v>
      </c>
      <c r="AE11" t="s">
        <v>176</v>
      </c>
    </row>
    <row r="12" spans="1:43" x14ac:dyDescent="0.45">
      <c r="W12" t="s">
        <v>133</v>
      </c>
      <c r="AC12" t="s">
        <v>154</v>
      </c>
      <c r="AD12" t="s">
        <v>166</v>
      </c>
      <c r="AE12" t="s">
        <v>177</v>
      </c>
    </row>
    <row r="13" spans="1:43" x14ac:dyDescent="0.45">
      <c r="W13" t="s">
        <v>118</v>
      </c>
      <c r="AC13" t="s">
        <v>118</v>
      </c>
      <c r="AD13" t="s">
        <v>118</v>
      </c>
      <c r="AE13" t="s">
        <v>118</v>
      </c>
    </row>
    <row r="14" spans="1:43" x14ac:dyDescent="0.45">
      <c r="W14" t="s">
        <v>119</v>
      </c>
      <c r="AC14" t="s">
        <v>119</v>
      </c>
      <c r="AD14" t="s">
        <v>119</v>
      </c>
      <c r="AE14" t="s">
        <v>119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8A80F-37E0-4439-87C1-64DCF3AB2315}">
  <dimension ref="A1:K6"/>
  <sheetViews>
    <sheetView workbookViewId="0"/>
  </sheetViews>
  <sheetFormatPr defaultRowHeight="14.25" x14ac:dyDescent="0.45"/>
  <sheetData>
    <row r="1" spans="1:11" ht="15.75" x14ac:dyDescent="0.5">
      <c r="A1" s="38" t="s">
        <v>127</v>
      </c>
      <c r="B1" s="38" t="s">
        <v>133</v>
      </c>
      <c r="C1" s="38" t="s">
        <v>186</v>
      </c>
      <c r="D1" s="38" t="s">
        <v>132</v>
      </c>
      <c r="E1" s="38" t="s">
        <v>123</v>
      </c>
      <c r="F1" s="38" t="s">
        <v>128</v>
      </c>
      <c r="G1" s="38" t="s">
        <v>124</v>
      </c>
      <c r="H1" s="38" t="s">
        <v>125</v>
      </c>
      <c r="I1" s="38" t="s">
        <v>130</v>
      </c>
      <c r="J1" s="38" t="s">
        <v>126</v>
      </c>
      <c r="K1" s="38" t="s">
        <v>129</v>
      </c>
    </row>
    <row r="2" spans="1:11" x14ac:dyDescent="0.45">
      <c r="A2" t="s">
        <v>184</v>
      </c>
      <c r="B2" t="s">
        <v>185</v>
      </c>
      <c r="C2" t="s">
        <v>184</v>
      </c>
      <c r="D2" t="s">
        <v>184</v>
      </c>
      <c r="E2" t="s">
        <v>184</v>
      </c>
      <c r="F2" t="s">
        <v>184</v>
      </c>
      <c r="G2" t="s">
        <v>184</v>
      </c>
      <c r="H2" t="s">
        <v>184</v>
      </c>
      <c r="I2" t="s">
        <v>187</v>
      </c>
      <c r="J2" t="s">
        <v>184</v>
      </c>
      <c r="K2" t="s">
        <v>184</v>
      </c>
    </row>
    <row r="3" spans="1:11" x14ac:dyDescent="0.45">
      <c r="A3" t="s">
        <v>185</v>
      </c>
      <c r="B3" t="s">
        <v>118</v>
      </c>
      <c r="C3" t="s">
        <v>187</v>
      </c>
      <c r="D3" t="s">
        <v>185</v>
      </c>
      <c r="E3" t="s">
        <v>185</v>
      </c>
      <c r="F3" t="s">
        <v>185</v>
      </c>
      <c r="G3" t="s">
        <v>185</v>
      </c>
      <c r="H3" t="s">
        <v>185</v>
      </c>
      <c r="I3" t="s">
        <v>118</v>
      </c>
      <c r="J3" t="s">
        <v>185</v>
      </c>
      <c r="K3" t="s">
        <v>185</v>
      </c>
    </row>
    <row r="4" spans="1:11" x14ac:dyDescent="0.45">
      <c r="A4" t="s">
        <v>118</v>
      </c>
      <c r="B4" t="s">
        <v>119</v>
      </c>
      <c r="C4" t="s">
        <v>185</v>
      </c>
      <c r="D4" t="s">
        <v>118</v>
      </c>
      <c r="E4" t="s">
        <v>118</v>
      </c>
      <c r="F4" t="s">
        <v>118</v>
      </c>
      <c r="G4" t="s">
        <v>118</v>
      </c>
      <c r="H4" t="s">
        <v>118</v>
      </c>
      <c r="I4" t="s">
        <v>119</v>
      </c>
      <c r="J4" t="s">
        <v>118</v>
      </c>
      <c r="K4" t="s">
        <v>118</v>
      </c>
    </row>
    <row r="5" spans="1:11" x14ac:dyDescent="0.45">
      <c r="A5" t="s">
        <v>119</v>
      </c>
      <c r="C5" t="s">
        <v>118</v>
      </c>
      <c r="D5" t="s">
        <v>119</v>
      </c>
      <c r="E5" t="s">
        <v>119</v>
      </c>
      <c r="F5" t="s">
        <v>119</v>
      </c>
      <c r="G5" t="s">
        <v>119</v>
      </c>
      <c r="H5" t="s">
        <v>119</v>
      </c>
      <c r="J5" t="s">
        <v>119</v>
      </c>
      <c r="K5" t="s">
        <v>119</v>
      </c>
    </row>
    <row r="6" spans="1:11" x14ac:dyDescent="0.45">
      <c r="C6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34BF8-2D9F-4481-9281-686A8AA45487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133</v>
      </c>
      <c r="B1" s="39" t="s">
        <v>186</v>
      </c>
      <c r="C1" s="39" t="s">
        <v>123</v>
      </c>
      <c r="D1" s="39" t="s">
        <v>125</v>
      </c>
    </row>
    <row r="2" spans="1:4" x14ac:dyDescent="0.45">
      <c r="A2" t="s">
        <v>188</v>
      </c>
      <c r="B2" t="s">
        <v>189</v>
      </c>
      <c r="C2" t="s">
        <v>189</v>
      </c>
      <c r="D2" t="s">
        <v>189</v>
      </c>
    </row>
    <row r="3" spans="1:4" x14ac:dyDescent="0.45">
      <c r="A3" t="s">
        <v>118</v>
      </c>
      <c r="B3" t="s">
        <v>190</v>
      </c>
      <c r="C3" t="s">
        <v>188</v>
      </c>
      <c r="D3" t="s">
        <v>188</v>
      </c>
    </row>
    <row r="4" spans="1:4" x14ac:dyDescent="0.45">
      <c r="A4" t="s">
        <v>119</v>
      </c>
      <c r="B4" t="s">
        <v>188</v>
      </c>
      <c r="C4" t="s">
        <v>118</v>
      </c>
      <c r="D4" t="s">
        <v>118</v>
      </c>
    </row>
    <row r="5" spans="1:4" x14ac:dyDescent="0.45">
      <c r="B5" t="s">
        <v>118</v>
      </c>
      <c r="C5" t="s">
        <v>119</v>
      </c>
      <c r="D5" t="s">
        <v>119</v>
      </c>
    </row>
    <row r="6" spans="1:4" x14ac:dyDescent="0.45">
      <c r="B6" t="s">
        <v>119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FE83-9F4E-4EA0-8697-4B26B1EF1ECE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133</v>
      </c>
      <c r="B1" s="40" t="s">
        <v>186</v>
      </c>
      <c r="C1" s="40" t="s">
        <v>123</v>
      </c>
      <c r="D1" s="40" t="s">
        <v>125</v>
      </c>
    </row>
    <row r="2" spans="1:4" x14ac:dyDescent="0.45">
      <c r="A2" t="s">
        <v>191</v>
      </c>
      <c r="B2" t="s">
        <v>184</v>
      </c>
      <c r="C2" t="s">
        <v>184</v>
      </c>
      <c r="D2" t="s">
        <v>184</v>
      </c>
    </row>
    <row r="3" spans="1:4" x14ac:dyDescent="0.45">
      <c r="A3" t="s">
        <v>118</v>
      </c>
      <c r="B3" t="s">
        <v>192</v>
      </c>
      <c r="C3" t="s">
        <v>191</v>
      </c>
      <c r="D3" t="s">
        <v>191</v>
      </c>
    </row>
    <row r="4" spans="1:4" x14ac:dyDescent="0.45">
      <c r="A4" t="s">
        <v>119</v>
      </c>
      <c r="B4" t="s">
        <v>191</v>
      </c>
      <c r="C4" t="s">
        <v>118</v>
      </c>
      <c r="D4" t="s">
        <v>118</v>
      </c>
    </row>
    <row r="5" spans="1:4" x14ac:dyDescent="0.45">
      <c r="B5" t="s">
        <v>118</v>
      </c>
      <c r="C5" t="s">
        <v>119</v>
      </c>
      <c r="D5" t="s">
        <v>119</v>
      </c>
    </row>
    <row r="6" spans="1:4" x14ac:dyDescent="0.45">
      <c r="B6" t="s">
        <v>119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6E6ED023-3B1A-4880-9851-35ADE6F3671E}">
  <ds:schemaRefs/>
</ds:datastoreItem>
</file>

<file path=customXml/itemProps2.xml><?xml version="1.0" encoding="utf-8"?>
<ds:datastoreItem xmlns:ds="http://schemas.openxmlformats.org/officeDocument/2006/customXml" ds:itemID="{1866A2CD-A332-4B27-916F-183046920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Help</vt:lpstr>
      <vt:lpstr>Entities</vt:lpstr>
      <vt:lpstr>Migrationsartikel</vt:lpstr>
      <vt:lpstr>Model</vt:lpstr>
      <vt:lpstr>Reference Data</vt:lpstr>
      <vt:lpstr>dedea_axba2387</vt:lpstr>
      <vt:lpstr>frfra_axba1516</vt:lpstr>
      <vt:lpstr>itita_axba3948</vt:lpstr>
      <vt:lpstr>EntitiesCol</vt:lpstr>
      <vt:lpstr>EntitiesRow</vt:lpstr>
      <vt:lpstr>Migrationsartikel!Print_Area</vt:lpstr>
      <vt:lpstr>RSC__refxartikeltypsap</vt:lpstr>
      <vt:lpstr>RSC__refxbooleanalkoholhaltig</vt:lpstr>
      <vt:lpstr>RSC__refxboolen</vt:lpstr>
      <vt:lpstr>RSC__refxgtintyperegioartikel</vt:lpstr>
      <vt:lpstr>RSC__refxshopinshop</vt:lpstr>
      <vt:lpstr>RSC__refxsystemsap</vt:lpstr>
      <vt:lpstr>RSC_atxalkoholhaltig__de_DE</vt:lpstr>
      <vt:lpstr>RSC_atxalkoholhaltig__fr_FR</vt:lpstr>
      <vt:lpstr>RSC_atxalkoholhaltig__it_IT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2025-11-14T12:42:10Z</dcterms:modified>
</cp:coreProperties>
</file>