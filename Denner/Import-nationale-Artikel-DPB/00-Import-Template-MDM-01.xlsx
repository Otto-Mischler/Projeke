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vellencesolutionsag-my.sharepoint.com/personal/otto_mischler_advellence_com/Documents/Dokumente/Projekte/Denner/1629-Regio-Artikel/Import-nationale-Artikel-DPB/"/>
    </mc:Choice>
  </mc:AlternateContent>
  <xr:revisionPtr revIDLastSave="430" documentId="8_{7B0D108A-80F9-4183-A7B0-1E62175227E1}" xr6:coauthVersionLast="47" xr6:coauthVersionMax="47" xr10:uidLastSave="{CF874C90-C5C4-43F0-9127-7F17C56CA7B5}"/>
  <bookViews>
    <workbookView xWindow="-13536" yWindow="-17388" windowWidth="30936" windowHeight="16776" tabRatio="294" activeTab="1" xr2:uid="{422FD670-9615-4BE2-A4A3-55610B308415}"/>
  </bookViews>
  <sheets>
    <sheet name="Help" sheetId="2" r:id="rId1"/>
    <sheet name="Entities" sheetId="1" r:id="rId2"/>
    <sheet name="Migrationsartikel" sheetId="10" r:id="rId3"/>
    <sheet name="Leergutliste" sheetId="11" r:id="rId4"/>
    <sheet name="Model" sheetId="3" state="hidden" r:id="rId5"/>
    <sheet name="Reference Data" sheetId="5" state="hidden" r:id="rId6"/>
    <sheet name="dedea_axba2387" sheetId="6" state="hidden" r:id="rId7"/>
    <sheet name="frfra_axba1516" sheetId="7" state="hidden" r:id="rId8"/>
    <sheet name="itita_axba3948" sheetId="8" state="hidden" r:id="rId9"/>
  </sheets>
  <externalReferences>
    <externalReference r:id="rId10"/>
  </externalReferences>
  <definedNames>
    <definedName name="_xlnm._FilterDatabase" localSheetId="1" hidden="1">Entities!$A$2:$AQ$249</definedName>
    <definedName name="_xlnm._FilterDatabase" localSheetId="2" hidden="1">Migrationsartikel!$A$1:$AJ$248</definedName>
    <definedName name="EntitiesCol">Entities!$SRI$2</definedName>
    <definedName name="EntitiesRow">Entities!$A$999490</definedName>
    <definedName name="_xlnm.Print_Area" localSheetId="2">Migrationsartikel!$F$1:$AG$4</definedName>
    <definedName name="RelationshipsCol">[1]Relationships!$SSS$2</definedName>
    <definedName name="RelationshipsRow">[1]Relationships!$A$1000000</definedName>
    <definedName name="RSC__refxartikeltypsap">'Reference Data'!$T$2:$T$5</definedName>
    <definedName name="RSC__refxbooleanalkoholhaltig">'Reference Data'!$U$2:$U$5</definedName>
    <definedName name="RSC__refxboolen">'Reference Data'!$V$2:$V$5</definedName>
    <definedName name="RSC__refxgtintyperegioartikel">'Reference Data'!$AP$2:$AP$5</definedName>
    <definedName name="RSC__refxshopinshop">'Reference Data'!$AO$2:$AO$5</definedName>
    <definedName name="RSC__refxsystemsap">'Reference Data'!$AQ$2:$AQ$5</definedName>
    <definedName name="RSC_atxalkoholhaltig__de_DE">'Reference Data'!$M$2:$M$2</definedName>
    <definedName name="RSC_atxalkoholhaltig__fr_FR">'Reference Data'!$L$2:$L$2</definedName>
    <definedName name="RSC_atxalkoholhaltig__it_IT">'Reference Data'!$G$2:$G$2</definedName>
    <definedName name="RSC_atxwarengruppesap__de_DE">'Reference Data'!$B$2:$B$2</definedName>
    <definedName name="RSC_atxwarengruppesap__fr_FR">'Reference Data'!$E$2:$E$2</definedName>
    <definedName name="RSC_atxwarengruppesap__it_IT">'Reference Data'!$O$2:$O$2</definedName>
    <definedName name="RSC_axartikelslpmstruktur__de_DE">'Reference Data'!$C$2:$C$2</definedName>
    <definedName name="RSC_axartikelslpmstruktur__fr_FR">'Reference Data'!$H$2:$H$2</definedName>
    <definedName name="RSC_axartikelslpmstruktur__it_IT">'Reference Data'!$A$2:$A$2</definedName>
    <definedName name="RSC_axartikeltypsap__de_DE">'Reference Data'!$J$2:$J$2</definedName>
    <definedName name="RSC_axartikeltypsap__fr_FR">'Reference Data'!$I$2:$I$2</definedName>
    <definedName name="RSC_axartikeltypsap__it_IT">'Reference Data'!$P$2:$P$2</definedName>
    <definedName name="RSC_axmhdvorhanden__de_DE">'Reference Data'!$N$2:$N$2</definedName>
    <definedName name="RSC_axmhdvorhanden__fr_FR">'Reference Data'!$Q$2:$Q$2</definedName>
    <definedName name="RSC_axmhdvorhanden__it_IT">'Reference Data'!$D$2:$D$2</definedName>
    <definedName name="RSC_axtaxdummyfilter__de_DE">'Reference Data'!$K$2:$K$2</definedName>
    <definedName name="RSC_axtaxdummyfilter__fr_FR">'Reference Data'!$R$2:$R$2</definedName>
    <definedName name="RSC_axtaxdummyfilter__it_IT">'Reference Data'!$F$2:$F$2</definedName>
    <definedName name="RSC_de_DE_refxaltersbegrtyp">'Reference Data'!$AL$2:$AL$9</definedName>
    <definedName name="RSC_de_DE_refxartikelartsap">'Reference Data'!$W$2:$W$14</definedName>
    <definedName name="RSC_de_DE_refxmengeneinheit">'Reference Data'!$AC$2:$AC$14</definedName>
    <definedName name="RSC_de_DE_refxsaisontypsap">'Reference Data'!$Z$2:$Z$7</definedName>
    <definedName name="RSC_de_DE_refxtaxclass">'Reference Data'!$AI$2:$AI$6</definedName>
    <definedName name="RSC_de_DE_refxvergleichspreiseinheit">'Reference Data'!$AF$2:$AF$6</definedName>
    <definedName name="RSC_ENTITY_NAME">'Reference Data'!$S$2:$S$2</definedName>
    <definedName name="RSC_fr_FR_refxaltersbegrtyp">'Reference Data'!$AM$2:$AM$9</definedName>
    <definedName name="RSC_fr_FR_refxartikelartsap">'Reference Data'!$X$2:$X$6</definedName>
    <definedName name="RSC_fr_FR_refxmengeneinheit">'Reference Data'!$AD$2:$AD$14</definedName>
    <definedName name="RSC_fr_FR_refxsaisontypsap">'Reference Data'!$AA$2:$AA$7</definedName>
    <definedName name="RSC_fr_FR_refxtaxclass">'Reference Data'!$AJ$2:$AJ$6</definedName>
    <definedName name="RSC_fr_FR_refxvergleichspreiseinheit">'Reference Data'!$AG$2:$AG$3</definedName>
    <definedName name="RSC_it_IT_refxaltersbegrtyp">'Reference Data'!$AN$2:$AN$9</definedName>
    <definedName name="RSC_it_IT_refxartikelartsap">'Reference Data'!$Y$2:$Y$6</definedName>
    <definedName name="RSC_it_IT_refxmengeneinheit">'Reference Data'!$AE$2:$AE$14</definedName>
    <definedName name="RSC_it_IT_refxsaisontypsap">'Reference Data'!$AB$2:$AB$7</definedName>
    <definedName name="RSC_it_IT_refxtaxclass">'Reference Data'!$AK$2:$AK$6</definedName>
    <definedName name="RSC_it_IT_refxvergleichspreiseinheit">'Reference Data'!$AH$2:$AH$3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49" i="1" l="1"/>
  <c r="AL249" i="1"/>
  <c r="AK249" i="1"/>
  <c r="AJ249" i="1"/>
  <c r="AI249" i="1"/>
  <c r="AH249" i="1"/>
  <c r="AF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J249" i="1"/>
  <c r="AN249" i="1" s="1"/>
  <c r="F249" i="1"/>
  <c r="AN248" i="1"/>
  <c r="AM248" i="1"/>
  <c r="AL248" i="1"/>
  <c r="AK248" i="1"/>
  <c r="AJ248" i="1"/>
  <c r="AI248" i="1"/>
  <c r="AH248" i="1"/>
  <c r="AF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J248" i="1"/>
  <c r="F248" i="1"/>
  <c r="AN247" i="1"/>
  <c r="AM247" i="1"/>
  <c r="AL247" i="1"/>
  <c r="AK247" i="1"/>
  <c r="AJ247" i="1"/>
  <c r="AI247" i="1"/>
  <c r="AH247" i="1"/>
  <c r="AF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J247" i="1"/>
  <c r="F247" i="1"/>
  <c r="AM246" i="1"/>
  <c r="AL246" i="1"/>
  <c r="AK246" i="1"/>
  <c r="AJ246" i="1"/>
  <c r="AI246" i="1"/>
  <c r="AH246" i="1"/>
  <c r="AF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J246" i="1"/>
  <c r="AN246" i="1" s="1"/>
  <c r="F246" i="1"/>
  <c r="AN245" i="1"/>
  <c r="AM245" i="1"/>
  <c r="AL245" i="1"/>
  <c r="AK245" i="1"/>
  <c r="AJ245" i="1"/>
  <c r="AI245" i="1"/>
  <c r="AH245" i="1"/>
  <c r="AF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J245" i="1"/>
  <c r="F245" i="1"/>
  <c r="AM244" i="1"/>
  <c r="AL244" i="1"/>
  <c r="AK244" i="1"/>
  <c r="AJ244" i="1"/>
  <c r="AI244" i="1"/>
  <c r="AH244" i="1"/>
  <c r="AF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J244" i="1"/>
  <c r="AN244" i="1" s="1"/>
  <c r="F244" i="1"/>
  <c r="AM243" i="1"/>
  <c r="AL243" i="1"/>
  <c r="AK243" i="1"/>
  <c r="AJ243" i="1"/>
  <c r="AI243" i="1"/>
  <c r="AH243" i="1"/>
  <c r="AF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J243" i="1"/>
  <c r="AN243" i="1" s="1"/>
  <c r="F243" i="1"/>
  <c r="AM242" i="1"/>
  <c r="AL242" i="1"/>
  <c r="AK242" i="1"/>
  <c r="AJ242" i="1"/>
  <c r="AI242" i="1"/>
  <c r="AH242" i="1"/>
  <c r="AF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J242" i="1"/>
  <c r="AN242" i="1" s="1"/>
  <c r="F242" i="1"/>
  <c r="AM241" i="1"/>
  <c r="AL241" i="1"/>
  <c r="AK241" i="1"/>
  <c r="AJ241" i="1"/>
  <c r="AI241" i="1"/>
  <c r="AH241" i="1"/>
  <c r="AF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J241" i="1"/>
  <c r="AN241" i="1" s="1"/>
  <c r="F241" i="1"/>
  <c r="AN240" i="1"/>
  <c r="AM240" i="1"/>
  <c r="AL240" i="1"/>
  <c r="AK240" i="1"/>
  <c r="AJ240" i="1"/>
  <c r="AI240" i="1"/>
  <c r="AH240" i="1"/>
  <c r="AF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J240" i="1"/>
  <c r="F240" i="1"/>
  <c r="AN239" i="1"/>
  <c r="AM239" i="1"/>
  <c r="AL239" i="1"/>
  <c r="AK239" i="1"/>
  <c r="AJ239" i="1"/>
  <c r="AI239" i="1"/>
  <c r="AH239" i="1"/>
  <c r="AF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J239" i="1"/>
  <c r="F239" i="1"/>
  <c r="AM238" i="1"/>
  <c r="AL238" i="1"/>
  <c r="AK238" i="1"/>
  <c r="AJ238" i="1"/>
  <c r="AI238" i="1"/>
  <c r="AH238" i="1"/>
  <c r="AF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J238" i="1"/>
  <c r="AN238" i="1" s="1"/>
  <c r="F238" i="1"/>
  <c r="AN237" i="1"/>
  <c r="AM237" i="1"/>
  <c r="AL237" i="1"/>
  <c r="AK237" i="1"/>
  <c r="AJ237" i="1"/>
  <c r="AI237" i="1"/>
  <c r="AH237" i="1"/>
  <c r="AF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J237" i="1"/>
  <c r="F237" i="1"/>
  <c r="AM236" i="1"/>
  <c r="AL236" i="1"/>
  <c r="AK236" i="1"/>
  <c r="AJ236" i="1"/>
  <c r="AI236" i="1"/>
  <c r="AH236" i="1"/>
  <c r="AF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J236" i="1"/>
  <c r="AN236" i="1" s="1"/>
  <c r="F236" i="1"/>
  <c r="AM235" i="1"/>
  <c r="AL235" i="1"/>
  <c r="AK235" i="1"/>
  <c r="AJ235" i="1"/>
  <c r="AI235" i="1"/>
  <c r="AH235" i="1"/>
  <c r="AF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J235" i="1"/>
  <c r="AN235" i="1" s="1"/>
  <c r="F235" i="1"/>
  <c r="AM234" i="1"/>
  <c r="AL234" i="1"/>
  <c r="AK234" i="1"/>
  <c r="AJ234" i="1"/>
  <c r="AI234" i="1"/>
  <c r="AH234" i="1"/>
  <c r="AF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J234" i="1"/>
  <c r="AN234" i="1" s="1"/>
  <c r="F234" i="1"/>
  <c r="AN233" i="1"/>
  <c r="AM233" i="1"/>
  <c r="AL233" i="1"/>
  <c r="AK233" i="1"/>
  <c r="AJ233" i="1"/>
  <c r="AI233" i="1"/>
  <c r="AH233" i="1"/>
  <c r="AF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J233" i="1"/>
  <c r="F233" i="1"/>
  <c r="AN232" i="1"/>
  <c r="AM232" i="1"/>
  <c r="AL232" i="1"/>
  <c r="AK232" i="1"/>
  <c r="AJ232" i="1"/>
  <c r="AI232" i="1"/>
  <c r="AH232" i="1"/>
  <c r="AF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J232" i="1"/>
  <c r="F232" i="1"/>
  <c r="AM231" i="1"/>
  <c r="AL231" i="1"/>
  <c r="AK231" i="1"/>
  <c r="AJ231" i="1"/>
  <c r="AI231" i="1"/>
  <c r="AH231" i="1"/>
  <c r="AF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J231" i="1"/>
  <c r="AN231" i="1" s="1"/>
  <c r="F231" i="1"/>
  <c r="AN230" i="1"/>
  <c r="AM230" i="1"/>
  <c r="AL230" i="1"/>
  <c r="AK230" i="1"/>
  <c r="AJ230" i="1"/>
  <c r="AI230" i="1"/>
  <c r="AH230" i="1"/>
  <c r="AF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J230" i="1"/>
  <c r="F230" i="1"/>
  <c r="AN229" i="1"/>
  <c r="AM229" i="1"/>
  <c r="AL229" i="1"/>
  <c r="AK229" i="1"/>
  <c r="AJ229" i="1"/>
  <c r="AI229" i="1"/>
  <c r="AH229" i="1"/>
  <c r="AF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J229" i="1"/>
  <c r="F229" i="1"/>
  <c r="AM228" i="1"/>
  <c r="AL228" i="1"/>
  <c r="AK228" i="1"/>
  <c r="AJ228" i="1"/>
  <c r="AI228" i="1"/>
  <c r="AH228" i="1"/>
  <c r="AF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J228" i="1"/>
  <c r="AN228" i="1" s="1"/>
  <c r="F228" i="1"/>
  <c r="AN227" i="1"/>
  <c r="AM227" i="1"/>
  <c r="AL227" i="1"/>
  <c r="AK227" i="1"/>
  <c r="AJ227" i="1"/>
  <c r="AI227" i="1"/>
  <c r="AH227" i="1"/>
  <c r="AF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J227" i="1"/>
  <c r="F227" i="1"/>
  <c r="AN226" i="1"/>
  <c r="AM226" i="1"/>
  <c r="AL226" i="1"/>
  <c r="AK226" i="1"/>
  <c r="AJ226" i="1"/>
  <c r="AI226" i="1"/>
  <c r="AH226" i="1"/>
  <c r="AF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J226" i="1"/>
  <c r="F226" i="1"/>
  <c r="AN225" i="1"/>
  <c r="AM225" i="1"/>
  <c r="AL225" i="1"/>
  <c r="AK225" i="1"/>
  <c r="AJ225" i="1"/>
  <c r="AI225" i="1"/>
  <c r="AH225" i="1"/>
  <c r="AF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J225" i="1"/>
  <c r="F225" i="1"/>
  <c r="AN224" i="1"/>
  <c r="AM224" i="1"/>
  <c r="AL224" i="1"/>
  <c r="AK224" i="1"/>
  <c r="AJ224" i="1"/>
  <c r="AI224" i="1"/>
  <c r="AH224" i="1"/>
  <c r="AF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J224" i="1"/>
  <c r="F224" i="1"/>
  <c r="AN223" i="1"/>
  <c r="AM223" i="1"/>
  <c r="AL223" i="1"/>
  <c r="AK223" i="1"/>
  <c r="AJ223" i="1"/>
  <c r="AI223" i="1"/>
  <c r="AH223" i="1"/>
  <c r="AF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J223" i="1"/>
  <c r="F223" i="1"/>
  <c r="AN222" i="1"/>
  <c r="AM222" i="1"/>
  <c r="AL222" i="1"/>
  <c r="AK222" i="1"/>
  <c r="AJ222" i="1"/>
  <c r="AI222" i="1"/>
  <c r="AH222" i="1"/>
  <c r="AF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J222" i="1"/>
  <c r="F222" i="1"/>
  <c r="AN221" i="1"/>
  <c r="AM221" i="1"/>
  <c r="AL221" i="1"/>
  <c r="AK221" i="1"/>
  <c r="AJ221" i="1"/>
  <c r="AI221" i="1"/>
  <c r="AH221" i="1"/>
  <c r="AF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J221" i="1"/>
  <c r="F221" i="1"/>
  <c r="AM220" i="1"/>
  <c r="AL220" i="1"/>
  <c r="AK220" i="1"/>
  <c r="AJ220" i="1"/>
  <c r="AI220" i="1"/>
  <c r="AH220" i="1"/>
  <c r="AF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J220" i="1"/>
  <c r="AN220" i="1" s="1"/>
  <c r="F220" i="1"/>
  <c r="AN219" i="1"/>
  <c r="AM219" i="1"/>
  <c r="AL219" i="1"/>
  <c r="AK219" i="1"/>
  <c r="AJ219" i="1"/>
  <c r="AI219" i="1"/>
  <c r="AH219" i="1"/>
  <c r="AF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J219" i="1"/>
  <c r="F219" i="1"/>
  <c r="AN218" i="1"/>
  <c r="AM218" i="1"/>
  <c r="AL218" i="1"/>
  <c r="AK218" i="1"/>
  <c r="AJ218" i="1"/>
  <c r="AI218" i="1"/>
  <c r="AH218" i="1"/>
  <c r="AF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J218" i="1"/>
  <c r="F218" i="1"/>
  <c r="AM217" i="1"/>
  <c r="AL217" i="1"/>
  <c r="AK217" i="1"/>
  <c r="AJ217" i="1"/>
  <c r="AI217" i="1"/>
  <c r="AH217" i="1"/>
  <c r="AF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J217" i="1"/>
  <c r="AN217" i="1" s="1"/>
  <c r="F217" i="1"/>
  <c r="AN216" i="1"/>
  <c r="AM216" i="1"/>
  <c r="AL216" i="1"/>
  <c r="AK216" i="1"/>
  <c r="AJ216" i="1"/>
  <c r="AI216" i="1"/>
  <c r="AH216" i="1"/>
  <c r="AF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J216" i="1"/>
  <c r="F216" i="1"/>
  <c r="AN215" i="1"/>
  <c r="AM215" i="1"/>
  <c r="AL215" i="1"/>
  <c r="AK215" i="1"/>
  <c r="AJ215" i="1"/>
  <c r="AI215" i="1"/>
  <c r="AH215" i="1"/>
  <c r="AF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J215" i="1"/>
  <c r="F215" i="1"/>
  <c r="AN214" i="1"/>
  <c r="AM214" i="1"/>
  <c r="AL214" i="1"/>
  <c r="AK214" i="1"/>
  <c r="AJ214" i="1"/>
  <c r="AI214" i="1"/>
  <c r="AH214" i="1"/>
  <c r="AF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J214" i="1"/>
  <c r="F214" i="1"/>
  <c r="AN213" i="1"/>
  <c r="AM213" i="1"/>
  <c r="AL213" i="1"/>
  <c r="AK213" i="1"/>
  <c r="AJ213" i="1"/>
  <c r="AI213" i="1"/>
  <c r="AH213" i="1"/>
  <c r="AF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J213" i="1"/>
  <c r="F213" i="1"/>
  <c r="AM212" i="1"/>
  <c r="AL212" i="1"/>
  <c r="AK212" i="1"/>
  <c r="AJ212" i="1"/>
  <c r="AI212" i="1"/>
  <c r="AH212" i="1"/>
  <c r="AF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J212" i="1"/>
  <c r="AN212" i="1" s="1"/>
  <c r="F212" i="1"/>
  <c r="AN211" i="1"/>
  <c r="AM211" i="1"/>
  <c r="AL211" i="1"/>
  <c r="AK211" i="1"/>
  <c r="AJ211" i="1"/>
  <c r="AI211" i="1"/>
  <c r="AH211" i="1"/>
  <c r="AF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J211" i="1"/>
  <c r="F211" i="1"/>
  <c r="AN210" i="1"/>
  <c r="AM210" i="1"/>
  <c r="AL210" i="1"/>
  <c r="AK210" i="1"/>
  <c r="AJ210" i="1"/>
  <c r="AI210" i="1"/>
  <c r="AH210" i="1"/>
  <c r="AF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J210" i="1"/>
  <c r="F210" i="1"/>
  <c r="AN209" i="1"/>
  <c r="AM209" i="1"/>
  <c r="AL209" i="1"/>
  <c r="AK209" i="1"/>
  <c r="AJ209" i="1"/>
  <c r="AI209" i="1"/>
  <c r="AH209" i="1"/>
  <c r="AF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J209" i="1"/>
  <c r="F209" i="1"/>
  <c r="AN208" i="1"/>
  <c r="AM208" i="1"/>
  <c r="AL208" i="1"/>
  <c r="AK208" i="1"/>
  <c r="AJ208" i="1"/>
  <c r="AI208" i="1"/>
  <c r="AH208" i="1"/>
  <c r="AF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J208" i="1"/>
  <c r="F208" i="1"/>
  <c r="AN207" i="1"/>
  <c r="AM207" i="1"/>
  <c r="AL207" i="1"/>
  <c r="AK207" i="1"/>
  <c r="AJ207" i="1"/>
  <c r="AI207" i="1"/>
  <c r="AH207" i="1"/>
  <c r="AF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J207" i="1"/>
  <c r="F207" i="1"/>
  <c r="AM206" i="1"/>
  <c r="AL206" i="1"/>
  <c r="AK206" i="1"/>
  <c r="AJ206" i="1"/>
  <c r="AI206" i="1"/>
  <c r="AH206" i="1"/>
  <c r="AF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J206" i="1"/>
  <c r="AN206" i="1" s="1"/>
  <c r="F206" i="1"/>
  <c r="AN205" i="1"/>
  <c r="AM205" i="1"/>
  <c r="AL205" i="1"/>
  <c r="AK205" i="1"/>
  <c r="AJ205" i="1"/>
  <c r="AI205" i="1"/>
  <c r="AH205" i="1"/>
  <c r="AF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J205" i="1"/>
  <c r="F205" i="1"/>
  <c r="AN204" i="1"/>
  <c r="AM204" i="1"/>
  <c r="AL204" i="1"/>
  <c r="AK204" i="1"/>
  <c r="AJ204" i="1"/>
  <c r="AI204" i="1"/>
  <c r="AH204" i="1"/>
  <c r="AF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J204" i="1"/>
  <c r="F204" i="1"/>
  <c r="AM203" i="1"/>
  <c r="AL203" i="1"/>
  <c r="AK203" i="1"/>
  <c r="AJ203" i="1"/>
  <c r="AI203" i="1"/>
  <c r="AH203" i="1"/>
  <c r="AF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J203" i="1"/>
  <c r="AN203" i="1" s="1"/>
  <c r="F203" i="1"/>
  <c r="AN202" i="1"/>
  <c r="AM202" i="1"/>
  <c r="AL202" i="1"/>
  <c r="AK202" i="1"/>
  <c r="AJ202" i="1"/>
  <c r="AI202" i="1"/>
  <c r="AH202" i="1"/>
  <c r="AF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J202" i="1"/>
  <c r="F202" i="1"/>
  <c r="AN201" i="1"/>
  <c r="AM201" i="1"/>
  <c r="AL201" i="1"/>
  <c r="AK201" i="1"/>
  <c r="AJ201" i="1"/>
  <c r="AI201" i="1"/>
  <c r="AH201" i="1"/>
  <c r="AF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J201" i="1"/>
  <c r="F201" i="1"/>
  <c r="AN200" i="1"/>
  <c r="AM200" i="1"/>
  <c r="AL200" i="1"/>
  <c r="AK200" i="1"/>
  <c r="AJ200" i="1"/>
  <c r="AI200" i="1"/>
  <c r="AH200" i="1"/>
  <c r="AF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J200" i="1"/>
  <c r="F200" i="1"/>
  <c r="AN199" i="1"/>
  <c r="AM199" i="1"/>
  <c r="AL199" i="1"/>
  <c r="AK199" i="1"/>
  <c r="AJ199" i="1"/>
  <c r="AI199" i="1"/>
  <c r="AH199" i="1"/>
  <c r="AF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J199" i="1"/>
  <c r="F199" i="1"/>
  <c r="AN198" i="1"/>
  <c r="AM198" i="1"/>
  <c r="AL198" i="1"/>
  <c r="AK198" i="1"/>
  <c r="AJ198" i="1"/>
  <c r="AI198" i="1"/>
  <c r="AH198" i="1"/>
  <c r="AF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J198" i="1"/>
  <c r="F198" i="1"/>
  <c r="AN197" i="1"/>
  <c r="AM197" i="1"/>
  <c r="AL197" i="1"/>
  <c r="AK197" i="1"/>
  <c r="AJ197" i="1"/>
  <c r="AI197" i="1"/>
  <c r="AH197" i="1"/>
  <c r="AF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J197" i="1"/>
  <c r="F197" i="1"/>
  <c r="AM196" i="1"/>
  <c r="AL196" i="1"/>
  <c r="AK196" i="1"/>
  <c r="AJ196" i="1"/>
  <c r="AI196" i="1"/>
  <c r="AH196" i="1"/>
  <c r="AF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J196" i="1"/>
  <c r="AN196" i="1" s="1"/>
  <c r="F196" i="1"/>
  <c r="AN195" i="1"/>
  <c r="AM195" i="1"/>
  <c r="AL195" i="1"/>
  <c r="AK195" i="1"/>
  <c r="AJ195" i="1"/>
  <c r="AI195" i="1"/>
  <c r="AH195" i="1"/>
  <c r="AF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J195" i="1"/>
  <c r="F195" i="1"/>
  <c r="AN194" i="1"/>
  <c r="AM194" i="1"/>
  <c r="AL194" i="1"/>
  <c r="AK194" i="1"/>
  <c r="AJ194" i="1"/>
  <c r="AI194" i="1"/>
  <c r="AH194" i="1"/>
  <c r="AF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J194" i="1"/>
  <c r="F194" i="1"/>
  <c r="AN193" i="1"/>
  <c r="AM193" i="1"/>
  <c r="AL193" i="1"/>
  <c r="AK193" i="1"/>
  <c r="AJ193" i="1"/>
  <c r="AI193" i="1"/>
  <c r="AH193" i="1"/>
  <c r="AF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J193" i="1"/>
  <c r="F193" i="1"/>
  <c r="AM192" i="1"/>
  <c r="AL192" i="1"/>
  <c r="AK192" i="1"/>
  <c r="AJ192" i="1"/>
  <c r="AI192" i="1"/>
  <c r="AH192" i="1"/>
  <c r="AF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J192" i="1"/>
  <c r="AN192" i="1" s="1"/>
  <c r="F192" i="1"/>
  <c r="AN191" i="1"/>
  <c r="AM191" i="1"/>
  <c r="AL191" i="1"/>
  <c r="AK191" i="1"/>
  <c r="AJ191" i="1"/>
  <c r="AI191" i="1"/>
  <c r="AH191" i="1"/>
  <c r="AF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J191" i="1"/>
  <c r="F191" i="1"/>
  <c r="AN190" i="1"/>
  <c r="AM190" i="1"/>
  <c r="AL190" i="1"/>
  <c r="AK190" i="1"/>
  <c r="AJ190" i="1"/>
  <c r="AI190" i="1"/>
  <c r="AH190" i="1"/>
  <c r="AF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J190" i="1"/>
  <c r="F190" i="1"/>
  <c r="AM189" i="1"/>
  <c r="AL189" i="1"/>
  <c r="AK189" i="1"/>
  <c r="AJ189" i="1"/>
  <c r="AI189" i="1"/>
  <c r="AH189" i="1"/>
  <c r="AF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J189" i="1"/>
  <c r="AN189" i="1" s="1"/>
  <c r="F189" i="1"/>
  <c r="AN188" i="1"/>
  <c r="AM188" i="1"/>
  <c r="AL188" i="1"/>
  <c r="AK188" i="1"/>
  <c r="AJ188" i="1"/>
  <c r="AI188" i="1"/>
  <c r="AH188" i="1"/>
  <c r="AF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J188" i="1"/>
  <c r="F188" i="1"/>
  <c r="AN187" i="1"/>
  <c r="AM187" i="1"/>
  <c r="AL187" i="1"/>
  <c r="AK187" i="1"/>
  <c r="AJ187" i="1"/>
  <c r="AI187" i="1"/>
  <c r="AH187" i="1"/>
  <c r="AF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J187" i="1"/>
  <c r="F187" i="1"/>
  <c r="AN186" i="1"/>
  <c r="AM186" i="1"/>
  <c r="AL186" i="1"/>
  <c r="AK186" i="1"/>
  <c r="AJ186" i="1"/>
  <c r="AI186" i="1"/>
  <c r="AH186" i="1"/>
  <c r="AF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J186" i="1"/>
  <c r="F186" i="1"/>
  <c r="AN185" i="1"/>
  <c r="AM185" i="1"/>
  <c r="AL185" i="1"/>
  <c r="AK185" i="1"/>
  <c r="AJ185" i="1"/>
  <c r="AI185" i="1"/>
  <c r="AH185" i="1"/>
  <c r="AF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J185" i="1"/>
  <c r="F185" i="1"/>
  <c r="AN184" i="1"/>
  <c r="AM184" i="1"/>
  <c r="AL184" i="1"/>
  <c r="AK184" i="1"/>
  <c r="AJ184" i="1"/>
  <c r="AI184" i="1"/>
  <c r="AH184" i="1"/>
  <c r="AF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J184" i="1"/>
  <c r="F184" i="1"/>
  <c r="AN183" i="1"/>
  <c r="AM183" i="1"/>
  <c r="AL183" i="1"/>
  <c r="AK183" i="1"/>
  <c r="AJ183" i="1"/>
  <c r="AI183" i="1"/>
  <c r="AH183" i="1"/>
  <c r="AF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J183" i="1"/>
  <c r="F183" i="1"/>
  <c r="AN182" i="1"/>
  <c r="AM182" i="1"/>
  <c r="AL182" i="1"/>
  <c r="AK182" i="1"/>
  <c r="AJ182" i="1"/>
  <c r="AI182" i="1"/>
  <c r="AH182" i="1"/>
  <c r="AF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J182" i="1"/>
  <c r="F182" i="1"/>
  <c r="AN181" i="1"/>
  <c r="AM181" i="1"/>
  <c r="AL181" i="1"/>
  <c r="AK181" i="1"/>
  <c r="AJ181" i="1"/>
  <c r="AI181" i="1"/>
  <c r="AH181" i="1"/>
  <c r="AF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J181" i="1"/>
  <c r="F181" i="1"/>
  <c r="AM180" i="1"/>
  <c r="AL180" i="1"/>
  <c r="AK180" i="1"/>
  <c r="AJ180" i="1"/>
  <c r="AI180" i="1"/>
  <c r="AH180" i="1"/>
  <c r="AF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J180" i="1"/>
  <c r="AN180" i="1" s="1"/>
  <c r="F180" i="1"/>
  <c r="AN179" i="1"/>
  <c r="AM179" i="1"/>
  <c r="AL179" i="1"/>
  <c r="AK179" i="1"/>
  <c r="AJ179" i="1"/>
  <c r="AI179" i="1"/>
  <c r="AH179" i="1"/>
  <c r="AF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J179" i="1"/>
  <c r="F179" i="1"/>
  <c r="AM178" i="1"/>
  <c r="AL178" i="1"/>
  <c r="AK178" i="1"/>
  <c r="AJ178" i="1"/>
  <c r="AI178" i="1"/>
  <c r="AH178" i="1"/>
  <c r="AF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J178" i="1"/>
  <c r="AN178" i="1" s="1"/>
  <c r="F178" i="1"/>
  <c r="AN177" i="1"/>
  <c r="AM177" i="1"/>
  <c r="AL177" i="1"/>
  <c r="AK177" i="1"/>
  <c r="AJ177" i="1"/>
  <c r="AI177" i="1"/>
  <c r="AH177" i="1"/>
  <c r="AF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J177" i="1"/>
  <c r="F177" i="1"/>
  <c r="AN176" i="1"/>
  <c r="AM176" i="1"/>
  <c r="AL176" i="1"/>
  <c r="AK176" i="1"/>
  <c r="AJ176" i="1"/>
  <c r="AI176" i="1"/>
  <c r="AH176" i="1"/>
  <c r="AF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J176" i="1"/>
  <c r="F176" i="1"/>
  <c r="AM175" i="1"/>
  <c r="AL175" i="1"/>
  <c r="AK175" i="1"/>
  <c r="AJ175" i="1"/>
  <c r="AI175" i="1"/>
  <c r="AH175" i="1"/>
  <c r="AF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J175" i="1"/>
  <c r="AN175" i="1" s="1"/>
  <c r="F175" i="1"/>
  <c r="AN174" i="1"/>
  <c r="AM174" i="1"/>
  <c r="AL174" i="1"/>
  <c r="AK174" i="1"/>
  <c r="AJ174" i="1"/>
  <c r="AI174" i="1"/>
  <c r="AH174" i="1"/>
  <c r="AF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J174" i="1"/>
  <c r="F174" i="1"/>
  <c r="AN173" i="1"/>
  <c r="AM173" i="1"/>
  <c r="AL173" i="1"/>
  <c r="AK173" i="1"/>
  <c r="AJ173" i="1"/>
  <c r="AI173" i="1"/>
  <c r="AH173" i="1"/>
  <c r="AF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J173" i="1"/>
  <c r="F173" i="1"/>
  <c r="AN172" i="1"/>
  <c r="AM172" i="1"/>
  <c r="AL172" i="1"/>
  <c r="AK172" i="1"/>
  <c r="AJ172" i="1"/>
  <c r="AI172" i="1"/>
  <c r="AH172" i="1"/>
  <c r="AF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J172" i="1"/>
  <c r="F172" i="1"/>
  <c r="AN171" i="1"/>
  <c r="AM171" i="1"/>
  <c r="AL171" i="1"/>
  <c r="AK171" i="1"/>
  <c r="AJ171" i="1"/>
  <c r="AI171" i="1"/>
  <c r="AH171" i="1"/>
  <c r="AF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J171" i="1"/>
  <c r="F171" i="1"/>
  <c r="AN170" i="1"/>
  <c r="AM170" i="1"/>
  <c r="AL170" i="1"/>
  <c r="AK170" i="1"/>
  <c r="AJ170" i="1"/>
  <c r="AI170" i="1"/>
  <c r="AH170" i="1"/>
  <c r="AF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J170" i="1"/>
  <c r="F170" i="1"/>
  <c r="AN169" i="1"/>
  <c r="AM169" i="1"/>
  <c r="AL169" i="1"/>
  <c r="AK169" i="1"/>
  <c r="AJ169" i="1"/>
  <c r="AI169" i="1"/>
  <c r="AH169" i="1"/>
  <c r="AF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J169" i="1"/>
  <c r="F169" i="1"/>
  <c r="AN168" i="1"/>
  <c r="AM168" i="1"/>
  <c r="AL168" i="1"/>
  <c r="AK168" i="1"/>
  <c r="AJ168" i="1"/>
  <c r="AI168" i="1"/>
  <c r="AH168" i="1"/>
  <c r="AF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J168" i="1"/>
  <c r="F168" i="1"/>
  <c r="AN167" i="1"/>
  <c r="AM167" i="1"/>
  <c r="AL167" i="1"/>
  <c r="AK167" i="1"/>
  <c r="AJ167" i="1"/>
  <c r="AI167" i="1"/>
  <c r="AH167" i="1"/>
  <c r="AF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J167" i="1"/>
  <c r="F167" i="1"/>
  <c r="AN166" i="1"/>
  <c r="AM166" i="1"/>
  <c r="AL166" i="1"/>
  <c r="AK166" i="1"/>
  <c r="AJ166" i="1"/>
  <c r="AI166" i="1"/>
  <c r="AH166" i="1"/>
  <c r="AF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J166" i="1"/>
  <c r="F166" i="1"/>
  <c r="AN165" i="1"/>
  <c r="AM165" i="1"/>
  <c r="AL165" i="1"/>
  <c r="AK165" i="1"/>
  <c r="AJ165" i="1"/>
  <c r="AI165" i="1"/>
  <c r="AH165" i="1"/>
  <c r="AF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J165" i="1"/>
  <c r="F165" i="1"/>
  <c r="AM164" i="1"/>
  <c r="AL164" i="1"/>
  <c r="AK164" i="1"/>
  <c r="AJ164" i="1"/>
  <c r="AI164" i="1"/>
  <c r="AH164" i="1"/>
  <c r="AF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J164" i="1"/>
  <c r="AN164" i="1" s="1"/>
  <c r="F164" i="1"/>
  <c r="AM163" i="1"/>
  <c r="AL163" i="1"/>
  <c r="AK163" i="1"/>
  <c r="AJ163" i="1"/>
  <c r="AI163" i="1"/>
  <c r="AH163" i="1"/>
  <c r="AF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J163" i="1"/>
  <c r="AN163" i="1" s="1"/>
  <c r="F163" i="1"/>
  <c r="AN162" i="1"/>
  <c r="AM162" i="1"/>
  <c r="AL162" i="1"/>
  <c r="AK162" i="1"/>
  <c r="AJ162" i="1"/>
  <c r="AI162" i="1"/>
  <c r="AH162" i="1"/>
  <c r="AF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J162" i="1"/>
  <c r="F162" i="1"/>
  <c r="AN161" i="1"/>
  <c r="AM161" i="1"/>
  <c r="AL161" i="1"/>
  <c r="AK161" i="1"/>
  <c r="AJ161" i="1"/>
  <c r="AI161" i="1"/>
  <c r="AH161" i="1"/>
  <c r="AF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J161" i="1"/>
  <c r="F161" i="1"/>
  <c r="AN160" i="1"/>
  <c r="AM160" i="1"/>
  <c r="AL160" i="1"/>
  <c r="AK160" i="1"/>
  <c r="AJ160" i="1"/>
  <c r="AI160" i="1"/>
  <c r="AH160" i="1"/>
  <c r="AF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J160" i="1"/>
  <c r="F160" i="1"/>
  <c r="AN159" i="1"/>
  <c r="AM159" i="1"/>
  <c r="AL159" i="1"/>
  <c r="AK159" i="1"/>
  <c r="AJ159" i="1"/>
  <c r="AI159" i="1"/>
  <c r="AH159" i="1"/>
  <c r="AF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J159" i="1"/>
  <c r="F159" i="1"/>
  <c r="AN158" i="1"/>
  <c r="AM158" i="1"/>
  <c r="AL158" i="1"/>
  <c r="AK158" i="1"/>
  <c r="AJ158" i="1"/>
  <c r="AI158" i="1"/>
  <c r="AH158" i="1"/>
  <c r="AF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J158" i="1"/>
  <c r="F158" i="1"/>
  <c r="AN157" i="1"/>
  <c r="AM157" i="1"/>
  <c r="AL157" i="1"/>
  <c r="AK157" i="1"/>
  <c r="AJ157" i="1"/>
  <c r="AI157" i="1"/>
  <c r="AH157" i="1"/>
  <c r="AF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J157" i="1"/>
  <c r="F157" i="1"/>
  <c r="AN156" i="1"/>
  <c r="AM156" i="1"/>
  <c r="AL156" i="1"/>
  <c r="AK156" i="1"/>
  <c r="AJ156" i="1"/>
  <c r="AI156" i="1"/>
  <c r="AH156" i="1"/>
  <c r="AF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J156" i="1"/>
  <c r="F156" i="1"/>
  <c r="AN155" i="1"/>
  <c r="AM155" i="1"/>
  <c r="AL155" i="1"/>
  <c r="AK155" i="1"/>
  <c r="AJ155" i="1"/>
  <c r="AI155" i="1"/>
  <c r="AH155" i="1"/>
  <c r="AF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J155" i="1"/>
  <c r="F155" i="1"/>
  <c r="AN154" i="1"/>
  <c r="AM154" i="1"/>
  <c r="AL154" i="1"/>
  <c r="AK154" i="1"/>
  <c r="AJ154" i="1"/>
  <c r="AI154" i="1"/>
  <c r="AH154" i="1"/>
  <c r="AF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J154" i="1"/>
  <c r="F154" i="1"/>
  <c r="AN153" i="1"/>
  <c r="AM153" i="1"/>
  <c r="AL153" i="1"/>
  <c r="AK153" i="1"/>
  <c r="AJ153" i="1"/>
  <c r="AI153" i="1"/>
  <c r="AH153" i="1"/>
  <c r="AF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J153" i="1"/>
  <c r="F153" i="1"/>
  <c r="AN152" i="1"/>
  <c r="AM152" i="1"/>
  <c r="AL152" i="1"/>
  <c r="AK152" i="1"/>
  <c r="AJ152" i="1"/>
  <c r="AI152" i="1"/>
  <c r="AH152" i="1"/>
  <c r="AF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J152" i="1"/>
  <c r="F152" i="1"/>
  <c r="AN151" i="1"/>
  <c r="AM151" i="1"/>
  <c r="AL151" i="1"/>
  <c r="AK151" i="1"/>
  <c r="AJ151" i="1"/>
  <c r="AI151" i="1"/>
  <c r="AH151" i="1"/>
  <c r="AF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J151" i="1"/>
  <c r="F151" i="1"/>
  <c r="AM150" i="1"/>
  <c r="AL150" i="1"/>
  <c r="AK150" i="1"/>
  <c r="AJ150" i="1"/>
  <c r="AI150" i="1"/>
  <c r="AH150" i="1"/>
  <c r="AF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J150" i="1"/>
  <c r="AN150" i="1" s="1"/>
  <c r="F150" i="1"/>
  <c r="AM149" i="1"/>
  <c r="AL149" i="1"/>
  <c r="AK149" i="1"/>
  <c r="AJ149" i="1"/>
  <c r="AI149" i="1"/>
  <c r="AH149" i="1"/>
  <c r="AF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J149" i="1"/>
  <c r="AN149" i="1" s="1"/>
  <c r="F149" i="1"/>
  <c r="AN148" i="1"/>
  <c r="AM148" i="1"/>
  <c r="AL148" i="1"/>
  <c r="AK148" i="1"/>
  <c r="AJ148" i="1"/>
  <c r="AI148" i="1"/>
  <c r="AH148" i="1"/>
  <c r="AF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J148" i="1"/>
  <c r="F148" i="1"/>
  <c r="AM147" i="1"/>
  <c r="AL147" i="1"/>
  <c r="AK147" i="1"/>
  <c r="AJ147" i="1"/>
  <c r="AI147" i="1"/>
  <c r="AH147" i="1"/>
  <c r="AF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J147" i="1"/>
  <c r="AN147" i="1" s="1"/>
  <c r="F147" i="1"/>
  <c r="AN146" i="1"/>
  <c r="AM146" i="1"/>
  <c r="AL146" i="1"/>
  <c r="AK146" i="1"/>
  <c r="AJ146" i="1"/>
  <c r="AI146" i="1"/>
  <c r="AH146" i="1"/>
  <c r="AF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J146" i="1"/>
  <c r="F146" i="1"/>
  <c r="AN145" i="1"/>
  <c r="AM145" i="1"/>
  <c r="AL145" i="1"/>
  <c r="AK145" i="1"/>
  <c r="AJ145" i="1"/>
  <c r="AI145" i="1"/>
  <c r="AH145" i="1"/>
  <c r="AF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J145" i="1"/>
  <c r="F145" i="1"/>
  <c r="AN144" i="1"/>
  <c r="AM144" i="1"/>
  <c r="AL144" i="1"/>
  <c r="AK144" i="1"/>
  <c r="AJ144" i="1"/>
  <c r="AI144" i="1"/>
  <c r="AH144" i="1"/>
  <c r="AF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J144" i="1"/>
  <c r="F144" i="1"/>
  <c r="AN143" i="1"/>
  <c r="AM143" i="1"/>
  <c r="AL143" i="1"/>
  <c r="AK143" i="1"/>
  <c r="AJ143" i="1"/>
  <c r="AI143" i="1"/>
  <c r="AH143" i="1"/>
  <c r="AF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J143" i="1"/>
  <c r="F143" i="1"/>
  <c r="AN142" i="1"/>
  <c r="AM142" i="1"/>
  <c r="AL142" i="1"/>
  <c r="AK142" i="1"/>
  <c r="AJ142" i="1"/>
  <c r="AI142" i="1"/>
  <c r="AH142" i="1"/>
  <c r="AF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J142" i="1"/>
  <c r="F142" i="1"/>
  <c r="AN141" i="1"/>
  <c r="AM141" i="1"/>
  <c r="AL141" i="1"/>
  <c r="AK141" i="1"/>
  <c r="AJ141" i="1"/>
  <c r="AI141" i="1"/>
  <c r="AH141" i="1"/>
  <c r="AF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J141" i="1"/>
  <c r="F141" i="1"/>
  <c r="AN140" i="1"/>
  <c r="AM140" i="1"/>
  <c r="AL140" i="1"/>
  <c r="AK140" i="1"/>
  <c r="AJ140" i="1"/>
  <c r="AI140" i="1"/>
  <c r="AH140" i="1"/>
  <c r="AF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J140" i="1"/>
  <c r="F140" i="1"/>
  <c r="AN139" i="1"/>
  <c r="AM139" i="1"/>
  <c r="AL139" i="1"/>
  <c r="AK139" i="1"/>
  <c r="AJ139" i="1"/>
  <c r="AI139" i="1"/>
  <c r="AH139" i="1"/>
  <c r="AF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J139" i="1"/>
  <c r="F139" i="1"/>
  <c r="AN138" i="1"/>
  <c r="AM138" i="1"/>
  <c r="AL138" i="1"/>
  <c r="AK138" i="1"/>
  <c r="AJ138" i="1"/>
  <c r="AI138" i="1"/>
  <c r="AH138" i="1"/>
  <c r="AF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J138" i="1"/>
  <c r="F138" i="1"/>
  <c r="AN137" i="1"/>
  <c r="AM137" i="1"/>
  <c r="AL137" i="1"/>
  <c r="AK137" i="1"/>
  <c r="AJ137" i="1"/>
  <c r="AI137" i="1"/>
  <c r="AH137" i="1"/>
  <c r="AF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J137" i="1"/>
  <c r="F137" i="1"/>
  <c r="AM136" i="1"/>
  <c r="AL136" i="1"/>
  <c r="AK136" i="1"/>
  <c r="AJ136" i="1"/>
  <c r="AI136" i="1"/>
  <c r="AH136" i="1"/>
  <c r="AF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J136" i="1"/>
  <c r="AN136" i="1" s="1"/>
  <c r="F136" i="1"/>
  <c r="AN135" i="1"/>
  <c r="AM135" i="1"/>
  <c r="AL135" i="1"/>
  <c r="AK135" i="1"/>
  <c r="AJ135" i="1"/>
  <c r="AI135" i="1"/>
  <c r="AH135" i="1"/>
  <c r="AF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J135" i="1"/>
  <c r="F135" i="1"/>
  <c r="AN134" i="1"/>
  <c r="AM134" i="1"/>
  <c r="AL134" i="1"/>
  <c r="AK134" i="1"/>
  <c r="AJ134" i="1"/>
  <c r="AI134" i="1"/>
  <c r="AH134" i="1"/>
  <c r="AF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J134" i="1"/>
  <c r="F134" i="1"/>
  <c r="AN133" i="1"/>
  <c r="AM133" i="1"/>
  <c r="AL133" i="1"/>
  <c r="AK133" i="1"/>
  <c r="AJ133" i="1"/>
  <c r="AI133" i="1"/>
  <c r="AH133" i="1"/>
  <c r="AF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J133" i="1"/>
  <c r="F133" i="1"/>
  <c r="AM132" i="1"/>
  <c r="AL132" i="1"/>
  <c r="AK132" i="1"/>
  <c r="AJ132" i="1"/>
  <c r="AI132" i="1"/>
  <c r="AH132" i="1"/>
  <c r="AF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J132" i="1"/>
  <c r="AN132" i="1" s="1"/>
  <c r="F132" i="1"/>
  <c r="AN131" i="1"/>
  <c r="AM131" i="1"/>
  <c r="AL131" i="1"/>
  <c r="AK131" i="1"/>
  <c r="AJ131" i="1"/>
  <c r="AI131" i="1"/>
  <c r="AH131" i="1"/>
  <c r="AF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J131" i="1"/>
  <c r="F131" i="1"/>
  <c r="AN130" i="1"/>
  <c r="AM130" i="1"/>
  <c r="AL130" i="1"/>
  <c r="AK130" i="1"/>
  <c r="AJ130" i="1"/>
  <c r="AI130" i="1"/>
  <c r="AH130" i="1"/>
  <c r="AF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J130" i="1"/>
  <c r="F130" i="1"/>
  <c r="AN129" i="1"/>
  <c r="AM129" i="1"/>
  <c r="AL129" i="1"/>
  <c r="AK129" i="1"/>
  <c r="AJ129" i="1"/>
  <c r="AI129" i="1"/>
  <c r="AH129" i="1"/>
  <c r="AF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J129" i="1"/>
  <c r="F129" i="1"/>
  <c r="AN128" i="1"/>
  <c r="AM128" i="1"/>
  <c r="AL128" i="1"/>
  <c r="AK128" i="1"/>
  <c r="AJ128" i="1"/>
  <c r="AI128" i="1"/>
  <c r="AH128" i="1"/>
  <c r="AF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J128" i="1"/>
  <c r="F128" i="1"/>
  <c r="AN127" i="1"/>
  <c r="AM127" i="1"/>
  <c r="AL127" i="1"/>
  <c r="AK127" i="1"/>
  <c r="AJ127" i="1"/>
  <c r="AI127" i="1"/>
  <c r="AH127" i="1"/>
  <c r="AF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J127" i="1"/>
  <c r="F127" i="1"/>
  <c r="AN126" i="1"/>
  <c r="AM126" i="1"/>
  <c r="AL126" i="1"/>
  <c r="AK126" i="1"/>
  <c r="AJ126" i="1"/>
  <c r="AI126" i="1"/>
  <c r="AH126" i="1"/>
  <c r="AF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J126" i="1"/>
  <c r="F126" i="1"/>
  <c r="AN125" i="1"/>
  <c r="AM125" i="1"/>
  <c r="AL125" i="1"/>
  <c r="AK125" i="1"/>
  <c r="AJ125" i="1"/>
  <c r="AI125" i="1"/>
  <c r="AH125" i="1"/>
  <c r="AF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J125" i="1"/>
  <c r="F125" i="1"/>
  <c r="AN124" i="1"/>
  <c r="AM124" i="1"/>
  <c r="AL124" i="1"/>
  <c r="AK124" i="1"/>
  <c r="AJ124" i="1"/>
  <c r="AI124" i="1"/>
  <c r="AH124" i="1"/>
  <c r="AF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J124" i="1"/>
  <c r="F124" i="1"/>
  <c r="AN123" i="1"/>
  <c r="AM123" i="1"/>
  <c r="AL123" i="1"/>
  <c r="AK123" i="1"/>
  <c r="AJ123" i="1"/>
  <c r="AI123" i="1"/>
  <c r="AH123" i="1"/>
  <c r="AF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J123" i="1"/>
  <c r="F123" i="1"/>
  <c r="AM122" i="1"/>
  <c r="AL122" i="1"/>
  <c r="AK122" i="1"/>
  <c r="AJ122" i="1"/>
  <c r="AI122" i="1"/>
  <c r="AH122" i="1"/>
  <c r="AF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J122" i="1"/>
  <c r="AN122" i="1" s="1"/>
  <c r="F122" i="1"/>
  <c r="AN121" i="1"/>
  <c r="AM121" i="1"/>
  <c r="AL121" i="1"/>
  <c r="AK121" i="1"/>
  <c r="AJ121" i="1"/>
  <c r="AI121" i="1"/>
  <c r="AH121" i="1"/>
  <c r="AF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J121" i="1"/>
  <c r="F121" i="1"/>
  <c r="AN120" i="1"/>
  <c r="AM120" i="1"/>
  <c r="AL120" i="1"/>
  <c r="AK120" i="1"/>
  <c r="AJ120" i="1"/>
  <c r="AI120" i="1"/>
  <c r="AH120" i="1"/>
  <c r="AF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J120" i="1"/>
  <c r="F120" i="1"/>
  <c r="AN119" i="1"/>
  <c r="AM119" i="1"/>
  <c r="AL119" i="1"/>
  <c r="AK119" i="1"/>
  <c r="AJ119" i="1"/>
  <c r="AI119" i="1"/>
  <c r="AH119" i="1"/>
  <c r="AF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J119" i="1"/>
  <c r="F119" i="1"/>
  <c r="AN118" i="1"/>
  <c r="AM118" i="1"/>
  <c r="AL118" i="1"/>
  <c r="AK118" i="1"/>
  <c r="AJ118" i="1"/>
  <c r="AI118" i="1"/>
  <c r="AH118" i="1"/>
  <c r="AF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J118" i="1"/>
  <c r="F118" i="1"/>
  <c r="AM117" i="1"/>
  <c r="AL117" i="1"/>
  <c r="AK117" i="1"/>
  <c r="AJ117" i="1"/>
  <c r="AI117" i="1"/>
  <c r="AH117" i="1"/>
  <c r="AF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J117" i="1"/>
  <c r="AN117" i="1" s="1"/>
  <c r="F117" i="1"/>
  <c r="AN116" i="1"/>
  <c r="AM116" i="1"/>
  <c r="AL116" i="1"/>
  <c r="AK116" i="1"/>
  <c r="AJ116" i="1"/>
  <c r="AI116" i="1"/>
  <c r="AH116" i="1"/>
  <c r="AF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J116" i="1"/>
  <c r="F116" i="1"/>
  <c r="AN115" i="1"/>
  <c r="AM115" i="1"/>
  <c r="AL115" i="1"/>
  <c r="AK115" i="1"/>
  <c r="AJ115" i="1"/>
  <c r="AI115" i="1"/>
  <c r="AH115" i="1"/>
  <c r="AF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J115" i="1"/>
  <c r="F115" i="1"/>
  <c r="AN114" i="1"/>
  <c r="AM114" i="1"/>
  <c r="AL114" i="1"/>
  <c r="AK114" i="1"/>
  <c r="AJ114" i="1"/>
  <c r="AI114" i="1"/>
  <c r="AH114" i="1"/>
  <c r="AF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J114" i="1"/>
  <c r="F114" i="1"/>
  <c r="AN113" i="1"/>
  <c r="AM113" i="1"/>
  <c r="AL113" i="1"/>
  <c r="AK113" i="1"/>
  <c r="AJ113" i="1"/>
  <c r="AI113" i="1"/>
  <c r="AH113" i="1"/>
  <c r="AF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J113" i="1"/>
  <c r="F113" i="1"/>
  <c r="AN112" i="1"/>
  <c r="AM112" i="1"/>
  <c r="AL112" i="1"/>
  <c r="AK112" i="1"/>
  <c r="AJ112" i="1"/>
  <c r="AI112" i="1"/>
  <c r="AH112" i="1"/>
  <c r="AF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J112" i="1"/>
  <c r="F112" i="1"/>
  <c r="AN111" i="1"/>
  <c r="AM111" i="1"/>
  <c r="AL111" i="1"/>
  <c r="AK111" i="1"/>
  <c r="AJ111" i="1"/>
  <c r="AI111" i="1"/>
  <c r="AH111" i="1"/>
  <c r="AF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J111" i="1"/>
  <c r="F111" i="1"/>
  <c r="AN110" i="1"/>
  <c r="AM110" i="1"/>
  <c r="AL110" i="1"/>
  <c r="AK110" i="1"/>
  <c r="AJ110" i="1"/>
  <c r="AI110" i="1"/>
  <c r="AH110" i="1"/>
  <c r="AF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J110" i="1"/>
  <c r="F110" i="1"/>
  <c r="AN109" i="1"/>
  <c r="AM109" i="1"/>
  <c r="AL109" i="1"/>
  <c r="AK109" i="1"/>
  <c r="AJ109" i="1"/>
  <c r="AI109" i="1"/>
  <c r="AH109" i="1"/>
  <c r="AF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J109" i="1"/>
  <c r="F109" i="1"/>
  <c r="AM108" i="1"/>
  <c r="AL108" i="1"/>
  <c r="AK108" i="1"/>
  <c r="AJ108" i="1"/>
  <c r="AI108" i="1"/>
  <c r="AH108" i="1"/>
  <c r="AF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J108" i="1"/>
  <c r="AN108" i="1" s="1"/>
  <c r="F108" i="1"/>
  <c r="AN107" i="1"/>
  <c r="AM107" i="1"/>
  <c r="AL107" i="1"/>
  <c r="AK107" i="1"/>
  <c r="AJ107" i="1"/>
  <c r="AI107" i="1"/>
  <c r="AH107" i="1"/>
  <c r="AF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J107" i="1"/>
  <c r="F107" i="1"/>
  <c r="AN106" i="1"/>
  <c r="AM106" i="1"/>
  <c r="AL106" i="1"/>
  <c r="AK106" i="1"/>
  <c r="AJ106" i="1"/>
  <c r="AI106" i="1"/>
  <c r="AH106" i="1"/>
  <c r="AF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J106" i="1"/>
  <c r="F106" i="1"/>
  <c r="AN105" i="1"/>
  <c r="AM105" i="1"/>
  <c r="AL105" i="1"/>
  <c r="AK105" i="1"/>
  <c r="AJ105" i="1"/>
  <c r="AI105" i="1"/>
  <c r="AH105" i="1"/>
  <c r="AF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J105" i="1"/>
  <c r="F105" i="1"/>
  <c r="AN104" i="1"/>
  <c r="AM104" i="1"/>
  <c r="AL104" i="1"/>
  <c r="AK104" i="1"/>
  <c r="AJ104" i="1"/>
  <c r="AI104" i="1"/>
  <c r="AH104" i="1"/>
  <c r="AF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J104" i="1"/>
  <c r="F104" i="1"/>
  <c r="AN103" i="1"/>
  <c r="AM103" i="1"/>
  <c r="AL103" i="1"/>
  <c r="AK103" i="1"/>
  <c r="AJ103" i="1"/>
  <c r="AI103" i="1"/>
  <c r="AH103" i="1"/>
  <c r="AF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J103" i="1"/>
  <c r="F103" i="1"/>
  <c r="AM102" i="1"/>
  <c r="AL102" i="1"/>
  <c r="AK102" i="1"/>
  <c r="AJ102" i="1"/>
  <c r="AI102" i="1"/>
  <c r="AH102" i="1"/>
  <c r="AF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J102" i="1"/>
  <c r="AN102" i="1" s="1"/>
  <c r="F102" i="1"/>
  <c r="AN101" i="1"/>
  <c r="AM101" i="1"/>
  <c r="AL101" i="1"/>
  <c r="AK101" i="1"/>
  <c r="AJ101" i="1"/>
  <c r="AI101" i="1"/>
  <c r="AH101" i="1"/>
  <c r="AF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J101" i="1"/>
  <c r="F101" i="1"/>
  <c r="AN100" i="1"/>
  <c r="AM100" i="1"/>
  <c r="AL100" i="1"/>
  <c r="AK100" i="1"/>
  <c r="AJ100" i="1"/>
  <c r="AI100" i="1"/>
  <c r="AH100" i="1"/>
  <c r="AF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J100" i="1"/>
  <c r="F100" i="1"/>
  <c r="AN99" i="1"/>
  <c r="AM99" i="1"/>
  <c r="AL99" i="1"/>
  <c r="AK99" i="1"/>
  <c r="AJ99" i="1"/>
  <c r="AI99" i="1"/>
  <c r="AH99" i="1"/>
  <c r="AF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J99" i="1"/>
  <c r="F99" i="1"/>
  <c r="AN98" i="1"/>
  <c r="AM98" i="1"/>
  <c r="AL98" i="1"/>
  <c r="AK98" i="1"/>
  <c r="AJ98" i="1"/>
  <c r="AI98" i="1"/>
  <c r="AH98" i="1"/>
  <c r="AF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J98" i="1"/>
  <c r="F98" i="1"/>
  <c r="AN97" i="1"/>
  <c r="AM97" i="1"/>
  <c r="AL97" i="1"/>
  <c r="AK97" i="1"/>
  <c r="AJ97" i="1"/>
  <c r="AI97" i="1"/>
  <c r="AH97" i="1"/>
  <c r="AF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J97" i="1"/>
  <c r="F97" i="1"/>
  <c r="AN96" i="1"/>
  <c r="AM96" i="1"/>
  <c r="AL96" i="1"/>
  <c r="AK96" i="1"/>
  <c r="AJ96" i="1"/>
  <c r="AI96" i="1"/>
  <c r="AH96" i="1"/>
  <c r="AF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J96" i="1"/>
  <c r="F96" i="1"/>
  <c r="AN95" i="1"/>
  <c r="AM95" i="1"/>
  <c r="AL95" i="1"/>
  <c r="AK95" i="1"/>
  <c r="AJ95" i="1"/>
  <c r="AI95" i="1"/>
  <c r="AH95" i="1"/>
  <c r="AF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J95" i="1"/>
  <c r="F95" i="1"/>
  <c r="AM94" i="1"/>
  <c r="AL94" i="1"/>
  <c r="AK94" i="1"/>
  <c r="AJ94" i="1"/>
  <c r="AI94" i="1"/>
  <c r="AH94" i="1"/>
  <c r="AF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J94" i="1"/>
  <c r="AN94" i="1" s="1"/>
  <c r="F94" i="1"/>
  <c r="AN93" i="1"/>
  <c r="AM93" i="1"/>
  <c r="AL93" i="1"/>
  <c r="AK93" i="1"/>
  <c r="AJ93" i="1"/>
  <c r="AI93" i="1"/>
  <c r="AH93" i="1"/>
  <c r="AF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J93" i="1"/>
  <c r="F93" i="1"/>
  <c r="AN92" i="1"/>
  <c r="AM92" i="1"/>
  <c r="AL92" i="1"/>
  <c r="AK92" i="1"/>
  <c r="AJ92" i="1"/>
  <c r="AI92" i="1"/>
  <c r="AH92" i="1"/>
  <c r="AF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J92" i="1"/>
  <c r="F92" i="1"/>
  <c r="AM91" i="1"/>
  <c r="AL91" i="1"/>
  <c r="AK91" i="1"/>
  <c r="AJ91" i="1"/>
  <c r="AI91" i="1"/>
  <c r="AH91" i="1"/>
  <c r="AF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J91" i="1"/>
  <c r="AN91" i="1" s="1"/>
  <c r="F91" i="1"/>
  <c r="AN90" i="1"/>
  <c r="AM90" i="1"/>
  <c r="AL90" i="1"/>
  <c r="AK90" i="1"/>
  <c r="AJ90" i="1"/>
  <c r="AI90" i="1"/>
  <c r="AH90" i="1"/>
  <c r="AF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J90" i="1"/>
  <c r="F90" i="1"/>
  <c r="AN89" i="1"/>
  <c r="AM89" i="1"/>
  <c r="AL89" i="1"/>
  <c r="AK89" i="1"/>
  <c r="AJ89" i="1"/>
  <c r="AI89" i="1"/>
  <c r="AH89" i="1"/>
  <c r="AF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J89" i="1"/>
  <c r="F89" i="1"/>
  <c r="AN88" i="1"/>
  <c r="AM88" i="1"/>
  <c r="AL88" i="1"/>
  <c r="AK88" i="1"/>
  <c r="AJ88" i="1"/>
  <c r="AI88" i="1"/>
  <c r="AH88" i="1"/>
  <c r="AF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J88" i="1"/>
  <c r="F88" i="1"/>
  <c r="AN87" i="1"/>
  <c r="AM87" i="1"/>
  <c r="AL87" i="1"/>
  <c r="AK87" i="1"/>
  <c r="AJ87" i="1"/>
  <c r="AI87" i="1"/>
  <c r="AH87" i="1"/>
  <c r="AF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J87" i="1"/>
  <c r="F87" i="1"/>
  <c r="AM86" i="1"/>
  <c r="AL86" i="1"/>
  <c r="AK86" i="1"/>
  <c r="AJ86" i="1"/>
  <c r="AI86" i="1"/>
  <c r="AH86" i="1"/>
  <c r="AF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J86" i="1"/>
  <c r="AN86" i="1" s="1"/>
  <c r="F86" i="1"/>
  <c r="AN85" i="1"/>
  <c r="AM85" i="1"/>
  <c r="AL85" i="1"/>
  <c r="AK85" i="1"/>
  <c r="AJ85" i="1"/>
  <c r="AI85" i="1"/>
  <c r="AH85" i="1"/>
  <c r="AF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J85" i="1"/>
  <c r="F85" i="1"/>
  <c r="AN84" i="1"/>
  <c r="AM84" i="1"/>
  <c r="AL84" i="1"/>
  <c r="AK84" i="1"/>
  <c r="AJ84" i="1"/>
  <c r="AI84" i="1"/>
  <c r="AH84" i="1"/>
  <c r="AF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J84" i="1"/>
  <c r="F84" i="1"/>
  <c r="AN83" i="1"/>
  <c r="AM83" i="1"/>
  <c r="AL83" i="1"/>
  <c r="AK83" i="1"/>
  <c r="AJ83" i="1"/>
  <c r="AI83" i="1"/>
  <c r="AH83" i="1"/>
  <c r="AF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J83" i="1"/>
  <c r="F83" i="1"/>
  <c r="AN82" i="1"/>
  <c r="AM82" i="1"/>
  <c r="AL82" i="1"/>
  <c r="AK82" i="1"/>
  <c r="AJ82" i="1"/>
  <c r="AI82" i="1"/>
  <c r="AH82" i="1"/>
  <c r="AF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J82" i="1"/>
  <c r="F82" i="1"/>
  <c r="AN81" i="1"/>
  <c r="AM81" i="1"/>
  <c r="AL81" i="1"/>
  <c r="AK81" i="1"/>
  <c r="AJ81" i="1"/>
  <c r="AI81" i="1"/>
  <c r="AH81" i="1"/>
  <c r="AF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J81" i="1"/>
  <c r="F81" i="1"/>
  <c r="AM80" i="1"/>
  <c r="AL80" i="1"/>
  <c r="AK80" i="1"/>
  <c r="AJ80" i="1"/>
  <c r="AI80" i="1"/>
  <c r="AH80" i="1"/>
  <c r="AF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J80" i="1"/>
  <c r="AN80" i="1" s="1"/>
  <c r="F80" i="1"/>
  <c r="AN79" i="1"/>
  <c r="AM79" i="1"/>
  <c r="AL79" i="1"/>
  <c r="AK79" i="1"/>
  <c r="AJ79" i="1"/>
  <c r="AI79" i="1"/>
  <c r="AH79" i="1"/>
  <c r="AF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J79" i="1"/>
  <c r="F79" i="1"/>
  <c r="AN78" i="1"/>
  <c r="AM78" i="1"/>
  <c r="AL78" i="1"/>
  <c r="AK78" i="1"/>
  <c r="AJ78" i="1"/>
  <c r="AI78" i="1"/>
  <c r="AH78" i="1"/>
  <c r="AF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J78" i="1"/>
  <c r="F78" i="1"/>
  <c r="AM77" i="1"/>
  <c r="AL77" i="1"/>
  <c r="AK77" i="1"/>
  <c r="AJ77" i="1"/>
  <c r="AI77" i="1"/>
  <c r="AH77" i="1"/>
  <c r="AF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J77" i="1"/>
  <c r="AN77" i="1" s="1"/>
  <c r="F77" i="1"/>
  <c r="AN76" i="1"/>
  <c r="AM76" i="1"/>
  <c r="AL76" i="1"/>
  <c r="AK76" i="1"/>
  <c r="AJ76" i="1"/>
  <c r="AI76" i="1"/>
  <c r="AH76" i="1"/>
  <c r="AF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J76" i="1"/>
  <c r="F76" i="1"/>
  <c r="AN75" i="1"/>
  <c r="AM75" i="1"/>
  <c r="AL75" i="1"/>
  <c r="AK75" i="1"/>
  <c r="AJ75" i="1"/>
  <c r="AI75" i="1"/>
  <c r="AH75" i="1"/>
  <c r="AF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J75" i="1"/>
  <c r="F75" i="1"/>
  <c r="AN74" i="1"/>
  <c r="AM74" i="1"/>
  <c r="AL74" i="1"/>
  <c r="AK74" i="1"/>
  <c r="AJ74" i="1"/>
  <c r="AI74" i="1"/>
  <c r="AH74" i="1"/>
  <c r="AF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J74" i="1"/>
  <c r="F74" i="1"/>
  <c r="AN73" i="1"/>
  <c r="AM73" i="1"/>
  <c r="AL73" i="1"/>
  <c r="AK73" i="1"/>
  <c r="AJ73" i="1"/>
  <c r="AI73" i="1"/>
  <c r="AH73" i="1"/>
  <c r="AF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J73" i="1"/>
  <c r="F73" i="1"/>
  <c r="AN72" i="1"/>
  <c r="AM72" i="1"/>
  <c r="AL72" i="1"/>
  <c r="AK72" i="1"/>
  <c r="AJ72" i="1"/>
  <c r="AI72" i="1"/>
  <c r="AH72" i="1"/>
  <c r="AF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J72" i="1"/>
  <c r="F72" i="1"/>
  <c r="AN71" i="1"/>
  <c r="AM71" i="1"/>
  <c r="AL71" i="1"/>
  <c r="AK71" i="1"/>
  <c r="AJ71" i="1"/>
  <c r="AI71" i="1"/>
  <c r="AH71" i="1"/>
  <c r="AF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J71" i="1"/>
  <c r="F71" i="1"/>
  <c r="AM70" i="1"/>
  <c r="AL70" i="1"/>
  <c r="AK70" i="1"/>
  <c r="AJ70" i="1"/>
  <c r="AI70" i="1"/>
  <c r="AH70" i="1"/>
  <c r="AF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J70" i="1"/>
  <c r="AN70" i="1" s="1"/>
  <c r="F70" i="1"/>
  <c r="AN69" i="1"/>
  <c r="AM69" i="1"/>
  <c r="AL69" i="1"/>
  <c r="AK69" i="1"/>
  <c r="AJ69" i="1"/>
  <c r="AI69" i="1"/>
  <c r="AH69" i="1"/>
  <c r="AF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J69" i="1"/>
  <c r="F69" i="1"/>
  <c r="AN68" i="1"/>
  <c r="AM68" i="1"/>
  <c r="AL68" i="1"/>
  <c r="AK68" i="1"/>
  <c r="AJ68" i="1"/>
  <c r="AI68" i="1"/>
  <c r="AH68" i="1"/>
  <c r="AF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J68" i="1"/>
  <c r="F68" i="1"/>
  <c r="AN67" i="1"/>
  <c r="AM67" i="1"/>
  <c r="AL67" i="1"/>
  <c r="AK67" i="1"/>
  <c r="AJ67" i="1"/>
  <c r="AI67" i="1"/>
  <c r="AH67" i="1"/>
  <c r="AF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J67" i="1"/>
  <c r="F67" i="1"/>
  <c r="AM66" i="1"/>
  <c r="AL66" i="1"/>
  <c r="AK66" i="1"/>
  <c r="AJ66" i="1"/>
  <c r="AI66" i="1"/>
  <c r="AH66" i="1"/>
  <c r="AF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J66" i="1"/>
  <c r="AN66" i="1" s="1"/>
  <c r="F66" i="1"/>
  <c r="AN65" i="1"/>
  <c r="AM65" i="1"/>
  <c r="AL65" i="1"/>
  <c r="AK65" i="1"/>
  <c r="AJ65" i="1"/>
  <c r="AI65" i="1"/>
  <c r="AH65" i="1"/>
  <c r="AF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J65" i="1"/>
  <c r="F65" i="1"/>
  <c r="AN64" i="1"/>
  <c r="AM64" i="1"/>
  <c r="AL64" i="1"/>
  <c r="AK64" i="1"/>
  <c r="AJ64" i="1"/>
  <c r="AI64" i="1"/>
  <c r="AH64" i="1"/>
  <c r="AF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J64" i="1"/>
  <c r="F64" i="1"/>
  <c r="AM63" i="1"/>
  <c r="AL63" i="1"/>
  <c r="AK63" i="1"/>
  <c r="AJ63" i="1"/>
  <c r="AI63" i="1"/>
  <c r="AH63" i="1"/>
  <c r="AF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J63" i="1"/>
  <c r="AN63" i="1" s="1"/>
  <c r="F63" i="1"/>
  <c r="AN62" i="1"/>
  <c r="AM62" i="1"/>
  <c r="AL62" i="1"/>
  <c r="AK62" i="1"/>
  <c r="AJ62" i="1"/>
  <c r="AI62" i="1"/>
  <c r="AH62" i="1"/>
  <c r="AF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J62" i="1"/>
  <c r="F62" i="1"/>
  <c r="AN61" i="1"/>
  <c r="AM61" i="1"/>
  <c r="AL61" i="1"/>
  <c r="AK61" i="1"/>
  <c r="AJ61" i="1"/>
  <c r="AI61" i="1"/>
  <c r="AH61" i="1"/>
  <c r="AF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J61" i="1"/>
  <c r="F61" i="1"/>
  <c r="AN60" i="1"/>
  <c r="AM60" i="1"/>
  <c r="AL60" i="1"/>
  <c r="AK60" i="1"/>
  <c r="AJ60" i="1"/>
  <c r="AI60" i="1"/>
  <c r="AH60" i="1"/>
  <c r="AF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J60" i="1"/>
  <c r="F60" i="1"/>
  <c r="AN59" i="1"/>
  <c r="AM59" i="1"/>
  <c r="AL59" i="1"/>
  <c r="AK59" i="1"/>
  <c r="AJ59" i="1"/>
  <c r="AI59" i="1"/>
  <c r="AH59" i="1"/>
  <c r="AF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J59" i="1"/>
  <c r="F59" i="1"/>
  <c r="AN58" i="1"/>
  <c r="AM58" i="1"/>
  <c r="AL58" i="1"/>
  <c r="AK58" i="1"/>
  <c r="AJ58" i="1"/>
  <c r="AI58" i="1"/>
  <c r="AH58" i="1"/>
  <c r="AF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J58" i="1"/>
  <c r="F58" i="1"/>
  <c r="AN57" i="1"/>
  <c r="AM57" i="1"/>
  <c r="AL57" i="1"/>
  <c r="AK57" i="1"/>
  <c r="AJ57" i="1"/>
  <c r="AI57" i="1"/>
  <c r="AH57" i="1"/>
  <c r="AF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J57" i="1"/>
  <c r="F57" i="1"/>
  <c r="AN56" i="1"/>
  <c r="AM56" i="1"/>
  <c r="AL56" i="1"/>
  <c r="AK56" i="1"/>
  <c r="AJ56" i="1"/>
  <c r="AI56" i="1"/>
  <c r="AH56" i="1"/>
  <c r="AF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J56" i="1"/>
  <c r="F56" i="1"/>
  <c r="AN55" i="1"/>
  <c r="AM55" i="1"/>
  <c r="AL55" i="1"/>
  <c r="AK55" i="1"/>
  <c r="AJ55" i="1"/>
  <c r="AI55" i="1"/>
  <c r="AH55" i="1"/>
  <c r="AF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J55" i="1"/>
  <c r="F55" i="1"/>
  <c r="AM54" i="1"/>
  <c r="AL54" i="1"/>
  <c r="AK54" i="1"/>
  <c r="AJ54" i="1"/>
  <c r="AI54" i="1"/>
  <c r="AH54" i="1"/>
  <c r="AF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J54" i="1"/>
  <c r="AN54" i="1" s="1"/>
  <c r="F54" i="1"/>
  <c r="AN53" i="1"/>
  <c r="AM53" i="1"/>
  <c r="AL53" i="1"/>
  <c r="AK53" i="1"/>
  <c r="AJ53" i="1"/>
  <c r="AI53" i="1"/>
  <c r="AH53" i="1"/>
  <c r="AF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J53" i="1"/>
  <c r="F53" i="1"/>
  <c r="AM52" i="1"/>
  <c r="AL52" i="1"/>
  <c r="AK52" i="1"/>
  <c r="AJ52" i="1"/>
  <c r="AI52" i="1"/>
  <c r="AH52" i="1"/>
  <c r="AF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J52" i="1"/>
  <c r="AN52" i="1" s="1"/>
  <c r="F52" i="1"/>
  <c r="AN51" i="1"/>
  <c r="AM51" i="1"/>
  <c r="AL51" i="1"/>
  <c r="AK51" i="1"/>
  <c r="AJ51" i="1"/>
  <c r="AI51" i="1"/>
  <c r="AH51" i="1"/>
  <c r="AF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J51" i="1"/>
  <c r="F51" i="1"/>
  <c r="AN50" i="1"/>
  <c r="AM50" i="1"/>
  <c r="AL50" i="1"/>
  <c r="AK50" i="1"/>
  <c r="AJ50" i="1"/>
  <c r="AI50" i="1"/>
  <c r="AH50" i="1"/>
  <c r="AF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J50" i="1"/>
  <c r="F50" i="1"/>
  <c r="AM49" i="1"/>
  <c r="AL49" i="1"/>
  <c r="AK49" i="1"/>
  <c r="AJ49" i="1"/>
  <c r="AI49" i="1"/>
  <c r="AH49" i="1"/>
  <c r="AF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J49" i="1"/>
  <c r="AN49" i="1" s="1"/>
  <c r="F49" i="1"/>
  <c r="AN48" i="1"/>
  <c r="AM48" i="1"/>
  <c r="AL48" i="1"/>
  <c r="AK48" i="1"/>
  <c r="AJ48" i="1"/>
  <c r="AI48" i="1"/>
  <c r="AH48" i="1"/>
  <c r="AF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J48" i="1"/>
  <c r="F48" i="1"/>
  <c r="AN47" i="1"/>
  <c r="AM47" i="1"/>
  <c r="AL47" i="1"/>
  <c r="AK47" i="1"/>
  <c r="AJ47" i="1"/>
  <c r="AI47" i="1"/>
  <c r="AH47" i="1"/>
  <c r="AF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J47" i="1"/>
  <c r="F47" i="1"/>
  <c r="AN46" i="1"/>
  <c r="AM46" i="1"/>
  <c r="AL46" i="1"/>
  <c r="AK46" i="1"/>
  <c r="AJ46" i="1"/>
  <c r="AI46" i="1"/>
  <c r="AH46" i="1"/>
  <c r="AF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J46" i="1"/>
  <c r="F46" i="1"/>
  <c r="AN45" i="1"/>
  <c r="AM45" i="1"/>
  <c r="AL45" i="1"/>
  <c r="AK45" i="1"/>
  <c r="AJ45" i="1"/>
  <c r="AI45" i="1"/>
  <c r="AH45" i="1"/>
  <c r="AF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J45" i="1"/>
  <c r="F45" i="1"/>
  <c r="AN44" i="1"/>
  <c r="AM44" i="1"/>
  <c r="AL44" i="1"/>
  <c r="AK44" i="1"/>
  <c r="AJ44" i="1"/>
  <c r="AI44" i="1"/>
  <c r="AH44" i="1"/>
  <c r="AF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J44" i="1"/>
  <c r="F44" i="1"/>
  <c r="AN43" i="1"/>
  <c r="AM43" i="1"/>
  <c r="AL43" i="1"/>
  <c r="AK43" i="1"/>
  <c r="AJ43" i="1"/>
  <c r="AI43" i="1"/>
  <c r="AH43" i="1"/>
  <c r="AF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J43" i="1"/>
  <c r="F43" i="1"/>
  <c r="AN42" i="1"/>
  <c r="AM42" i="1"/>
  <c r="AL42" i="1"/>
  <c r="AK42" i="1"/>
  <c r="AJ42" i="1"/>
  <c r="AI42" i="1"/>
  <c r="AH42" i="1"/>
  <c r="AF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J42" i="1"/>
  <c r="F42" i="1"/>
  <c r="AN41" i="1"/>
  <c r="AM41" i="1"/>
  <c r="AL41" i="1"/>
  <c r="AK41" i="1"/>
  <c r="AJ41" i="1"/>
  <c r="AI41" i="1"/>
  <c r="AH41" i="1"/>
  <c r="AF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J41" i="1"/>
  <c r="F41" i="1"/>
  <c r="AN40" i="1"/>
  <c r="AM40" i="1"/>
  <c r="AL40" i="1"/>
  <c r="AK40" i="1"/>
  <c r="AJ40" i="1"/>
  <c r="AI40" i="1"/>
  <c r="AH40" i="1"/>
  <c r="AF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J40" i="1"/>
  <c r="F40" i="1"/>
  <c r="AN39" i="1"/>
  <c r="AM39" i="1"/>
  <c r="AL39" i="1"/>
  <c r="AK39" i="1"/>
  <c r="AJ39" i="1"/>
  <c r="AI39" i="1"/>
  <c r="AH39" i="1"/>
  <c r="AF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J39" i="1"/>
  <c r="F39" i="1"/>
  <c r="AM38" i="1"/>
  <c r="AL38" i="1"/>
  <c r="AK38" i="1"/>
  <c r="AJ38" i="1"/>
  <c r="AI38" i="1"/>
  <c r="AH38" i="1"/>
  <c r="AF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J38" i="1"/>
  <c r="AN38" i="1" s="1"/>
  <c r="F38" i="1"/>
  <c r="AM37" i="1"/>
  <c r="AL37" i="1"/>
  <c r="AK37" i="1"/>
  <c r="AJ37" i="1"/>
  <c r="AI37" i="1"/>
  <c r="AH37" i="1"/>
  <c r="AF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J37" i="1"/>
  <c r="AN37" i="1" s="1"/>
  <c r="F37" i="1"/>
  <c r="AN36" i="1"/>
  <c r="AM36" i="1"/>
  <c r="AL36" i="1"/>
  <c r="AK36" i="1"/>
  <c r="AJ36" i="1"/>
  <c r="AI36" i="1"/>
  <c r="AH36" i="1"/>
  <c r="AF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J36" i="1"/>
  <c r="F36" i="1"/>
  <c r="AM35" i="1"/>
  <c r="AL35" i="1"/>
  <c r="AK35" i="1"/>
  <c r="AJ35" i="1"/>
  <c r="AI35" i="1"/>
  <c r="AH35" i="1"/>
  <c r="AF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J35" i="1"/>
  <c r="AN35" i="1" s="1"/>
  <c r="F35" i="1"/>
  <c r="AN34" i="1"/>
  <c r="AM34" i="1"/>
  <c r="AL34" i="1"/>
  <c r="AK34" i="1"/>
  <c r="AJ34" i="1"/>
  <c r="AI34" i="1"/>
  <c r="AH34" i="1"/>
  <c r="AF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J34" i="1"/>
  <c r="F34" i="1"/>
  <c r="AN33" i="1"/>
  <c r="AM33" i="1"/>
  <c r="AL33" i="1"/>
  <c r="AK33" i="1"/>
  <c r="AJ33" i="1"/>
  <c r="AI33" i="1"/>
  <c r="AH33" i="1"/>
  <c r="AF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J33" i="1"/>
  <c r="F33" i="1"/>
  <c r="AN32" i="1"/>
  <c r="AM32" i="1"/>
  <c r="AL32" i="1"/>
  <c r="AK32" i="1"/>
  <c r="AJ32" i="1"/>
  <c r="AI32" i="1"/>
  <c r="AH32" i="1"/>
  <c r="AF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J32" i="1"/>
  <c r="F32" i="1"/>
  <c r="AN31" i="1"/>
  <c r="AM31" i="1"/>
  <c r="AL31" i="1"/>
  <c r="AK31" i="1"/>
  <c r="AJ31" i="1"/>
  <c r="AI31" i="1"/>
  <c r="AH31" i="1"/>
  <c r="AF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J31" i="1"/>
  <c r="F31" i="1"/>
  <c r="AN30" i="1"/>
  <c r="AM30" i="1"/>
  <c r="AL30" i="1"/>
  <c r="AK30" i="1"/>
  <c r="AJ30" i="1"/>
  <c r="AI30" i="1"/>
  <c r="AH30" i="1"/>
  <c r="AF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J30" i="1"/>
  <c r="F30" i="1"/>
  <c r="AN29" i="1"/>
  <c r="AM29" i="1"/>
  <c r="AL29" i="1"/>
  <c r="AK29" i="1"/>
  <c r="AJ29" i="1"/>
  <c r="AI29" i="1"/>
  <c r="AH29" i="1"/>
  <c r="AF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J29" i="1"/>
  <c r="F29" i="1"/>
  <c r="AN28" i="1"/>
  <c r="AM28" i="1"/>
  <c r="AL28" i="1"/>
  <c r="AK28" i="1"/>
  <c r="AJ28" i="1"/>
  <c r="AI28" i="1"/>
  <c r="AH28" i="1"/>
  <c r="AF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J28" i="1"/>
  <c r="F28" i="1"/>
  <c r="AN27" i="1"/>
  <c r="AM27" i="1"/>
  <c r="AL27" i="1"/>
  <c r="AK27" i="1"/>
  <c r="AJ27" i="1"/>
  <c r="AI27" i="1"/>
  <c r="AH27" i="1"/>
  <c r="AF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J27" i="1"/>
  <c r="F27" i="1"/>
  <c r="AN26" i="1"/>
  <c r="AM26" i="1"/>
  <c r="AL26" i="1"/>
  <c r="AK26" i="1"/>
  <c r="AJ26" i="1"/>
  <c r="AI26" i="1"/>
  <c r="AH26" i="1"/>
  <c r="AF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J26" i="1"/>
  <c r="F26" i="1"/>
  <c r="AN25" i="1"/>
  <c r="AM25" i="1"/>
  <c r="AL25" i="1"/>
  <c r="AK25" i="1"/>
  <c r="AJ25" i="1"/>
  <c r="AI25" i="1"/>
  <c r="AH25" i="1"/>
  <c r="AF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J25" i="1"/>
  <c r="F25" i="1"/>
  <c r="AM24" i="1"/>
  <c r="AL24" i="1"/>
  <c r="AK24" i="1"/>
  <c r="AJ24" i="1"/>
  <c r="AI24" i="1"/>
  <c r="AH24" i="1"/>
  <c r="AF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J24" i="1"/>
  <c r="AN24" i="1" s="1"/>
  <c r="F24" i="1"/>
  <c r="AN23" i="1"/>
  <c r="AM23" i="1"/>
  <c r="AL23" i="1"/>
  <c r="AK23" i="1"/>
  <c r="AJ23" i="1"/>
  <c r="AI23" i="1"/>
  <c r="AH23" i="1"/>
  <c r="AF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J23" i="1"/>
  <c r="F23" i="1"/>
  <c r="AN22" i="1"/>
  <c r="AM22" i="1"/>
  <c r="AL22" i="1"/>
  <c r="AK22" i="1"/>
  <c r="AJ22" i="1"/>
  <c r="AI22" i="1"/>
  <c r="AH22" i="1"/>
  <c r="AF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J22" i="1"/>
  <c r="F22" i="1"/>
  <c r="AM21" i="1"/>
  <c r="AL21" i="1"/>
  <c r="AK21" i="1"/>
  <c r="AJ21" i="1"/>
  <c r="AI21" i="1"/>
  <c r="AH21" i="1"/>
  <c r="AF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J21" i="1"/>
  <c r="AN21" i="1" s="1"/>
  <c r="F21" i="1"/>
  <c r="AM20" i="1"/>
  <c r="AL20" i="1"/>
  <c r="AK20" i="1"/>
  <c r="AJ20" i="1"/>
  <c r="AI20" i="1"/>
  <c r="AH20" i="1"/>
  <c r="AF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J20" i="1"/>
  <c r="AN20" i="1" s="1"/>
  <c r="F20" i="1"/>
  <c r="AN19" i="1"/>
  <c r="AM19" i="1"/>
  <c r="AL19" i="1"/>
  <c r="AK19" i="1"/>
  <c r="AJ19" i="1"/>
  <c r="AI19" i="1"/>
  <c r="AH19" i="1"/>
  <c r="AF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J19" i="1"/>
  <c r="F19" i="1"/>
  <c r="AN18" i="1"/>
  <c r="AM18" i="1"/>
  <c r="AL18" i="1"/>
  <c r="AK18" i="1"/>
  <c r="AJ18" i="1"/>
  <c r="AI18" i="1"/>
  <c r="AH18" i="1"/>
  <c r="AF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J18" i="1"/>
  <c r="F18" i="1"/>
  <c r="AN17" i="1"/>
  <c r="AM17" i="1"/>
  <c r="AL17" i="1"/>
  <c r="AK17" i="1"/>
  <c r="AJ17" i="1"/>
  <c r="AI17" i="1"/>
  <c r="AH17" i="1"/>
  <c r="AF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J17" i="1"/>
  <c r="F17" i="1"/>
  <c r="AN16" i="1"/>
  <c r="AM16" i="1"/>
  <c r="AL16" i="1"/>
  <c r="AK16" i="1"/>
  <c r="AJ16" i="1"/>
  <c r="AI16" i="1"/>
  <c r="AH16" i="1"/>
  <c r="AF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J16" i="1"/>
  <c r="F16" i="1"/>
  <c r="AN15" i="1"/>
  <c r="AM15" i="1"/>
  <c r="AL15" i="1"/>
  <c r="AK15" i="1"/>
  <c r="AJ15" i="1"/>
  <c r="AI15" i="1"/>
  <c r="AH15" i="1"/>
  <c r="AF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J15" i="1"/>
  <c r="F15" i="1"/>
  <c r="AN14" i="1"/>
  <c r="AM14" i="1"/>
  <c r="AL14" i="1"/>
  <c r="AK14" i="1"/>
  <c r="AJ14" i="1"/>
  <c r="AI14" i="1"/>
  <c r="AH14" i="1"/>
  <c r="AF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J14" i="1"/>
  <c r="F14" i="1"/>
  <c r="AN13" i="1"/>
  <c r="AM13" i="1"/>
  <c r="AL13" i="1"/>
  <c r="AK13" i="1"/>
  <c r="AJ13" i="1"/>
  <c r="AI13" i="1"/>
  <c r="AH13" i="1"/>
  <c r="AF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J13" i="1"/>
  <c r="F13" i="1"/>
  <c r="AN12" i="1"/>
  <c r="AM12" i="1"/>
  <c r="AL12" i="1"/>
  <c r="AK12" i="1"/>
  <c r="AJ12" i="1"/>
  <c r="AI12" i="1"/>
  <c r="AH12" i="1"/>
  <c r="AF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J12" i="1"/>
  <c r="F12" i="1"/>
  <c r="AN11" i="1"/>
  <c r="AM11" i="1"/>
  <c r="AL11" i="1"/>
  <c r="AK11" i="1"/>
  <c r="AJ11" i="1"/>
  <c r="AI11" i="1"/>
  <c r="AH11" i="1"/>
  <c r="AF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J11" i="1"/>
  <c r="F11" i="1"/>
  <c r="AM10" i="1"/>
  <c r="AL10" i="1"/>
  <c r="AK10" i="1"/>
  <c r="AJ10" i="1"/>
  <c r="AI10" i="1"/>
  <c r="AH10" i="1"/>
  <c r="AF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J10" i="1"/>
  <c r="AN10" i="1" s="1"/>
  <c r="F10" i="1"/>
  <c r="AN9" i="1"/>
  <c r="AM9" i="1"/>
  <c r="AL9" i="1"/>
  <c r="AK9" i="1"/>
  <c r="AJ9" i="1"/>
  <c r="AI9" i="1"/>
  <c r="AH9" i="1"/>
  <c r="AF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J9" i="1"/>
  <c r="F9" i="1"/>
  <c r="AN8" i="1"/>
  <c r="AM8" i="1"/>
  <c r="AL8" i="1"/>
  <c r="AK8" i="1"/>
  <c r="AJ8" i="1"/>
  <c r="AI8" i="1"/>
  <c r="AH8" i="1"/>
  <c r="AF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J8" i="1"/>
  <c r="F8" i="1"/>
  <c r="AM7" i="1"/>
  <c r="AL7" i="1"/>
  <c r="AK7" i="1"/>
  <c r="AJ7" i="1"/>
  <c r="AI7" i="1"/>
  <c r="AH7" i="1"/>
  <c r="AF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J7" i="1"/>
  <c r="AN7" i="1" s="1"/>
  <c r="F7" i="1"/>
  <c r="AN6" i="1"/>
  <c r="AM6" i="1"/>
  <c r="AL6" i="1"/>
  <c r="AK6" i="1"/>
  <c r="AJ6" i="1"/>
  <c r="AI6" i="1"/>
  <c r="AH6" i="1"/>
  <c r="AF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J6" i="1"/>
  <c r="F6" i="1"/>
  <c r="AN5" i="1"/>
  <c r="AM5" i="1"/>
  <c r="AL5" i="1"/>
  <c r="AK5" i="1"/>
  <c r="AJ5" i="1"/>
  <c r="AI5" i="1"/>
  <c r="AH5" i="1"/>
  <c r="AF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J5" i="1"/>
  <c r="F5" i="1"/>
  <c r="AM4" i="1"/>
  <c r="AL4" i="1"/>
  <c r="AK4" i="1"/>
  <c r="AJ4" i="1"/>
  <c r="AI4" i="1"/>
  <c r="AH4" i="1"/>
  <c r="AF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J4" i="1"/>
  <c r="AN4" i="1" s="1"/>
  <c r="F4" i="1"/>
  <c r="F3" i="1"/>
  <c r="W3" i="1"/>
  <c r="V3" i="1"/>
  <c r="U3" i="1"/>
  <c r="T3" i="1"/>
  <c r="S3" i="1"/>
  <c r="R3" i="1"/>
  <c r="N3" i="1"/>
  <c r="M3" i="1"/>
  <c r="L3" i="1"/>
  <c r="AF3" i="1"/>
  <c r="J3" i="1"/>
  <c r="AN3" i="1" s="1"/>
  <c r="O3" i="1"/>
  <c r="AB3" i="1"/>
  <c r="AM3" i="1"/>
  <c r="AL3" i="1"/>
  <c r="AK3" i="1"/>
  <c r="AJ3" i="1"/>
  <c r="AI3" i="1"/>
  <c r="AH3" i="1"/>
  <c r="AD3" i="1"/>
  <c r="AC3" i="1"/>
  <c r="AA3" i="1"/>
  <c r="Z3" i="1"/>
  <c r="Y3" i="1"/>
  <c r="X3" i="1"/>
  <c r="Q3" i="1"/>
  <c r="P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Karthik Murali</author>
  </authors>
  <commentList>
    <comment ref="B8" authorId="0" shapeId="0" xr:uid="{847BB2D6-AF12-4E93-A67A-3C89DC368122}">
      <text>
        <r>
          <rPr>
            <sz val="9"/>
            <color indexed="81"/>
            <rFont val="Tahoma"/>
            <family val="2"/>
          </rPr>
          <t>INHERITED VALUE(S)</t>
        </r>
      </text>
    </comment>
    <comment ref="B9" authorId="0" shapeId="0" xr:uid="{43127BF4-9565-4839-A9FB-3353C9B79BCB}">
      <text>
        <r>
          <rPr>
            <sz val="9"/>
            <color indexed="81"/>
            <rFont val="Tahoma"/>
            <family val="2"/>
          </rPr>
          <t>GOVERNANCE ERROR(S)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  <comment ref="E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00 - Einzelartikel: bei allen In/Out- &amp; Sortimentsartikeln
12 - Display: bei Displays + beim Display Aktionsartikel</t>
        </r>
      </text>
    </comment>
    <comment ref="F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SAP Warengruppe</t>
        </r>
      </text>
    </comment>
    <comment ref="G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MDM-Identifier</t>
        </r>
      </text>
    </comment>
    <comment ref="L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M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N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Brand, Name, Inhaltsmenge --&gt; Bsp. Buitoni Bella Napoli 2 Formaggio 2x320g</t>
        </r>
      </text>
    </comment>
    <comment ref="O2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P2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Q2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Marke + Produktbezeichnung (Wird von Artikel auf Trade Item vererbt)</t>
        </r>
      </text>
    </comment>
    <comment ref="R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S2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T2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Variation + ,ggf. Label (Wird von Artikel auf Trade Item vererbt)</t>
        </r>
      </text>
    </comment>
    <comment ref="AA2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Inhalt in kg/Liter/Stk 
Bsp. 640g. Eingabe: 0.64</t>
        </r>
      </text>
    </comment>
    <comment ref="AB2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Einheit zur Grundeinheit
Bsp. Grundeinheit ist 100g. Eingabe: Gramm</t>
        </r>
      </text>
    </comment>
    <comment ref="AC2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Grundeinheit
Bsp: Grundeinheit ist 100g. Eingabe: 100</t>
        </r>
      </text>
    </comment>
    <comment ref="AD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Handelt es sich um einen Offenverkauf-Artikel? 
(KGM) KG = Offenverkauf-Artikel
(PCE) Stück = Normalartikel/Abgepackte Gewichtsartikel</t>
        </r>
      </text>
    </comment>
    <comment ref="AG2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Muss ausgefüllt werden, wenn Artikel nicht an Minderjährige verkauft werden darf (Alkohol und Tabak).</t>
        </r>
      </text>
    </comment>
    <comment ref="AH2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Steuert Rabattberechtigung für Kasse</t>
        </r>
      </text>
    </comment>
    <comment ref="AI2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Kann der Artikel an der Kasse zurückgegeben werden?</t>
        </r>
      </text>
    </comment>
    <comment ref="AJ2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Bei abgepackten Gewichtsartikeln wird dies per default auf FALSCH gesetzt</t>
        </r>
      </text>
    </comment>
    <comment ref="AK2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Kauf erzeugt immer einen Bondruck an der Kasse, z.B. bei Garantieartikel</t>
        </r>
      </text>
    </comment>
    <comment ref="AQ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In welches SAP System soll der Artikel gesendet werden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B4FA84F5-C60E-4557-A794-293D9613014E}">
      <text>
        <r>
          <rPr>
            <sz val="11"/>
            <color theme="1"/>
            <rFont val="Calibri"/>
            <family val="2"/>
            <scheme val="minor"/>
          </rPr>
          <t>Mandatory for entity data when there are multiple rows containing nested child or contexts for the same entity</t>
        </r>
      </text>
    </comment>
  </commentList>
</comments>
</file>

<file path=xl/sharedStrings.xml><?xml version="1.0" encoding="utf-8"?>
<sst xmlns="http://schemas.openxmlformats.org/spreadsheetml/2006/main" count="9355" uniqueCount="1684">
  <si>
    <t>TEMPLATE NAME</t>
  </si>
  <si>
    <t>RS EXCEL</t>
  </si>
  <si>
    <t>TEMPLATE VERSION</t>
  </si>
  <si>
    <t>MULTI VALUES DELIMITER</t>
  </si>
  <si>
    <t>||</t>
  </si>
  <si>
    <t>CONTEXT PATH DELIMITER</t>
  </si>
  <si>
    <t>LEGENDS</t>
  </si>
  <si>
    <t>MANDATORY</t>
  </si>
  <si>
    <t>&gt;&gt;</t>
  </si>
  <si>
    <t>Sheet Name</t>
  </si>
  <si>
    <t>Data</t>
  </si>
  <si>
    <t>Attribute Name</t>
  </si>
  <si>
    <t>isCollection</t>
  </si>
  <si>
    <t>Entities</t>
  </si>
  <si>
    <t>These are all read only</t>
  </si>
  <si>
    <t>Type</t>
  </si>
  <si>
    <t>SYSTEM/RELATIONSHIPS</t>
  </si>
  <si>
    <t>COLLECTION</t>
  </si>
  <si>
    <t>MANDATORY COLLECTION</t>
  </si>
  <si>
    <t>CONTEXT</t>
  </si>
  <si>
    <t>CONTEXT ENHANCER</t>
  </si>
  <si>
    <t>V1.0</t>
  </si>
  <si>
    <t>GLOBAL</t>
  </si>
  <si>
    <t>GLOBAL ENHANCER</t>
  </si>
  <si>
    <t>INHERITED VALUE(S)</t>
  </si>
  <si>
    <t>GOVERNANCE ERROR(S)</t>
  </si>
  <si>
    <t>Action</t>
  </si>
  <si>
    <t>ID</t>
  </si>
  <si>
    <t>Name</t>
  </si>
  <si>
    <t>System Attributes</t>
  </si>
  <si>
    <t>Artikeltyp</t>
  </si>
  <si>
    <t>Warengruppe//de-DE</t>
  </si>
  <si>
    <t>Enhancer Attribute(s)</t>
  </si>
  <si>
    <t>MDM ID</t>
  </si>
  <si>
    <t>Matching Attribute(s)</t>
  </si>
  <si>
    <t>Artikelart//de-DE</t>
  </si>
  <si>
    <t>Saison Typ//de-DE</t>
  </si>
  <si>
    <t>GTIN Suche</t>
  </si>
  <si>
    <t>01 - Rumpfinformationen</t>
  </si>
  <si>
    <t>Ergänzte Regio-Artikel-GTIN</t>
  </si>
  <si>
    <t>Artikeltext//de-DE</t>
  </si>
  <si>
    <t>99 - intern</t>
  </si>
  <si>
    <t>Artikeltext//fr-FR</t>
  </si>
  <si>
    <t>Artikeltext//it-IT</t>
  </si>
  <si>
    <t>Gestellbeschriftung 1//de-DE</t>
  </si>
  <si>
    <t>Gestellbeschriftung 1//fr-FR</t>
  </si>
  <si>
    <t>Gestellbeschriftung 1//it-IT</t>
  </si>
  <si>
    <t>Gestellbeschriftung 2//de-DE</t>
  </si>
  <si>
    <t>Gestellbeschriftung 2//fr-FR</t>
  </si>
  <si>
    <t>Gestellbeschriftung 2//it-IT</t>
  </si>
  <si>
    <t>Gestellbeschriftung 3 Regio//de-DE</t>
  </si>
  <si>
    <t>03 - Texte</t>
  </si>
  <si>
    <t>Gestellbeschriftung 3 Regio//fr-FR</t>
  </si>
  <si>
    <t>Gestellbeschriftung 3 Regio//it-IT</t>
  </si>
  <si>
    <t>Cash receipt text Regio//de-DE</t>
  </si>
  <si>
    <t>Cash receipt text Regio//fr-FR</t>
  </si>
  <si>
    <t>Cash receipt text Regio//it-IT</t>
  </si>
  <si>
    <t>Nettoinhalt</t>
  </si>
  <si>
    <t>Inhaltsmengeneinheit Grundpreis//de-DE</t>
  </si>
  <si>
    <t>Grundpreiseinheit//de-DE</t>
  </si>
  <si>
    <t>Basismengeneinheit//de-DE</t>
  </si>
  <si>
    <t>Steuerklassifikation//de-DE</t>
  </si>
  <si>
    <t>Altersbegrenzungs-Typ//de-DE</t>
  </si>
  <si>
    <t>Rabatt zugelassen</t>
  </si>
  <si>
    <t>Rückgabe zugelassen</t>
  </si>
  <si>
    <t>Preisänderung Kasse erlaubt</t>
  </si>
  <si>
    <t>Automatischer Bondruck</t>
  </si>
  <si>
    <t>Shop-In-Shop</t>
  </si>
  <si>
    <t>Ist Fremdartikel</t>
  </si>
  <si>
    <t>05 - Kasse</t>
  </si>
  <si>
    <t>GTIN-Typ Regioapp</t>
  </si>
  <si>
    <t>SAP System Integration</t>
  </si>
  <si>
    <t>axartikelslpmstruktur__it_IT</t>
  </si>
  <si>
    <t>SLPM Struktur&gt;&gt;3 Getränke&gt;&gt;30 Getränke&gt;&gt;3025 Tafelgetränke&gt;&gt;30251010 Säfte gekühlt</t>
  </si>
  <si>
    <t>atxwarengruppesap__de_DE</t>
  </si>
  <si>
    <t>Warengruppe&gt;&gt;Getränke&gt;&gt;Tafelgetränke&gt;&gt;Säfte gekühlt</t>
  </si>
  <si>
    <t>axartikelslpmstruktur__de_DE</t>
  </si>
  <si>
    <t>axmhdvorhanden__it_IT</t>
  </si>
  <si>
    <t>Ja</t>
  </si>
  <si>
    <t>atxwarengruppesap__fr_FR</t>
  </si>
  <si>
    <t>Groupe de produits&gt;&gt;Boissons&gt;&gt;Boissons de table&gt;&gt;Jus de fruits réfrigérés</t>
  </si>
  <si>
    <t>axtaxdummyfilter__it_IT</t>
  </si>
  <si>
    <t>Dummy for Attribute Filtering</t>
  </si>
  <si>
    <t>atxalkoholhaltig__it_IT</t>
  </si>
  <si>
    <t>Nein</t>
  </si>
  <si>
    <t>axartikelslpmstruktur__fr_FR</t>
  </si>
  <si>
    <t>axartikeltypsap__fr_FR</t>
  </si>
  <si>
    <t>00 - Einzelartikel</t>
  </si>
  <si>
    <t>axartikeltypsap__de_DE</t>
  </si>
  <si>
    <t>axtaxdummyfilter__de_DE</t>
  </si>
  <si>
    <t>atxalkoholhaltig__fr_FR</t>
  </si>
  <si>
    <t>atxalkoholhaltig__de_DE</t>
  </si>
  <si>
    <t>axmhdvorhanden__de_DE</t>
  </si>
  <si>
    <t>atxwarengruppesap__it_IT</t>
  </si>
  <si>
    <t>Gruppo di prodotti&gt;&gt;Bevande&gt;&gt;Bevande da tavola&gt;&gt;Succhi refrigerati</t>
  </si>
  <si>
    <t>axartikeltypsap__it_IT</t>
  </si>
  <si>
    <t>axmhdvorhanden__fr_FR</t>
  </si>
  <si>
    <t>axtaxdummyfilter__fr_FR</t>
  </si>
  <si>
    <t>ENTITY_NAME</t>
  </si>
  <si>
    <t>exartikel</t>
  </si>
  <si>
    <t xml:space="preserve">refxartikeltypsap </t>
  </si>
  <si>
    <t>12 - Display</t>
  </si>
  <si>
    <t>[DELETE]</t>
  </si>
  <si>
    <t>[NULL]</t>
  </si>
  <si>
    <t xml:space="preserve">refxbooleanalkoholhaltig </t>
  </si>
  <si>
    <t xml:space="preserve">refxboolen </t>
  </si>
  <si>
    <t>refxartikelartsap de-DE</t>
  </si>
  <si>
    <t>ZAUS - Display In/Out Artikel</t>
  </si>
  <si>
    <t>ZEGS - Externe Gutscheine</t>
  </si>
  <si>
    <t>ZHAW - Handelsware ohne Charge</t>
  </si>
  <si>
    <t>ZHIB - Hilfs-/Betriebsstoffe aus VZ</t>
  </si>
  <si>
    <t>ZIGS  - Denner Gutschein</t>
  </si>
  <si>
    <t>ZLEE - Leergut</t>
  </si>
  <si>
    <t>ZLOS - Lose</t>
  </si>
  <si>
    <t>ZRWE - Wein in Tanks</t>
  </si>
  <si>
    <t>ZVBR - Verbrauchsmat. aus Antalis</t>
  </si>
  <si>
    <t>ZVOL - Vollgut</t>
  </si>
  <si>
    <t>ZWEI - Wein mit Charge</t>
  </si>
  <si>
    <t>refxartikelartsap fr-FR</t>
  </si>
  <si>
    <t>refxartikelartsap it-IT</t>
  </si>
  <si>
    <t>refxsaisontypsap de-DE</t>
  </si>
  <si>
    <t>In/Out</t>
  </si>
  <si>
    <t>Permanent</t>
  </si>
  <si>
    <t>Saison</t>
  </si>
  <si>
    <t>Saison/Promo</t>
  </si>
  <si>
    <t>refxsaisontypsap fr-FR</t>
  </si>
  <si>
    <t>refxsaisontypsap it-IT</t>
  </si>
  <si>
    <t>refxmengeneinheit de-DE</t>
  </si>
  <si>
    <t>Centiliter</t>
  </si>
  <si>
    <t>Each</t>
  </si>
  <si>
    <t>Gramm</t>
  </si>
  <si>
    <t>Kilogramm</t>
  </si>
  <si>
    <t>Kiste</t>
  </si>
  <si>
    <t>Liter</t>
  </si>
  <si>
    <t>Milliliter</t>
  </si>
  <si>
    <t>Pack</t>
  </si>
  <si>
    <t>Rolle</t>
  </si>
  <si>
    <t>Stück</t>
  </si>
  <si>
    <t>Tüte</t>
  </si>
  <si>
    <t>refxmengeneinheit fr-FR</t>
  </si>
  <si>
    <t>Caisse</t>
  </si>
  <si>
    <t>Centilitre</t>
  </si>
  <si>
    <t>Chaque</t>
  </si>
  <si>
    <t>Gramme</t>
  </si>
  <si>
    <t>Kilogramme</t>
  </si>
  <si>
    <t>Litre</t>
  </si>
  <si>
    <t>Millilitre</t>
  </si>
  <si>
    <t>Paquet</t>
  </si>
  <si>
    <t>Pièce</t>
  </si>
  <si>
    <t>Rouleau</t>
  </si>
  <si>
    <t>Sachet</t>
  </si>
  <si>
    <t>refxmengeneinheit it-IT</t>
  </si>
  <si>
    <t>Borsa</t>
  </si>
  <si>
    <t>Cassa</t>
  </si>
  <si>
    <t>Centilitro</t>
  </si>
  <si>
    <t>Chilogrammo</t>
  </si>
  <si>
    <t>Confezione</t>
  </si>
  <si>
    <t>Grammo</t>
  </si>
  <si>
    <t>Litro</t>
  </si>
  <si>
    <t>Millilitro</t>
  </si>
  <si>
    <t>Pezzo</t>
  </si>
  <si>
    <t>Rotolo</t>
  </si>
  <si>
    <t>refxvergleichspreiseinheit de-DE</t>
  </si>
  <si>
    <t>1</t>
  </si>
  <si>
    <t>10</t>
  </si>
  <si>
    <t>100</t>
  </si>
  <si>
    <t>refxvergleichspreiseinheit fr-FR</t>
  </si>
  <si>
    <t>refxvergleichspreiseinheit it-IT</t>
  </si>
  <si>
    <t>(KGM) KG</t>
  </si>
  <si>
    <t>(PCE) Stück</t>
  </si>
  <si>
    <t>[EMPTY]</t>
  </si>
  <si>
    <t>(LTR) Liter</t>
  </si>
  <si>
    <t>(PCE) Pièce</t>
  </si>
  <si>
    <t>(KGM) kg</t>
  </si>
  <si>
    <t>(L) Litre</t>
  </si>
  <si>
    <t>(PCE) Pezzo</t>
  </si>
  <si>
    <t>(L) Litro</t>
  </si>
  <si>
    <t>refxtaxclass de-DE</t>
  </si>
  <si>
    <t>0 - Ohne MWST</t>
  </si>
  <si>
    <t>1 - Normalsatz</t>
  </si>
  <si>
    <t>3 - Reduzierter Satz</t>
  </si>
  <si>
    <t>refxtaxclass fr-FR</t>
  </si>
  <si>
    <t>0 - Sans TVA</t>
  </si>
  <si>
    <t>1 - Taux normal</t>
  </si>
  <si>
    <t>3 - Taux réduit</t>
  </si>
  <si>
    <t>refxtaxclass it-IT</t>
  </si>
  <si>
    <t>0 - Senza IVA</t>
  </si>
  <si>
    <t>1 - Tariffa standard</t>
  </si>
  <si>
    <t>3 - Tariffa ridotta</t>
  </si>
  <si>
    <t>refxaltersbegrtyp de-DE</t>
  </si>
  <si>
    <t>Alcopops</t>
  </si>
  <si>
    <t>Bier</t>
  </si>
  <si>
    <t>Keine</t>
  </si>
  <si>
    <t>Rauchwaren</t>
  </si>
  <si>
    <t>Spirituosen</t>
  </si>
  <si>
    <t>Wein</t>
  </si>
  <si>
    <t>refxaltersbegrtyp fr-FR</t>
  </si>
  <si>
    <t>Alcopop</t>
  </si>
  <si>
    <t>Aucune</t>
  </si>
  <si>
    <t>Bière</t>
  </si>
  <si>
    <t>Spiriteux</t>
  </si>
  <si>
    <t>Tabac</t>
  </si>
  <si>
    <t>Vin</t>
  </si>
  <si>
    <t>refxaltersbegrtyp it-IT</t>
  </si>
  <si>
    <t>Alcolpop</t>
  </si>
  <si>
    <t>Birra</t>
  </si>
  <si>
    <t>Nessuna</t>
  </si>
  <si>
    <t>Superalcolici</t>
  </si>
  <si>
    <t>Tabacchi</t>
  </si>
  <si>
    <t>Vino</t>
  </si>
  <si>
    <t xml:space="preserve">refxshopinshop </t>
  </si>
  <si>
    <t>Denner Partner</t>
  </si>
  <si>
    <t>Postartikel</t>
  </si>
  <si>
    <t xml:space="preserve">refxgtintyperegioartikel </t>
  </si>
  <si>
    <t>GTIN</t>
  </si>
  <si>
    <t>_EMPTY</t>
  </si>
  <si>
    <t xml:space="preserve">refxsystemsap </t>
  </si>
  <si>
    <t>S4H</t>
  </si>
  <si>
    <t>S4HP</t>
  </si>
  <si>
    <t>true</t>
  </si>
  <si>
    <t>Lf Nr.</t>
  </si>
  <si>
    <t>PLU-Nr. 
neu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</si>
  <si>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</si>
  <si>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</si>
  <si>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</si>
  <si>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</si>
  <si>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</si>
  <si>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</si>
  <si>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</si>
  <si>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</si>
  <si>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</si>
  <si>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</si>
  <si>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</si>
  <si>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</si>
  <si>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</si>
  <si>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</si>
  <si>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</si>
  <si>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Grundpreismenge
Feld 1</t>
  </si>
  <si>
    <t>Grundpreismenge
Feld 2</t>
  </si>
  <si>
    <t>Basismengeneinheit
Waage = Kg
Verkauf = Stk = Stk
Relevant für Berechnungen im MDM/SAP</t>
  </si>
  <si>
    <t>Warengruppe
1. Feld</t>
  </si>
  <si>
    <t>Warengruppe
2. Feld</t>
  </si>
  <si>
    <t>Warengruppe
3. Feld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</si>
  <si>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</si>
  <si>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</si>
  <si>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</si>
  <si>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</si>
  <si>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</si>
  <si>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</si>
  <si>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</si>
  <si>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</si>
  <si>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</si>
  <si>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</si>
  <si>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Baguette</t>
  </si>
  <si>
    <t>aus der Region</t>
  </si>
  <si>
    <t>250g</t>
  </si>
  <si>
    <t>Baguette 250g</t>
  </si>
  <si>
    <t>de la région</t>
  </si>
  <si>
    <t>della regione</t>
  </si>
  <si>
    <t>Backwaren &amp; Convenience</t>
  </si>
  <si>
    <t>Brot und Backwaren</t>
  </si>
  <si>
    <t>Backwaren andere</t>
  </si>
  <si>
    <t>ja</t>
  </si>
  <si>
    <t>-</t>
  </si>
  <si>
    <t>Baslerbrot</t>
  </si>
  <si>
    <t>Baslerbrot 250g</t>
  </si>
  <si>
    <t>Pain bâlois 250g</t>
  </si>
  <si>
    <t>Pane di Basilea 250g</t>
  </si>
  <si>
    <t>500g</t>
  </si>
  <si>
    <t>Baslerbrot 500g</t>
  </si>
  <si>
    <t>Pain bâlois 500g</t>
  </si>
  <si>
    <t>Pane di Basilea 500g</t>
  </si>
  <si>
    <t>Berliner</t>
  </si>
  <si>
    <t>1Stk</t>
  </si>
  <si>
    <t>1pce</t>
  </si>
  <si>
    <t>1pz</t>
  </si>
  <si>
    <t>Birewegge</t>
  </si>
  <si>
    <t>Bricelets</t>
  </si>
  <si>
    <t>Brioche mit Füllung</t>
  </si>
  <si>
    <t>Brioche ripiena</t>
  </si>
  <si>
    <t>Brot vom Beck</t>
  </si>
  <si>
    <t>Pain du boulanger</t>
  </si>
  <si>
    <t>Pane del panettiere</t>
  </si>
  <si>
    <t>Brottheke</t>
  </si>
  <si>
    <t>Comptoir à pain</t>
  </si>
  <si>
    <t>Banco pane</t>
  </si>
  <si>
    <t>Cornetto al burro</t>
  </si>
  <si>
    <t>300g</t>
  </si>
  <si>
    <t>Butterzopf 300g</t>
  </si>
  <si>
    <t>Tresse 300g</t>
  </si>
  <si>
    <t>Treccia 300g</t>
  </si>
  <si>
    <t>Butterzopf 500g</t>
  </si>
  <si>
    <t>Tresse 500g</t>
  </si>
  <si>
    <t>Treccia 500g</t>
  </si>
  <si>
    <t>700g</t>
  </si>
  <si>
    <t>Butterzopf 700g</t>
  </si>
  <si>
    <t>Tresse 700g</t>
  </si>
  <si>
    <t>Treccia 700g</t>
  </si>
  <si>
    <t>Ciabattina</t>
  </si>
  <si>
    <t>Flûtes</t>
  </si>
  <si>
    <t>Focaccia</t>
  </si>
  <si>
    <t>Halbweissbrot</t>
  </si>
  <si>
    <t>Halbweissbrot 500g</t>
  </si>
  <si>
    <t>Pain mi-blanc</t>
  </si>
  <si>
    <t>Pain mi-blanc 500g</t>
  </si>
  <si>
    <t>Pane semibianco</t>
  </si>
  <si>
    <t>Pane semibianco 500g</t>
  </si>
  <si>
    <t>1kg</t>
  </si>
  <si>
    <t>Halbweissbrot 1kg</t>
  </si>
  <si>
    <t>Pain mi-blanc 1kg</t>
  </si>
  <si>
    <t>Pane semibianco 1kg</t>
  </si>
  <si>
    <t>Halbweissbrot 250g</t>
  </si>
  <si>
    <t>Pain mi-blanc 250g</t>
  </si>
  <si>
    <t>Pane semibianco 250g</t>
  </si>
  <si>
    <t>Cornetto di sils</t>
  </si>
  <si>
    <t>Cornetto alle mandorle</t>
  </si>
  <si>
    <t>Croissant multicér.</t>
  </si>
  <si>
    <t>Cornetto ai cereali</t>
  </si>
  <si>
    <t>Meringues régional</t>
  </si>
  <si>
    <t>Meringues</t>
  </si>
  <si>
    <t>Croissant aux noix</t>
  </si>
  <si>
    <t>Cornetto alle noci</t>
  </si>
  <si>
    <t>Bâton aux noix</t>
  </si>
  <si>
    <t>Bastoncino alle noci</t>
  </si>
  <si>
    <t>Pizza</t>
  </si>
  <si>
    <t>Ruchbrot</t>
  </si>
  <si>
    <t>Ruchbrot 1kg</t>
  </si>
  <si>
    <t>Pain bis 1kg</t>
  </si>
  <si>
    <t>Pane bigio 1kg</t>
  </si>
  <si>
    <t>Ruchbrot 500g</t>
  </si>
  <si>
    <t>Pain bis 500g</t>
  </si>
  <si>
    <t>Pane bigio</t>
  </si>
  <si>
    <t>Pane bigio 500g</t>
  </si>
  <si>
    <t>Ruchbrot 250g</t>
  </si>
  <si>
    <t>Pain bis 250g</t>
  </si>
  <si>
    <t>Pane bigio 250g</t>
  </si>
  <si>
    <t>Sandwich</t>
  </si>
  <si>
    <t>Panino</t>
  </si>
  <si>
    <t>Sandwichbrötli gross</t>
  </si>
  <si>
    <t>Pain sandwich grand</t>
  </si>
  <si>
    <t>Pane per panino grande</t>
  </si>
  <si>
    <t>Sandwichbrötli klein</t>
  </si>
  <si>
    <t>Pain sandwich petit</t>
  </si>
  <si>
    <t>Pane per panino picc.</t>
  </si>
  <si>
    <t>Schinkengipfel</t>
  </si>
  <si>
    <t>Cornetto al prosciutto</t>
  </si>
  <si>
    <t>Cornetto al cioccolato</t>
  </si>
  <si>
    <t>Petit pain torsadé</t>
  </si>
  <si>
    <t>Panino torciglione</t>
  </si>
  <si>
    <t>Ballon régional</t>
  </si>
  <si>
    <t>Michetta</t>
  </si>
  <si>
    <t>St. Gallerbrot 250g</t>
  </si>
  <si>
    <t>Pain St-Gall</t>
  </si>
  <si>
    <t>Pain St-Gall 250g</t>
  </si>
  <si>
    <t>Pane di San Gallo</t>
  </si>
  <si>
    <t>Pane di San Gallo 250g</t>
  </si>
  <si>
    <t>St. Gallerbrot 500g</t>
  </si>
  <si>
    <t>Pain St-Gall 500g</t>
  </si>
  <si>
    <t>Pane di San Gallo 500g</t>
  </si>
  <si>
    <t>400g</t>
  </si>
  <si>
    <t>Tessinerbrot 400g</t>
  </si>
  <si>
    <t>Pain tessinois 400g</t>
  </si>
  <si>
    <t>Pane ticinese</t>
  </si>
  <si>
    <t>Pane ticinese 400g</t>
  </si>
  <si>
    <t>Cornetto alla vaniglia</t>
  </si>
  <si>
    <t>Friv. vanille-framb.</t>
  </si>
  <si>
    <t>Sfoglia vanigl.-lamp.</t>
  </si>
  <si>
    <t>Bâton à la vanille</t>
  </si>
  <si>
    <t>Bastoncino vaniglia</t>
  </si>
  <si>
    <t>Croissant complet</t>
  </si>
  <si>
    <t>Cornetto integrale</t>
  </si>
  <si>
    <t>Michetta al latte</t>
  </si>
  <si>
    <t>Frische Pasta</t>
  </si>
  <si>
    <t>Pâtes fraîches</t>
  </si>
  <si>
    <t>Pasta fresca</t>
  </si>
  <si>
    <t>Convenience-Produkte</t>
  </si>
  <si>
    <t>Ready to cook</t>
  </si>
  <si>
    <t>Ravioli</t>
  </si>
  <si>
    <t>Gastronomietheke</t>
  </si>
  <si>
    <t>Comptoir gastronomie</t>
  </si>
  <si>
    <t>Banco gastronomia</t>
  </si>
  <si>
    <t>Ready to eat</t>
  </si>
  <si>
    <t>Glace Becher</t>
  </si>
  <si>
    <t>Glace gobelet</t>
  </si>
  <si>
    <t>Gelato coppetta</t>
  </si>
  <si>
    <t>Tiefkühlprodukte</t>
  </si>
  <si>
    <t>Glace Behälter</t>
  </si>
  <si>
    <t>1l</t>
  </si>
  <si>
    <t>Glace Behälter 1l</t>
  </si>
  <si>
    <t>Glace bac</t>
  </si>
  <si>
    <t>Glace bac 1l</t>
  </si>
  <si>
    <t>Gelato vaschetta</t>
  </si>
  <si>
    <t>Gelato vaschetta 1l</t>
  </si>
  <si>
    <t>Mehl 500g</t>
  </si>
  <si>
    <t>Farine 500g</t>
  </si>
  <si>
    <t>Farina 500g</t>
  </si>
  <si>
    <t>Food</t>
  </si>
  <si>
    <t>Grundnahrungsmittel</t>
  </si>
  <si>
    <t>Mehl 1kg</t>
  </si>
  <si>
    <t>Farine 1kg</t>
  </si>
  <si>
    <t>Farina 1kg</t>
  </si>
  <si>
    <t>500ml</t>
  </si>
  <si>
    <t>Salatsauce 500ml</t>
  </si>
  <si>
    <t>Sauce à salade</t>
  </si>
  <si>
    <t>Sauce à salade 500ml</t>
  </si>
  <si>
    <t>Salsa per insalata</t>
  </si>
  <si>
    <t>Salsa per insalata 500ml</t>
  </si>
  <si>
    <t>Öl/Essig/Salatsaucen</t>
  </si>
  <si>
    <t>Salatsauce 1l</t>
  </si>
  <si>
    <t>Sauce à salade 1l</t>
  </si>
  <si>
    <t>Salsa per insalata 1l</t>
  </si>
  <si>
    <t>Mohrenkopf</t>
  </si>
  <si>
    <t>Tête de choco</t>
  </si>
  <si>
    <t>Moretti</t>
  </si>
  <si>
    <t>Schokolade</t>
  </si>
  <si>
    <t>Bénichon-Senf</t>
  </si>
  <si>
    <t>100g</t>
  </si>
  <si>
    <t>Bénichon-Senf 100g</t>
  </si>
  <si>
    <t>Moutarde de Bénichon</t>
  </si>
  <si>
    <t>Moutarde de Bénichon 100g</t>
  </si>
  <si>
    <t>Senape di Bénichon</t>
  </si>
  <si>
    <t>Senape di Bénichon 100g</t>
  </si>
  <si>
    <t>Sonstige Nahrungsmittel</t>
  </si>
  <si>
    <t>Bénichon-Senf 250g</t>
  </si>
  <si>
    <t>Moutarde de Bénichon 250</t>
  </si>
  <si>
    <t>Senape di Bénichon 250</t>
  </si>
  <si>
    <t>Geschenkkorb</t>
  </si>
  <si>
    <t>Panier cadeau</t>
  </si>
  <si>
    <t>Cesto regalo</t>
  </si>
  <si>
    <t>Honig 250g</t>
  </si>
  <si>
    <t>Miel</t>
  </si>
  <si>
    <t>Miel 250g</t>
  </si>
  <si>
    <t>Miele 250g</t>
  </si>
  <si>
    <t>Honig 500g</t>
  </si>
  <si>
    <t>Miel 500g</t>
  </si>
  <si>
    <t>Miele 500g</t>
  </si>
  <si>
    <t>Konfitüre</t>
  </si>
  <si>
    <t>150g</t>
  </si>
  <si>
    <t>Konfitüre 150g</t>
  </si>
  <si>
    <t>Confiture 150g</t>
  </si>
  <si>
    <t>Confettura 150g</t>
  </si>
  <si>
    <t>Konfitüre 250g</t>
  </si>
  <si>
    <t>Confiture 250g</t>
  </si>
  <si>
    <t>Confettura 250g</t>
  </si>
  <si>
    <t>350g</t>
  </si>
  <si>
    <t>Konfitüre 350g</t>
  </si>
  <si>
    <t>Confiture 350g</t>
  </si>
  <si>
    <t>Confettura 350g</t>
  </si>
  <si>
    <t>450g</t>
  </si>
  <si>
    <t>Konfitüre 450g</t>
  </si>
  <si>
    <t>Confiture 450g</t>
  </si>
  <si>
    <t>Confettura 450g</t>
  </si>
  <si>
    <t>Zuckerconfiserie</t>
  </si>
  <si>
    <t>Eier</t>
  </si>
  <si>
    <t>4Stk</t>
  </si>
  <si>
    <t>Eier 4Stk</t>
  </si>
  <si>
    <t>Oeufs</t>
  </si>
  <si>
    <t>4pces</t>
  </si>
  <si>
    <t>Oeufs 4pces</t>
  </si>
  <si>
    <t>Uova</t>
  </si>
  <si>
    <t>4pz</t>
  </si>
  <si>
    <t>Uova 4pz</t>
  </si>
  <si>
    <t>Frische</t>
  </si>
  <si>
    <t>10Stk</t>
  </si>
  <si>
    <t>Eier 10Stk</t>
  </si>
  <si>
    <t>10pces</t>
  </si>
  <si>
    <t>Oeufs 10pces</t>
  </si>
  <si>
    <t>10pz</t>
  </si>
  <si>
    <t>Uova 10pz</t>
  </si>
  <si>
    <t>Eier 1Stk</t>
  </si>
  <si>
    <t>Oeuf</t>
  </si>
  <si>
    <t>Oeuf 1pce</t>
  </si>
  <si>
    <t>Uovo</t>
  </si>
  <si>
    <t>Uovo 1pz</t>
  </si>
  <si>
    <t>6Stk</t>
  </si>
  <si>
    <t>Eier 6Stk</t>
  </si>
  <si>
    <t>6pces</t>
  </si>
  <si>
    <t>Oeufs 6pces</t>
  </si>
  <si>
    <t>6pz</t>
  </si>
  <si>
    <t>Uova 6pz</t>
  </si>
  <si>
    <t>Picnic-Eier</t>
  </si>
  <si>
    <t>Picnic-Eier 6Stk</t>
  </si>
  <si>
    <t>Oeufs picnic 6pces</t>
  </si>
  <si>
    <t>Uova picnic</t>
  </si>
  <si>
    <t>Uova picnic 6pz</t>
  </si>
  <si>
    <t>Picnic-Eier 1Stk</t>
  </si>
  <si>
    <t>Oeuf picnic</t>
  </si>
  <si>
    <t>Oeuf picnic 1pce</t>
  </si>
  <si>
    <t>Uovo picnic</t>
  </si>
  <si>
    <t>Uovo picnic 1pz</t>
  </si>
  <si>
    <t>Wachteleier</t>
  </si>
  <si>
    <t>8Stk</t>
  </si>
  <si>
    <t>Wachteleier 8Stk</t>
  </si>
  <si>
    <t>Oeufs de caille</t>
  </si>
  <si>
    <t>8pces</t>
  </si>
  <si>
    <t>Oeufs de caille 8pces</t>
  </si>
  <si>
    <t>Uova di quaglia</t>
  </si>
  <si>
    <t>8pz</t>
  </si>
  <si>
    <t>Uova di quaglia 8pz</t>
  </si>
  <si>
    <t>Wachteleier 6Stk</t>
  </si>
  <si>
    <t>Oeufs de caille 6pces</t>
  </si>
  <si>
    <t>Uova di quaglia 6pz</t>
  </si>
  <si>
    <t>Wachteleier 1Stk</t>
  </si>
  <si>
    <t>kg</t>
  </si>
  <si>
    <t>Filet de perche</t>
  </si>
  <si>
    <t>Filetto di persico</t>
  </si>
  <si>
    <t>SB - Fleisch</t>
  </si>
  <si>
    <t>Fisch</t>
  </si>
  <si>
    <t>Rindstartar</t>
  </si>
  <si>
    <t>Tartare de boeuf</t>
  </si>
  <si>
    <t>Tartare di manzo</t>
  </si>
  <si>
    <t>Fleisch</t>
  </si>
  <si>
    <t>Theke Wurstwaren</t>
  </si>
  <si>
    <t>Comptoir charcuterie</t>
  </si>
  <si>
    <t>Banco salumeria</t>
  </si>
  <si>
    <t>Fleisch- und Wurstwaren</t>
  </si>
  <si>
    <t>Fleisch- und Wurstwaren andere</t>
  </si>
  <si>
    <t>Charcuterie</t>
  </si>
  <si>
    <t>Salumi</t>
  </si>
  <si>
    <t>Büscion</t>
  </si>
  <si>
    <t>2Stk</t>
  </si>
  <si>
    <t>Büscion 2Stk</t>
  </si>
  <si>
    <t>Büscion 2pces</t>
  </si>
  <si>
    <t>2pces</t>
  </si>
  <si>
    <t>2pz</t>
  </si>
  <si>
    <t>Büscion 2pz</t>
  </si>
  <si>
    <t>Käse</t>
  </si>
  <si>
    <t>Fondue</t>
  </si>
  <si>
    <t>Fondue 400g</t>
  </si>
  <si>
    <t>600g</t>
  </si>
  <si>
    <t>Fondue 600g</t>
  </si>
  <si>
    <t>800g</t>
  </si>
  <si>
    <t>Fondue 800g</t>
  </si>
  <si>
    <t>Frischkäse</t>
  </si>
  <si>
    <t>Frischkäse 2Stk</t>
  </si>
  <si>
    <t>Fromage frais 2pces</t>
  </si>
  <si>
    <t>Formaggini freschi</t>
  </si>
  <si>
    <t>Formaggini freschi 2pz</t>
  </si>
  <si>
    <t>Gruyère</t>
  </si>
  <si>
    <t>Käse Spezialitäten</t>
  </si>
  <si>
    <t>Spécialités de fromage</t>
  </si>
  <si>
    <t>Formaggi</t>
  </si>
  <si>
    <t>Käsetheke</t>
  </si>
  <si>
    <t>Banco formaggi</t>
  </si>
  <si>
    <t>Mutschli</t>
  </si>
  <si>
    <t>Tomino</t>
  </si>
  <si>
    <t>Raclette</t>
  </si>
  <si>
    <t>Zincarlin</t>
  </si>
  <si>
    <t>Butter 100g</t>
  </si>
  <si>
    <t>Beurre 100g</t>
  </si>
  <si>
    <t>Burro 100g</t>
  </si>
  <si>
    <t>Milchprodukte</t>
  </si>
  <si>
    <t>200g</t>
  </si>
  <si>
    <t>Butter 200g</t>
  </si>
  <si>
    <t>Beurre</t>
  </si>
  <si>
    <t>Beurre 200g</t>
  </si>
  <si>
    <t>Burro 200g</t>
  </si>
  <si>
    <t>Butter 250g</t>
  </si>
  <si>
    <t>Beurre 250g</t>
  </si>
  <si>
    <t>Burro 250g</t>
  </si>
  <si>
    <t>Doppel-Rahm</t>
  </si>
  <si>
    <t>200ml</t>
  </si>
  <si>
    <t>Doppel-Rahm 200ml</t>
  </si>
  <si>
    <t>Double crème</t>
  </si>
  <si>
    <t>Double crème 200ml</t>
  </si>
  <si>
    <t>Panna doppia</t>
  </si>
  <si>
    <t>Panna 200ml</t>
  </si>
  <si>
    <t>250ml</t>
  </si>
  <si>
    <t>Doppel-Rahm 250ml</t>
  </si>
  <si>
    <t>Double crème 250ml</t>
  </si>
  <si>
    <t>Panna 250ml</t>
  </si>
  <si>
    <t>Jogurt</t>
  </si>
  <si>
    <t>130g</t>
  </si>
  <si>
    <t>Jogurt 130g</t>
  </si>
  <si>
    <t>Yogourt</t>
  </si>
  <si>
    <t>Yogourt 130g</t>
  </si>
  <si>
    <t>Jogurt 150g</t>
  </si>
  <si>
    <t>Yogourt 150g</t>
  </si>
  <si>
    <t>180g</t>
  </si>
  <si>
    <t>Jogurt 180g</t>
  </si>
  <si>
    <t>Yogourt 180g</t>
  </si>
  <si>
    <t>Jogurt 200g</t>
  </si>
  <si>
    <t>Yogourt 200g</t>
  </si>
  <si>
    <t>Jogurt 250g</t>
  </si>
  <si>
    <t>Yogourt 250g</t>
  </si>
  <si>
    <t>Jogurt 400g</t>
  </si>
  <si>
    <t>Yogourt 400g</t>
  </si>
  <si>
    <t>Jogurt 500g</t>
  </si>
  <si>
    <t>Yogourt 500g</t>
  </si>
  <si>
    <t>40g</t>
  </si>
  <si>
    <t>Kräuterbutter 40g</t>
  </si>
  <si>
    <t>Beurre aux herbes</t>
  </si>
  <si>
    <t>Beurre aux herbes 40g</t>
  </si>
  <si>
    <t>Burro alle erbe</t>
  </si>
  <si>
    <t>Burro alle erbe 40g</t>
  </si>
  <si>
    <t>60g</t>
  </si>
  <si>
    <t>Kräuterbutter 60g</t>
  </si>
  <si>
    <t>Beurre aux herbes 60g</t>
  </si>
  <si>
    <t>Burro alle erbe 60g</t>
  </si>
  <si>
    <t>Kräuterbutter 100g</t>
  </si>
  <si>
    <t>Beurre aux herbes 100g</t>
  </si>
  <si>
    <t>Burro alle erbe 100g</t>
  </si>
  <si>
    <t>Molki Spezialitäten</t>
  </si>
  <si>
    <t>Spécialités laiterie</t>
  </si>
  <si>
    <t>Specialità di latteria</t>
  </si>
  <si>
    <t>Fleischtheke</t>
  </si>
  <si>
    <t>SB - Fleisch andere</t>
  </si>
  <si>
    <t>Bauernschüblig 2Stk</t>
  </si>
  <si>
    <t>Schüblig 2pces</t>
  </si>
  <si>
    <t>Schüblig contadino</t>
  </si>
  <si>
    <t>Schüblig contadino 2pz</t>
  </si>
  <si>
    <t>Wurstwaren</t>
  </si>
  <si>
    <t>Cervelat 2Stk</t>
  </si>
  <si>
    <t>Cervelas 2pces</t>
  </si>
  <si>
    <t>Cervelat 2pz</t>
  </si>
  <si>
    <t>Hauswurst 2Stk</t>
  </si>
  <si>
    <t>Saucisse 2pces</t>
  </si>
  <si>
    <t>Salsiccia 2pz</t>
  </si>
  <si>
    <t>Landjäger dunkel 2Stk</t>
  </si>
  <si>
    <t>Sauc. Landjäger foncée</t>
  </si>
  <si>
    <t>Sauc. foncée 2pces</t>
  </si>
  <si>
    <t>Sals. Landjäger scura</t>
  </si>
  <si>
    <t>Sals. scura 2pz</t>
  </si>
  <si>
    <t>Landjäger hell 2Stk</t>
  </si>
  <si>
    <t>Sauc. Landjäger claire</t>
  </si>
  <si>
    <t>Sauc. claire 2pces</t>
  </si>
  <si>
    <t>Sals. Landjäger chiara</t>
  </si>
  <si>
    <t>Sals. chiara 2pz</t>
  </si>
  <si>
    <t>Rauchwurst 2Stk</t>
  </si>
  <si>
    <t>Saucisse fumée</t>
  </si>
  <si>
    <t>Saucisse fumée 2pces</t>
  </si>
  <si>
    <t>Salsiccia affumicata 2pz</t>
  </si>
  <si>
    <t>6x25cl</t>
  </si>
  <si>
    <t>Bier 6x25cl</t>
  </si>
  <si>
    <t>Bière 6x25cl</t>
  </si>
  <si>
    <t>Birra 6x25cl</t>
  </si>
  <si>
    <t>Getränke</t>
  </si>
  <si>
    <t>4x25cl</t>
  </si>
  <si>
    <t>Bier 4x25cl</t>
  </si>
  <si>
    <t>Bière 4x25cl</t>
  </si>
  <si>
    <t>Birra 4x25cl</t>
  </si>
  <si>
    <t>25cl</t>
  </si>
  <si>
    <t>Bier 25cl</t>
  </si>
  <si>
    <t>Bière 25cl</t>
  </si>
  <si>
    <t>Birra 25cl</t>
  </si>
  <si>
    <t>10x33cl</t>
  </si>
  <si>
    <t>Bier 10x33cl</t>
  </si>
  <si>
    <t>Bière 10x33cl</t>
  </si>
  <si>
    <t>Birra 10x33cl</t>
  </si>
  <si>
    <t>6x33cl</t>
  </si>
  <si>
    <t>Bier 6x33cl</t>
  </si>
  <si>
    <t>Bière 6x33cl</t>
  </si>
  <si>
    <t>Birra 6x33cl</t>
  </si>
  <si>
    <t>4x33cl</t>
  </si>
  <si>
    <t>Bier 4x33cl</t>
  </si>
  <si>
    <t>Bière 4x33cl</t>
  </si>
  <si>
    <t>Birra 4x33cl</t>
  </si>
  <si>
    <t>3x33cl</t>
  </si>
  <si>
    <t>Bier 3x33cl</t>
  </si>
  <si>
    <t>Bière 3x33cl</t>
  </si>
  <si>
    <t>Birra 3x33cl</t>
  </si>
  <si>
    <t>33cl</t>
  </si>
  <si>
    <t>Bier 33cl</t>
  </si>
  <si>
    <t>Bière 33cl</t>
  </si>
  <si>
    <t>Birra 33cl</t>
  </si>
  <si>
    <t>6x50cl</t>
  </si>
  <si>
    <t>Bier 6x50cl</t>
  </si>
  <si>
    <t>Bière 6x50cl</t>
  </si>
  <si>
    <t>Birra 6x50cl</t>
  </si>
  <si>
    <t>4x50cl</t>
  </si>
  <si>
    <t>Bier 4x50cl</t>
  </si>
  <si>
    <t>Bière 4x50cl</t>
  </si>
  <si>
    <t>Birra 4x50cl</t>
  </si>
  <si>
    <t>50cl</t>
  </si>
  <si>
    <t>Bier 50cl</t>
  </si>
  <si>
    <t>Bière 50cl</t>
  </si>
  <si>
    <t>Birra 50cl</t>
  </si>
  <si>
    <t>75cl</t>
  </si>
  <si>
    <t>Bier 75cl</t>
  </si>
  <si>
    <t>Bière 75cl</t>
  </si>
  <si>
    <t>Birra 75cl</t>
  </si>
  <si>
    <t>Kaffee und Tee</t>
  </si>
  <si>
    <t>Kaffee</t>
  </si>
  <si>
    <t>Kaffee to go</t>
  </si>
  <si>
    <t>Café à l'emporter</t>
  </si>
  <si>
    <t>Caffè da asporto</t>
  </si>
  <si>
    <t>Absinth</t>
  </si>
  <si>
    <t>Absinth 1l</t>
  </si>
  <si>
    <t>Absinthe</t>
  </si>
  <si>
    <t>Absinthe 1l</t>
  </si>
  <si>
    <t>Assenzio</t>
  </si>
  <si>
    <t>Assenzio 1l</t>
  </si>
  <si>
    <t>Absinth 50cl</t>
  </si>
  <si>
    <t>Absinthe 50cl</t>
  </si>
  <si>
    <t>Assenzio 50cl</t>
  </si>
  <si>
    <t>Grappa</t>
  </si>
  <si>
    <t>Grappa 1l</t>
  </si>
  <si>
    <t>Grappa 50cl</t>
  </si>
  <si>
    <t>70cl</t>
  </si>
  <si>
    <t>Grappa 70cl</t>
  </si>
  <si>
    <t>Likör &amp; Schnaps</t>
  </si>
  <si>
    <t>Liqueurs &amp; eaux-de-vie</t>
  </si>
  <si>
    <t>Liquori e distillati</t>
  </si>
  <si>
    <t>Limoncello</t>
  </si>
  <si>
    <t>Limoncello 1l</t>
  </si>
  <si>
    <t>Nocino</t>
  </si>
  <si>
    <t>Nocino 1l</t>
  </si>
  <si>
    <t>Nocino 50cl</t>
  </si>
  <si>
    <t>Nocino 70cl</t>
  </si>
  <si>
    <t>Apfelsaft</t>
  </si>
  <si>
    <t>Apfelsaft 33cl</t>
  </si>
  <si>
    <t>Jus de pomme</t>
  </si>
  <si>
    <t>Jus de pomme 33cl</t>
  </si>
  <si>
    <t>Succo di mela</t>
  </si>
  <si>
    <t>Succo mela 33cl</t>
  </si>
  <si>
    <t>Tafelgetränke</t>
  </si>
  <si>
    <t>Apfelsaft 50cl</t>
  </si>
  <si>
    <t>Jus de pomme 50cl</t>
  </si>
  <si>
    <t>Succo mela 50cl</t>
  </si>
  <si>
    <t>Apfelsaft 1l</t>
  </si>
  <si>
    <t>Jus de pomme 1l</t>
  </si>
  <si>
    <t>Succo mela 1l</t>
  </si>
  <si>
    <t>1.5l</t>
  </si>
  <si>
    <t>Apfelsaft 1.5l</t>
  </si>
  <si>
    <t>Jus de pomme 1.5l</t>
  </si>
  <si>
    <t>Succo mela 1.5l</t>
  </si>
  <si>
    <t>10l</t>
  </si>
  <si>
    <t>Apfelsaft 10l</t>
  </si>
  <si>
    <t>Jus de pomme 10l</t>
  </si>
  <si>
    <t>Succo mela 10l</t>
  </si>
  <si>
    <t>5l</t>
  </si>
  <si>
    <t>Apfelsaft 5l</t>
  </si>
  <si>
    <t>Jus de pomme 5l</t>
  </si>
  <si>
    <t>Succo mela 5l</t>
  </si>
  <si>
    <t>3l</t>
  </si>
  <si>
    <t>Apfelsaft 3l</t>
  </si>
  <si>
    <t>Jus de pomme 3l</t>
  </si>
  <si>
    <t>Succo mela 3l</t>
  </si>
  <si>
    <t>Apfelshorle</t>
  </si>
  <si>
    <t>Jus de pomme pétillant</t>
  </si>
  <si>
    <t>Jus de pomme pétillant 33cl</t>
  </si>
  <si>
    <t>Succo di mela gassato</t>
  </si>
  <si>
    <t>Succo di mela gas. 33cl</t>
  </si>
  <si>
    <t>Jus de pomme pétillant 50cl</t>
  </si>
  <si>
    <t>Succo di mela gas. 50cl</t>
  </si>
  <si>
    <t>Jus de pomme pétillant 1l</t>
  </si>
  <si>
    <t>Succo di mela gas. 1l</t>
  </si>
  <si>
    <t>Jus de pomme pétillant 1.5l</t>
  </si>
  <si>
    <t>Succo di mela gas. 1.5l</t>
  </si>
  <si>
    <t>Apfelwein</t>
  </si>
  <si>
    <t>Apfelwein 33cl</t>
  </si>
  <si>
    <t>Vin de pomme</t>
  </si>
  <si>
    <t>Vin de pomme 33cl</t>
  </si>
  <si>
    <t>Vino di mele</t>
  </si>
  <si>
    <t>Vino di mele 33cl</t>
  </si>
  <si>
    <t>Apfelwein 50cl</t>
  </si>
  <si>
    <t>Vin de pomme 50cl</t>
  </si>
  <si>
    <t>Vino di mele 50cl</t>
  </si>
  <si>
    <t>Apfelwein 75cl</t>
  </si>
  <si>
    <t>Vin de pomme 75cl</t>
  </si>
  <si>
    <t>Vino di mele 75cl</t>
  </si>
  <si>
    <t>Apfelwein 1l</t>
  </si>
  <si>
    <t>Vin de pomme 1l</t>
  </si>
  <si>
    <t>Vino di mele 1l</t>
  </si>
  <si>
    <t>Apfelwein 1.5l</t>
  </si>
  <si>
    <t>Vin de pomme 1.5l</t>
  </si>
  <si>
    <t>Vino di mele 1.5l</t>
  </si>
  <si>
    <t>Cider</t>
  </si>
  <si>
    <t>Cider 33cl</t>
  </si>
  <si>
    <t>Cidre</t>
  </si>
  <si>
    <t>Cidre 33cl</t>
  </si>
  <si>
    <t>Sidro</t>
  </si>
  <si>
    <t>Sidro 33cl</t>
  </si>
  <si>
    <t>Cider 50cl</t>
  </si>
  <si>
    <t>Cidre 50cl</t>
  </si>
  <si>
    <t>Sidro 50cl</t>
  </si>
  <si>
    <t>Cider 75cl</t>
  </si>
  <si>
    <t>Cidre 75cl</t>
  </si>
  <si>
    <t>Sidro 75cl</t>
  </si>
  <si>
    <t>Cider 1l</t>
  </si>
  <si>
    <t>Cidre 1l</t>
  </si>
  <si>
    <t>Sidro 1l</t>
  </si>
  <si>
    <t>Sirup</t>
  </si>
  <si>
    <t>35cl</t>
  </si>
  <si>
    <t>Sirup 35cl</t>
  </si>
  <si>
    <t>Sirop 35cl</t>
  </si>
  <si>
    <t>Sciroppo</t>
  </si>
  <si>
    <t>Sciroppo 35cl</t>
  </si>
  <si>
    <t>Sirup 50cl</t>
  </si>
  <si>
    <t>Sirop 50cl</t>
  </si>
  <si>
    <t>Sciroppo 50cl</t>
  </si>
  <si>
    <t>Sirup 75cl</t>
  </si>
  <si>
    <t>Sirop 75cl</t>
  </si>
  <si>
    <t>Sciroppo 75cl</t>
  </si>
  <si>
    <t>Sirup 1l</t>
  </si>
  <si>
    <t>Sirop 1l</t>
  </si>
  <si>
    <t>Sciroppo 1l</t>
  </si>
  <si>
    <t>Tee</t>
  </si>
  <si>
    <t>Gasflasche</t>
  </si>
  <si>
    <t>10.5kg</t>
  </si>
  <si>
    <t>Gasflasche 10.5kg</t>
  </si>
  <si>
    <t>Bouteille de gaz</t>
  </si>
  <si>
    <t>Bouteille gaz 10.5kg</t>
  </si>
  <si>
    <t>Bombola di gas</t>
  </si>
  <si>
    <t>Bombola gas 10.5kg</t>
  </si>
  <si>
    <t>Near Food</t>
  </si>
  <si>
    <t>Gebrauchsartikel</t>
  </si>
  <si>
    <t>5kg</t>
  </si>
  <si>
    <t>Gasflasche 5kg</t>
  </si>
  <si>
    <t>Bouteille gaz 5kg</t>
  </si>
  <si>
    <t>Bombola gas 5kg</t>
  </si>
  <si>
    <t>33kg</t>
  </si>
  <si>
    <t>Gasflasche 33kg</t>
  </si>
  <si>
    <t>Bouteille gaz 33kg</t>
  </si>
  <si>
    <t>Bombola gas 33kg</t>
  </si>
  <si>
    <t>35kg</t>
  </si>
  <si>
    <t>Gasflasche 35kg</t>
  </si>
  <si>
    <t>Bouteille gaz 35kg</t>
  </si>
  <si>
    <t>Bombola gas 35kg</t>
  </si>
  <si>
    <t>7.5kg</t>
  </si>
  <si>
    <t>Gasflasche 7.5kg</t>
  </si>
  <si>
    <t>Bouteille gaz 7.5kg</t>
  </si>
  <si>
    <t>Bombola gas 7.5kg</t>
  </si>
  <si>
    <t>Holz</t>
  </si>
  <si>
    <t>Bois de chauffage</t>
  </si>
  <si>
    <t>Legna da ardere</t>
  </si>
  <si>
    <t>Holzkohle</t>
  </si>
  <si>
    <t>Charbon de bois</t>
  </si>
  <si>
    <t>Carbone</t>
  </si>
  <si>
    <t>Karten</t>
  </si>
  <si>
    <t>Cartoline</t>
  </si>
  <si>
    <t>Pellets</t>
  </si>
  <si>
    <t>Pellet</t>
  </si>
  <si>
    <t>Zeitschriften</t>
  </si>
  <si>
    <t>Magazines</t>
  </si>
  <si>
    <t>Riviste</t>
  </si>
  <si>
    <t>Bündelmarke</t>
  </si>
  <si>
    <t>Marque de regroupement</t>
  </si>
  <si>
    <t>Tagliando tarif. fasci</t>
  </si>
  <si>
    <t>Gebührensäcke und Marken</t>
  </si>
  <si>
    <t>Container Band</t>
  </si>
  <si>
    <t>Container Band 1Stk</t>
  </si>
  <si>
    <t>Bande de conteneur</t>
  </si>
  <si>
    <t>Bande conteneur 1pce</t>
  </si>
  <si>
    <t>Fascia per contenitore</t>
  </si>
  <si>
    <t>Fascia contenitore 1pz</t>
  </si>
  <si>
    <t>240L</t>
  </si>
  <si>
    <t>Container Band 240L</t>
  </si>
  <si>
    <t>240l</t>
  </si>
  <si>
    <t>Bande conteneur 240l</t>
  </si>
  <si>
    <t>Fascia contenitore 240l</t>
  </si>
  <si>
    <t>800L</t>
  </si>
  <si>
    <t>Container Band 800L</t>
  </si>
  <si>
    <t>800l</t>
  </si>
  <si>
    <t>Bande conteneur 800l</t>
  </si>
  <si>
    <t>Fascia contenitore 800l</t>
  </si>
  <si>
    <t>250L</t>
  </si>
  <si>
    <t>Container Band 250L</t>
  </si>
  <si>
    <t>250l</t>
  </si>
  <si>
    <t>Bande conteneur 250l</t>
  </si>
  <si>
    <t>Fascia contenitore 250l</t>
  </si>
  <si>
    <t>Gebührenmarke Sperrgut</t>
  </si>
  <si>
    <t>Timbre-taxe encombr.</t>
  </si>
  <si>
    <t>Tagliando tarif. ing.</t>
  </si>
  <si>
    <t>110L</t>
  </si>
  <si>
    <t>Gebührensäcke 110L</t>
  </si>
  <si>
    <t>Sacs poubelles taxés</t>
  </si>
  <si>
    <t>110l</t>
  </si>
  <si>
    <t>Sacs poubelles 110l</t>
  </si>
  <si>
    <t>Sacchi rifiuti</t>
  </si>
  <si>
    <t>Sacchi rifiuti 110l</t>
  </si>
  <si>
    <t>17L</t>
  </si>
  <si>
    <t>Gebührensäcke 17L</t>
  </si>
  <si>
    <t>17l</t>
  </si>
  <si>
    <t>Sacs poubelles 17l</t>
  </si>
  <si>
    <t>Sacchi rifiuti 17l</t>
  </si>
  <si>
    <t>35L</t>
  </si>
  <si>
    <t>Gebührensäcke 35L</t>
  </si>
  <si>
    <t>35l</t>
  </si>
  <si>
    <t>Sacs poubelles 35l</t>
  </si>
  <si>
    <t>Sacchi rifiuti 35l</t>
  </si>
  <si>
    <t>60L</t>
  </si>
  <si>
    <t>Gebührensäcke 60L</t>
  </si>
  <si>
    <t>60l</t>
  </si>
  <si>
    <t>Sacs poubelles 60l</t>
  </si>
  <si>
    <t>Sacchi rifiuti 60l</t>
  </si>
  <si>
    <t>Plastikmüllsäcke</t>
  </si>
  <si>
    <t>Sacs poubelles plast.</t>
  </si>
  <si>
    <t>Sacchi rifiuti plast.</t>
  </si>
  <si>
    <t>Lieferpauschale</t>
  </si>
  <si>
    <t>Frais de livraison</t>
  </si>
  <si>
    <t>Costi di consegna</t>
  </si>
  <si>
    <t>Nicht-Handelsware</t>
  </si>
  <si>
    <t>Non-Merchandise</t>
  </si>
  <si>
    <t>Dienstleistungen</t>
  </si>
  <si>
    <t>Gutschein</t>
  </si>
  <si>
    <t>Bon cadeau</t>
  </si>
  <si>
    <t>Kasse</t>
  </si>
  <si>
    <t>Gutschein, Voucher</t>
  </si>
  <si>
    <t>Vin cuit</t>
  </si>
  <si>
    <t>Vin cuit 50cl</t>
  </si>
  <si>
    <t>Weine</t>
  </si>
  <si>
    <t>Wein andere</t>
  </si>
  <si>
    <t>Vin cuit 75cl</t>
  </si>
  <si>
    <t>Vin cuit 1l</t>
  </si>
  <si>
    <t>Wein 1l</t>
  </si>
  <si>
    <t>Vin 1l</t>
  </si>
  <si>
    <t>Vino 1l</t>
  </si>
  <si>
    <t>Wein 25cl</t>
  </si>
  <si>
    <t>Vin 25cl</t>
  </si>
  <si>
    <t>Vino 25cl</t>
  </si>
  <si>
    <t>Wein 50cl</t>
  </si>
  <si>
    <t>Vin 50cl</t>
  </si>
  <si>
    <t>Vino 50cl</t>
  </si>
  <si>
    <t>Wein 75cl</t>
  </si>
  <si>
    <t>Vin 75cl</t>
  </si>
  <si>
    <t>Vino 75cl</t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</si>
  <si>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</si>
  <si>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</si>
  <si>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</si>
  <si>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</si>
  <si>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</si>
  <si>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</si>
  <si>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</si>
  <si>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</si>
  <si>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Früchte und Gemüse</t>
  </si>
  <si>
    <t>Früchte</t>
  </si>
  <si>
    <t>Ananas</t>
  </si>
  <si>
    <t>Baby</t>
  </si>
  <si>
    <t>Ananas Baby Stk</t>
  </si>
  <si>
    <t>Ananas Baby</t>
  </si>
  <si>
    <t>Ananas Baby 1 pz</t>
  </si>
  <si>
    <t>Becher</t>
  </si>
  <si>
    <t>Ananas Becher 200g</t>
  </si>
  <si>
    <t>Gobelet</t>
  </si>
  <si>
    <t>Ananas gobelet 200g</t>
  </si>
  <si>
    <t>bicchiere</t>
  </si>
  <si>
    <t>Ananas bicchiere 200g</t>
  </si>
  <si>
    <t>gepackt</t>
  </si>
  <si>
    <t>Emballé</t>
  </si>
  <si>
    <t>confezionato</t>
  </si>
  <si>
    <t>Aprikosen</t>
  </si>
  <si>
    <t>2kg</t>
  </si>
  <si>
    <t>Aprikosen 2kg</t>
  </si>
  <si>
    <t>Abricots</t>
  </si>
  <si>
    <t>Abricots 2kg</t>
  </si>
  <si>
    <t>Albicocche</t>
  </si>
  <si>
    <t>Albicocche 2kg</t>
  </si>
  <si>
    <t>ca. 800g</t>
  </si>
  <si>
    <t>Aprikosen ca. 800g</t>
  </si>
  <si>
    <t>env. 800g</t>
  </si>
  <si>
    <t>Abricots env. 800g</t>
  </si>
  <si>
    <t>Albicocche ca. 800g</t>
  </si>
  <si>
    <t>Aprikosen Offen</t>
  </si>
  <si>
    <t>Abrivots</t>
  </si>
  <si>
    <t>En Vrac</t>
  </si>
  <si>
    <t>Abricots en vrac</t>
  </si>
  <si>
    <t>vendita sfusa</t>
  </si>
  <si>
    <t>Albicocche vend. sfusa</t>
  </si>
  <si>
    <t>Schale</t>
  </si>
  <si>
    <t>Barquette</t>
  </si>
  <si>
    <t>vaschetta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</si>
  <si>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</si>
  <si>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</si>
  <si>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</si>
  <si>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</si>
  <si>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</si>
  <si>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</si>
  <si>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</si>
  <si>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</si>
  <si>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</si>
  <si>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</si>
  <si>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</si>
  <si>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</si>
  <si>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</si>
  <si>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Banane Fyffes vend. sfusa</t>
  </si>
  <si>
    <t>Bananen</t>
  </si>
  <si>
    <t>Bananen gepackt</t>
  </si>
  <si>
    <t>Bananes</t>
  </si>
  <si>
    <t>Bananes emballé</t>
  </si>
  <si>
    <t>Banane</t>
  </si>
  <si>
    <t>Banane confezionato</t>
  </si>
  <si>
    <t>Beerenmischung</t>
  </si>
  <si>
    <t>Beerenmischung Schale 250g</t>
  </si>
  <si>
    <t>Mélange de baies</t>
  </si>
  <si>
    <t>Melange de baies 250g</t>
  </si>
  <si>
    <t>Bacche miste</t>
  </si>
  <si>
    <t>Bacche miste 250g</t>
  </si>
  <si>
    <t>Bio Bananen Offen</t>
  </si>
  <si>
    <t>Bio Bananes</t>
  </si>
  <si>
    <t>Bio Bananes en vrac</t>
  </si>
  <si>
    <t>Bio Banane</t>
  </si>
  <si>
    <t>Bio Banane vendita sfusa</t>
  </si>
  <si>
    <t>Bio Wassermelone Mini</t>
  </si>
  <si>
    <t>Bio Pastèques</t>
  </si>
  <si>
    <t>Mini</t>
  </si>
  <si>
    <t>Bio Pastèques Mini</t>
  </si>
  <si>
    <t>Bio Angurie mini</t>
  </si>
  <si>
    <t>Bio Orangen Offen</t>
  </si>
  <si>
    <t>Bio Oranges</t>
  </si>
  <si>
    <t>Bio Oranges en vrac</t>
  </si>
  <si>
    <t>Bio Arance</t>
  </si>
  <si>
    <t>Bio Arance vendita sfusa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</si>
  <si>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</si>
  <si>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</si>
  <si>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</si>
  <si>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</si>
  <si>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</si>
  <si>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</si>
  <si>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</si>
  <si>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</si>
  <si>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</si>
  <si>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</si>
  <si>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</si>
  <si>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</si>
  <si>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</si>
  <si>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</si>
  <si>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</si>
  <si>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</si>
  <si>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</si>
  <si>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</si>
  <si>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</si>
  <si>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</si>
  <si>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</si>
  <si>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</si>
  <si>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</si>
  <si>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</si>
  <si>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</si>
  <si>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</si>
  <si>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</si>
  <si>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</si>
  <si>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</si>
  <si>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</si>
  <si>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</si>
  <si>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</si>
  <si>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</si>
  <si>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</si>
  <si>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</si>
  <si>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</si>
  <si>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</si>
  <si>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</si>
  <si>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</si>
  <si>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</si>
  <si>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</si>
  <si>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</si>
  <si>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Birnen Conférence Kl. 2 gep.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</si>
  <si>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</si>
  <si>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</si>
  <si>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</si>
  <si>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</si>
  <si>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</si>
  <si>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</si>
  <si>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</si>
  <si>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</si>
  <si>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>Birnen Forellen Offen Kl. 1</t>
  </si>
  <si>
    <t>Poires Forelle cl. 1 en vrac</t>
  </si>
  <si>
    <t>Pere Forelle cl. 1 vend. Sf.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</si>
  <si>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</si>
  <si>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</si>
  <si>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</si>
  <si>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</si>
  <si>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</si>
  <si>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</si>
  <si>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</si>
  <si>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</si>
  <si>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</si>
  <si>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</si>
  <si>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</si>
  <si>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</si>
  <si>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</si>
  <si>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</si>
  <si>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</si>
  <si>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</si>
  <si>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</si>
  <si>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</si>
  <si>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</si>
  <si>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</si>
  <si>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</si>
  <si>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>Birnen Guyot Kl. 1 gepackt</t>
  </si>
  <si>
    <t>Poires Guyot cl. 1 emballé</t>
  </si>
  <si>
    <t>Pere Guyot cl. 1 confez.</t>
  </si>
  <si>
    <t>Birnen Offen</t>
  </si>
  <si>
    <t>Poires</t>
  </si>
  <si>
    <t>Poires en vrac</t>
  </si>
  <si>
    <t>Pere</t>
  </si>
  <si>
    <t>Pere vendita sfusa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</si>
  <si>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</si>
  <si>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</si>
  <si>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</si>
  <si>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</si>
  <si>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</si>
  <si>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</si>
  <si>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</si>
  <si>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</si>
  <si>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</si>
  <si>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</si>
  <si>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</si>
  <si>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</si>
  <si>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</si>
  <si>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</si>
  <si>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</si>
  <si>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</si>
  <si>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</si>
  <si>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</si>
  <si>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</si>
  <si>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</si>
  <si>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</si>
  <si>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</si>
  <si>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</si>
  <si>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</si>
  <si>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</si>
  <si>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</si>
  <si>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</si>
  <si>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</si>
  <si>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</si>
  <si>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</si>
  <si>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</si>
  <si>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</si>
  <si>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Orangen Tarocco</t>
  </si>
  <si>
    <t>Orangen Tarocco Offen</t>
  </si>
  <si>
    <t>Oranges Tarocco</t>
  </si>
  <si>
    <t>Oranges Tarocco en vrac</t>
  </si>
  <si>
    <t>Arance Tarocco</t>
  </si>
  <si>
    <t>Arance Tarocco vendita sfusa</t>
  </si>
  <si>
    <t>Äpfel Boskoop</t>
  </si>
  <si>
    <t>Pommes Boskoop</t>
  </si>
  <si>
    <t>Mele Boskoop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</si>
  <si>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</si>
  <si>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</si>
  <si>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</si>
  <si>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</si>
  <si>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</si>
  <si>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</si>
  <si>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</si>
  <si>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</si>
  <si>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</si>
  <si>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</si>
  <si>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</si>
  <si>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</si>
  <si>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Offen Kl. 2</t>
  </si>
  <si>
    <t>Äpfel Braeburn Offen Kl. 2</t>
  </si>
  <si>
    <t>En vrac, cl. 2</t>
  </si>
  <si>
    <t>Pommes Braeburn cl.2 en vrac</t>
  </si>
  <si>
    <t>Cl. 2 vendita sfusa</t>
  </si>
  <si>
    <t>Mele Braeburn cl. 2 v. sfusa</t>
  </si>
  <si>
    <t>125g</t>
  </si>
  <si>
    <t>Brombeeren Schale 125g</t>
  </si>
  <si>
    <t>Mûres barquette 125g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</si>
  <si>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</si>
  <si>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</si>
  <si>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</si>
  <si>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</si>
  <si>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</si>
  <si>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</si>
  <si>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</si>
  <si>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</si>
  <si>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</si>
  <si>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</si>
  <si>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</si>
  <si>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</si>
  <si>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</si>
  <si>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</si>
  <si>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</si>
  <si>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</si>
  <si>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Clémentines/Mandarines</t>
  </si>
  <si>
    <t>Clément/Mandarines en vrac</t>
  </si>
  <si>
    <t>Clementine/mandarini</t>
  </si>
  <si>
    <t>Clementine/mandarini v.s.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</si>
  <si>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</si>
  <si>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</si>
  <si>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</si>
  <si>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</si>
  <si>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</si>
  <si>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</si>
  <si>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</si>
  <si>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</si>
  <si>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</si>
  <si>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Bananen Denner Offen</t>
  </si>
  <si>
    <t>Bananes Denner</t>
  </si>
  <si>
    <t>en vrac</t>
  </si>
  <si>
    <t>Bananes Denner en vrac</t>
  </si>
  <si>
    <t>Banane Denner</t>
  </si>
  <si>
    <t>Banane Denner vendita sfusa</t>
  </si>
  <si>
    <t>Äpfel Elstar</t>
  </si>
  <si>
    <t>Pommes Elstar</t>
  </si>
  <si>
    <t>Mele Elstar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</si>
  <si>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</si>
  <si>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</si>
  <si>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</si>
  <si>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</si>
  <si>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</si>
  <si>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</si>
  <si>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</si>
  <si>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</si>
  <si>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</si>
  <si>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</si>
  <si>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</si>
  <si>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</si>
  <si>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</si>
  <si>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</si>
  <si>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</si>
  <si>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</si>
  <si>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</si>
  <si>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</si>
  <si>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</si>
  <si>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</si>
  <si>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</si>
  <si>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</si>
  <si>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</si>
  <si>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</si>
  <si>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</t>
  </si>
  <si>
    <t>Pommes Gala</t>
  </si>
  <si>
    <t>Mele Gala</t>
  </si>
  <si>
    <t>Äpfel Gala Kl. 1 gepackt</t>
  </si>
  <si>
    <t>Pommes Gala cl. 1 emballé</t>
  </si>
  <si>
    <t>Mele Gala cl. 1 confezionato</t>
  </si>
  <si>
    <t>Steuerklassifikation</t>
  </si>
  <si>
    <t>Altersbegrenzung</t>
  </si>
  <si>
    <t>Depot</t>
  </si>
  <si>
    <t>Ist Regioartikel</t>
  </si>
  <si>
    <t>Leergut</t>
  </si>
  <si>
    <t>Reference Data Attributes</t>
  </si>
  <si>
    <t>Artikelnummer</t>
  </si>
  <si>
    <t>Konditionsbetrag</t>
  </si>
  <si>
    <t>refxdepotartikel</t>
  </si>
  <si>
    <t>f43d1af9-c103-4073-8a92-0c7379dd1446</t>
  </si>
  <si>
    <t>1102242 - Depot CHF 0.10</t>
  </si>
  <si>
    <t>2011022420019</t>
  </si>
  <si>
    <t>PROD</t>
  </si>
  <si>
    <t>ab6d040c-8203-4e0b-b175-1994c4972eae</t>
  </si>
  <si>
    <t>1031092 - Zylinder Soda Pfand Lieferung 1Stk CHF 10.00</t>
  </si>
  <si>
    <t>1031092 - Cylindre Soda consigne 1pc CHF 10.00</t>
  </si>
  <si>
    <t>1031092 - Zylinder Soda cilindro consegna 1pz CHF 10.00</t>
  </si>
  <si>
    <t>2009990400010</t>
  </si>
  <si>
    <t>24a46c0f-a771-41e2-93ed-cb0c3fab73bd</t>
  </si>
  <si>
    <t>1031091 - Flasche Depot Fr. 0.30 1Stk</t>
  </si>
  <si>
    <t>1031091 - Bouteille Dépôt Fr. 0.30 1pce</t>
  </si>
  <si>
    <t>1031091 - Bottiglia deposito CHF 0.30 1pz</t>
  </si>
  <si>
    <t>2009990300013</t>
  </si>
  <si>
    <t>ba8fb5eb-0221-4b33-b428-d749d73cf0ba</t>
  </si>
  <si>
    <t>1102243 - Depot CHF 0.20</t>
  </si>
  <si>
    <t>2011022430018</t>
  </si>
  <si>
    <t>8456aea2-bf03-4648-8132-0b8405a0f7c3</t>
  </si>
  <si>
    <t>1102245 - Depot CHF 0.50</t>
  </si>
  <si>
    <t>2011022450016</t>
  </si>
  <si>
    <t>4ef93831-6d2b-4ecf-b453-90d4c225e3c6</t>
  </si>
  <si>
    <t>1035856 - Depot Harasse mit 20 Fl. CHF 11.00</t>
  </si>
  <si>
    <t>1035856 - Depot Caisse avec 20 btlles CHF 11.00</t>
  </si>
  <si>
    <t>1035856 - Depot Cassa 20 bottiglie CHF 11.00</t>
  </si>
  <si>
    <t>2009992010019</t>
  </si>
  <si>
    <t>72e566ce-8edb-4aef-8912-6cc8b0bcf46d</t>
  </si>
  <si>
    <t>1102318 - Depot Gasflasche Composite Vito 65.00</t>
  </si>
  <si>
    <t>1102318 - Dépot Bouteille gaz Composite Vito 65.00</t>
  </si>
  <si>
    <t>1102318 - Bombole di gas deposito Vito CHF 65.00</t>
  </si>
  <si>
    <t>2011023180011</t>
  </si>
  <si>
    <t>93a2ccf7-88ac-490f-a81f-d7ced03aadce</t>
  </si>
  <si>
    <t>1102315 - Depot Harasse CHF 5.00</t>
  </si>
  <si>
    <t>1102315 - Depot Caisse CHF 5.00</t>
  </si>
  <si>
    <t>1102315 - Depot Cassa CHF 5.00</t>
  </si>
  <si>
    <t>2011023150014</t>
  </si>
  <si>
    <t>eff3978d-7324-4585-9715-cc4ffba09c37</t>
  </si>
  <si>
    <t>1031093 - Soda Lieferkarton 1Stk CHF 0.01</t>
  </si>
  <si>
    <t>1031093 - Carton de livraison Soda 1pc CHF 0.01</t>
  </si>
  <si>
    <t>1031093 - Soda Cartone consegna 1pz CHF 0.01</t>
  </si>
  <si>
    <t>2009990410019</t>
  </si>
  <si>
    <t>bbd5d45f-1d71-4630-8c19-a80359c65efc</t>
  </si>
  <si>
    <t>1031095 - Bierharass Depot 20er Fr. 5.00 1Stk</t>
  </si>
  <si>
    <t>1031095 - Caisse de bière dépôt 20 bt Fr. 5.00 1pc</t>
  </si>
  <si>
    <t>1031095 - Cassa di birra da 20 deposi Fr. 5.00 1pz</t>
  </si>
  <si>
    <t>2009995530019</t>
  </si>
  <si>
    <t>64745269-4a5b-4e8e-a919-39b7a0288281</t>
  </si>
  <si>
    <t>1102244 - Depot CHF 0.30</t>
  </si>
  <si>
    <t>2011022440017</t>
  </si>
  <si>
    <t>6ed31eba-8d4d-4526-b0e8-e758b412f465</t>
  </si>
  <si>
    <t>1102317 - Depot Gasflasche Stahl CHF 55.00</t>
  </si>
  <si>
    <t>1102317 - Bouteille à gaz Depot Stahl CHF 55.00</t>
  </si>
  <si>
    <t>1102317 - Bombole di gas Depot Stahl CHF 55.00</t>
  </si>
  <si>
    <t>2011023170012</t>
  </si>
  <si>
    <t>d1ccf840-6486-4d29-8346-23acede6a911</t>
  </si>
  <si>
    <t>1102280 - Depot CHF 1.00</t>
  </si>
  <si>
    <t>2011022800019</t>
  </si>
  <si>
    <t>aefcdd96-edf3-4763-8537-23b468197a31</t>
  </si>
  <si>
    <t>1035857 - Soda Zylinder Gebinde Rückgabe 1Stk CHF 10.00</t>
  </si>
  <si>
    <t>1035857 - Soda Cylindre vide reprise 1 pce CHF 10.00</t>
  </si>
  <si>
    <t>1035857 - Soda Cilindri Contenitore resi 1pz CHF 10.00</t>
  </si>
  <si>
    <t>2009995950015</t>
  </si>
  <si>
    <t>24be7ac9-7201-4506-b36c-74de468cd264</t>
  </si>
  <si>
    <t>1102316 - Depot Bierfass CHF 10.00</t>
  </si>
  <si>
    <t>1102316 - Depot Tonneau de bière CHF 10.00</t>
  </si>
  <si>
    <t>1102316 - Depot Barilotto di birra CHF 10.00</t>
  </si>
  <si>
    <t>2011023160013</t>
  </si>
  <si>
    <t>39869ad3-bb9d-4f50-b44d-875afa9af2d4</t>
  </si>
  <si>
    <t>1035857 - Soda Zylinder Gebinde Rückgabe 1Stk</t>
  </si>
  <si>
    <t>1035857 - Soda Cylindre vide reprise 1 pce</t>
  </si>
  <si>
    <t>1035857 - Soda Cilindri Contenitore resi 1pz</t>
  </si>
  <si>
    <t>FS</t>
  </si>
  <si>
    <t>fbc0f523-d3b6-47ba-81d4-f929ccdf1d54</t>
  </si>
  <si>
    <t>1031092 - Zylinder Soda Pfand Lieferung 1Stk</t>
  </si>
  <si>
    <t>1031092 - Cylindre Soda consigne 1pc</t>
  </si>
  <si>
    <t>1031092 - Zylinder Soda cilindro consegna 1pz</t>
  </si>
  <si>
    <t>ersUIL5CfVHAeyX</t>
  </si>
  <si>
    <t>1601763 - Depot CHF 0.20</t>
  </si>
  <si>
    <t>2016017630015</t>
  </si>
  <si>
    <t>ersXxpx4LwIU2EF</t>
  </si>
  <si>
    <t>1601769 - Depot CHF 0.30</t>
  </si>
  <si>
    <t>2016017690019</t>
  </si>
  <si>
    <t>efc07f6e-9d05-4740-8c39-a909a84956a5</t>
  </si>
  <si>
    <t>1031095 - Caisse de bière Depot 20 Fr. 5.00 1pc</t>
  </si>
  <si>
    <t>1031095 - Cassa di birra da 20 Depot Fr. 5.00 1pz</t>
  </si>
  <si>
    <t>ersC7IxPwD39Rm9</t>
  </si>
  <si>
    <t>1601762 - Depot CHF 0.10</t>
  </si>
  <si>
    <t>2016017620016</t>
  </si>
  <si>
    <t>ersHtCMEzg4Za7y</t>
  </si>
  <si>
    <t>1601768 - Depot Gasflasche Stahl CHF 55.00</t>
  </si>
  <si>
    <t>2016017680010</t>
  </si>
  <si>
    <t>ersey6C5B7u6FDv</t>
  </si>
  <si>
    <t>1601771 - Depot Bierfass CHF 10.00</t>
  </si>
  <si>
    <t>2016017710014</t>
  </si>
  <si>
    <t>ers2vCq6ZaKBFib</t>
  </si>
  <si>
    <t>1601772 - Depot Gasflasche Composite CHF 65.00</t>
  </si>
  <si>
    <t>2016017720013</t>
  </si>
  <si>
    <t>cb0f8f2a-b148-4463-8ea6-f724fe195806</t>
  </si>
  <si>
    <t>1031091 - Bouteille Dépôt Fr. 0.30 1pc</t>
  </si>
  <si>
    <t>1031091 - Bottiglia 0.30 Deposito Fr. 1pz</t>
  </si>
  <si>
    <t>03a3b79c-98b8-4373-8dd0-6b5bc7174727</t>
  </si>
  <si>
    <t>1601722 - Harass m 20 Fl. leer 11.00</t>
  </si>
  <si>
    <t>1601722 - Caisse 20 bouteilles à Fr. 0.30 vide 1pc</t>
  </si>
  <si>
    <t>1601722 - Cassa 20 bottiglie vuoteà Fr. 0.30 1pz</t>
  </si>
  <si>
    <t>ersEaPpWqyVnslE</t>
  </si>
  <si>
    <t>1601764 - Depot CHF 1.00</t>
  </si>
  <si>
    <t>2016017640014</t>
  </si>
  <si>
    <t>ersI0PsxvvBKRNm</t>
  </si>
  <si>
    <t>1601770 - Depot CHF 0.50</t>
  </si>
  <si>
    <t>2016017700015</t>
  </si>
  <si>
    <t>ersujtzCftXj0mF</t>
  </si>
  <si>
    <t>1601765 - Depot Harasse CHF 5.00</t>
  </si>
  <si>
    <t>2016017650013</t>
  </si>
  <si>
    <t>3cacbdbc-b134-402c-adba-636c19439a49</t>
  </si>
  <si>
    <t>1035858 - Gebinderücknahme DSD</t>
  </si>
  <si>
    <t>1035858 - restitution consigne DSD</t>
  </si>
  <si>
    <t>1035858 - Restituzione contenitori, DSD</t>
  </si>
  <si>
    <t>2009995990011</t>
  </si>
  <si>
    <t>Eglifilet</t>
  </si>
  <si>
    <t>Pain bâlois</t>
  </si>
  <si>
    <t>Pane di Basilea</t>
  </si>
  <si>
    <t>Boule de Berlin</t>
  </si>
  <si>
    <t>Brioche fourée</t>
  </si>
  <si>
    <t>Bürli</t>
  </si>
  <si>
    <t>Buttergipfel</t>
  </si>
  <si>
    <t>Croissant au beurre</t>
  </si>
  <si>
    <t>Butterzopf</t>
  </si>
  <si>
    <t>Tresse</t>
  </si>
  <si>
    <t>Treccia</t>
  </si>
  <si>
    <t>Laugenbrötli</t>
  </si>
  <si>
    <t>Petits pains sils</t>
  </si>
  <si>
    <t>Panino di sils</t>
  </si>
  <si>
    <t>Laugengipfel</t>
  </si>
  <si>
    <t>Croissant sils</t>
  </si>
  <si>
    <t>Mandelgipfel</t>
  </si>
  <si>
    <t>Croissant aux amandes</t>
  </si>
  <si>
    <t>Mehrkorngipfel</t>
  </si>
  <si>
    <t>Meringhe</t>
  </si>
  <si>
    <t>Nussgipfel</t>
  </si>
  <si>
    <t>Nuss-Stange</t>
  </si>
  <si>
    <t>Pain bis</t>
  </si>
  <si>
    <t>Croissant au jambon</t>
  </si>
  <si>
    <t>Schoggibrötli</t>
  </si>
  <si>
    <t>Pain au chocolat</t>
  </si>
  <si>
    <t>Panino al cioccolato</t>
  </si>
  <si>
    <t>Schoggigipfel</t>
  </si>
  <si>
    <t>Croissant au chocolat</t>
  </si>
  <si>
    <t>Schraubenbrötli</t>
  </si>
  <si>
    <t>Semmeli</t>
  </si>
  <si>
    <t>St. Gallerbrot</t>
  </si>
  <si>
    <t>Tessinerbrot</t>
  </si>
  <si>
    <t>Pain tessinois</t>
  </si>
  <si>
    <t>Vanillebrötli</t>
  </si>
  <si>
    <t>Petit pain vanille</t>
  </si>
  <si>
    <t>Panino alla vaniglia</t>
  </si>
  <si>
    <t>Vanillegipfel</t>
  </si>
  <si>
    <t>Croissant vanille</t>
  </si>
  <si>
    <t>Vanille-Himb. Plunder</t>
  </si>
  <si>
    <t>Vanille-Stange</t>
  </si>
  <si>
    <t>Vollkorngipfel</t>
  </si>
  <si>
    <t>Weggli</t>
  </si>
  <si>
    <t>Pain au lait</t>
  </si>
  <si>
    <t>Mehl</t>
  </si>
  <si>
    <t>Farine</t>
  </si>
  <si>
    <t>Farina</t>
  </si>
  <si>
    <t>Salatsauce</t>
  </si>
  <si>
    <t>Honig</t>
  </si>
  <si>
    <t>Miele</t>
  </si>
  <si>
    <t>Confiture</t>
  </si>
  <si>
    <t>Confettura</t>
  </si>
  <si>
    <t>Karamell</t>
  </si>
  <si>
    <t>Caramel</t>
  </si>
  <si>
    <t>Caramello</t>
  </si>
  <si>
    <t>Molkereiprodukte &amp; Eier</t>
  </si>
  <si>
    <t>Oeufs picnic</t>
  </si>
  <si>
    <t>Fromage frais</t>
  </si>
  <si>
    <t>Fromagerie</t>
  </si>
  <si>
    <t>Tomme</t>
  </si>
  <si>
    <t>Butter</t>
  </si>
  <si>
    <t>Burro</t>
  </si>
  <si>
    <t>Kräuterbutter</t>
  </si>
  <si>
    <t>Boucherie</t>
  </si>
  <si>
    <t>Banco carni</t>
  </si>
  <si>
    <t>Bauernschüblig</t>
  </si>
  <si>
    <t>Schüblig</t>
  </si>
  <si>
    <t>Cervelat</t>
  </si>
  <si>
    <t>Cervelas</t>
  </si>
  <si>
    <t>Hauswurst</t>
  </si>
  <si>
    <t>Saucisse</t>
  </si>
  <si>
    <t>Salsiccia</t>
  </si>
  <si>
    <t>Landjäger dunkel</t>
  </si>
  <si>
    <t>Landjäger hell</t>
  </si>
  <si>
    <t>Rauchwurst</t>
  </si>
  <si>
    <t>Salsiccia affumicata</t>
  </si>
  <si>
    <t>Café</t>
  </si>
  <si>
    <t>Caffè</t>
  </si>
  <si>
    <t>Sirop</t>
  </si>
  <si>
    <t>Thé</t>
  </si>
  <si>
    <t>Tè</t>
  </si>
  <si>
    <t>Cartes</t>
  </si>
  <si>
    <t>Gebührensäcke</t>
  </si>
  <si>
    <t>Buono regalo</t>
  </si>
  <si>
    <t>Birnen Forellen</t>
  </si>
  <si>
    <t>Poires Forelle</t>
  </si>
  <si>
    <t>Pere Forelle</t>
  </si>
  <si>
    <t>Pere Trévoux cl. 1 confez.</t>
  </si>
  <si>
    <t>Brombeeren</t>
  </si>
  <si>
    <t>Mûres</t>
  </si>
  <si>
    <t>More</t>
  </si>
  <si>
    <t>Clementiene/Mandarine</t>
  </si>
  <si>
    <t>Clementeinen/Mandarinen Off.</t>
  </si>
  <si>
    <t>Source</t>
  </si>
  <si>
    <t>Imp. Regio Lf-Nr 1 – 1003</t>
  </si>
  <si>
    <t>Imp. Regio Lf-Nr 2 – 1004</t>
  </si>
  <si>
    <t>Imp. Regio Lf-Nr 3 – 1005</t>
  </si>
  <si>
    <t>Imp. Regio Lf-Nr 4 – 1006</t>
  </si>
  <si>
    <t>Imp. Regio Lf-Nr 5 – 1007</t>
  </si>
  <si>
    <t>Imp. Regio Lf-Nr 6 – 1008</t>
  </si>
  <si>
    <t>Imp. Regio Lf-Nr 7 – 1009</t>
  </si>
  <si>
    <t>Imp. Regio Lf-Nr 8 – 1010</t>
  </si>
  <si>
    <t>Imp. Regio Lf-Nr 9 – 1011</t>
  </si>
  <si>
    <t>Imp. Regio Lf-Nr 10 – 1012</t>
  </si>
  <si>
    <t>Imp. Regio Lf-Nr 11 – 1013</t>
  </si>
  <si>
    <t>Imp. Regio Lf-Nr 12 – 1014</t>
  </si>
  <si>
    <t>Imp. Regio Lf-Nr 13 – 1015</t>
  </si>
  <si>
    <t>Imp. Regio Lf-Nr 14 – 1016</t>
  </si>
  <si>
    <t>Imp. Regio Lf-Nr 15 – 1017</t>
  </si>
  <si>
    <t>Imp. Regio Lf-Nr 16 – 1018</t>
  </si>
  <si>
    <t>Imp. Regio Lf-Nr 17 – 1019</t>
  </si>
  <si>
    <t>Imp. Regio Lf-Nr 18 – 1020</t>
  </si>
  <si>
    <t>Imp. Regio Lf-Nr 19 – 1021</t>
  </si>
  <si>
    <t>Imp. Regio Lf-Nr 20 – 1022</t>
  </si>
  <si>
    <t>Imp. Regio Lf-Nr 21 – 1023</t>
  </si>
  <si>
    <t>Imp. Regio Lf-Nr 22 – 1024</t>
  </si>
  <si>
    <t>Imp. Regio Lf-Nr 23 – 1025</t>
  </si>
  <si>
    <t>Imp. Regio Lf-Nr 24 – 1026</t>
  </si>
  <si>
    <t>Imp. Regio Lf-Nr 25 – 1027</t>
  </si>
  <si>
    <t>Imp. Regio Lf-Nr 26 – 1028</t>
  </si>
  <si>
    <t>Imp. Regio Lf-Nr 27 – 1029</t>
  </si>
  <si>
    <t>Imp. Regio Lf-Nr 28 – 1030</t>
  </si>
  <si>
    <t>Imp. Regio Lf-Nr 29 – 1031</t>
  </si>
  <si>
    <t>Imp. Regio Lf-Nr 30 – 1032</t>
  </si>
  <si>
    <t>Imp. Regio Lf-Nr 31 – 1033</t>
  </si>
  <si>
    <t>Imp. Regio Lf-Nr 33 – 1034</t>
  </si>
  <si>
    <t>Imp. Regio Lf-Nr 34 – 1035</t>
  </si>
  <si>
    <t>Imp. Regio Lf-Nr 35 – 1036</t>
  </si>
  <si>
    <t>Imp. Regio Lf-Nr 36 – 1037</t>
  </si>
  <si>
    <t>Imp. Regio Lf-Nr 37 – 1038</t>
  </si>
  <si>
    <t>Imp. Regio Lf-Nr 38 – 1039</t>
  </si>
  <si>
    <t>Imp. Regio Lf-Nr 39 – 1040</t>
  </si>
  <si>
    <t>Imp. Regio Lf-Nr 40 – 1041</t>
  </si>
  <si>
    <t>Imp. Regio Lf-Nr 41 – 1042</t>
  </si>
  <si>
    <t>Imp. Regio Lf-Nr 43 – 1043</t>
  </si>
  <si>
    <t>Imp. Regio Lf-Nr 44 – 1044</t>
  </si>
  <si>
    <t>Imp. Regio Lf-Nr 45 – 1045</t>
  </si>
  <si>
    <t>Imp. Regio Lf-Nr 46 – 1046</t>
  </si>
  <si>
    <t>Imp. Regio Lf-Nr 47 – 1047</t>
  </si>
  <si>
    <t>Imp. Regio Lf-Nr 48 – 1048</t>
  </si>
  <si>
    <t>Imp. Regio Lf-Nr 49 – 1049</t>
  </si>
  <si>
    <t>Imp. Regio Lf-Nr 50 – 1050</t>
  </si>
  <si>
    <t>Imp. Regio Lf-Nr 51 – 1051</t>
  </si>
  <si>
    <t>Imp. Regio Lf-Nr 52 – 1052</t>
  </si>
  <si>
    <t>Imp. Regio Lf-Nr 53 – 1053</t>
  </si>
  <si>
    <t>Imp. Regio Lf-Nr 54 – 1054</t>
  </si>
  <si>
    <t>Imp. Regio Lf-Nr 55 – 1055</t>
  </si>
  <si>
    <t>Imp. Regio Lf-Nr 56 – 1056</t>
  </si>
  <si>
    <t>Imp. Regio Lf-Nr 56 – 1057</t>
  </si>
  <si>
    <t>Imp. Regio Lf-Nr 57 – 1058</t>
  </si>
  <si>
    <t>Imp. Regio Lf-Nr 58 – 1059</t>
  </si>
  <si>
    <t>Imp. Regio Lf-Nr 59 – 1060</t>
  </si>
  <si>
    <t>Imp. Regio Lf-Nr 60 – 1061</t>
  </si>
  <si>
    <t>Imp. Regio Lf-Nr 61 – 1062</t>
  </si>
  <si>
    <t>Imp. Regio Lf-Nr 61 – 1063</t>
  </si>
  <si>
    <t>Imp. Regio Lf-Nr 61 – 1064</t>
  </si>
  <si>
    <t>Imp. Regio Lf-Nr 61 – 1065</t>
  </si>
  <si>
    <t>Imp. Regio Lf-Nr 62 – 1066</t>
  </si>
  <si>
    <t>Imp. Regio Lf-Nr 62 – 1067</t>
  </si>
  <si>
    <t>Imp. Regio Lf-Nr 63 – 1068</t>
  </si>
  <si>
    <t>Imp. Regio Lf-Nr 64 – 1069</t>
  </si>
  <si>
    <t>Imp. Regio Lf-Nr 64 – 1070</t>
  </si>
  <si>
    <t>Imp. Regio Lf-Nr 65 – 1071</t>
  </si>
  <si>
    <t>Imp. Regio Lf-Nr 66 – 1072</t>
  </si>
  <si>
    <t>Imp. Regio Lf-Nr 67 – 1073</t>
  </si>
  <si>
    <t>Imp. Regio Lf-Nr 68 – 1074</t>
  </si>
  <si>
    <t>Imp. Regio Lf-Nr 69 – 1075</t>
  </si>
  <si>
    <t>Imp. Regio Lf-Nr 70 – 1076</t>
  </si>
  <si>
    <t>Imp. Regio Lf-Nr 71 – 1077</t>
  </si>
  <si>
    <t>Imp. Regio Lf-Nr 72 – 1078</t>
  </si>
  <si>
    <t>Imp. Regio Lf-Nr 73 – 1079</t>
  </si>
  <si>
    <t>Imp. Regio Lf-Nr 74 – 1080</t>
  </si>
  <si>
    <t>Imp. Regio Lf-Nr 75 – 1081</t>
  </si>
  <si>
    <t>Imp. Regio Lf-Nr 76 – 1082</t>
  </si>
  <si>
    <t>Imp. Regio Lf-Nr 77 – 1083</t>
  </si>
  <si>
    <t>Imp. Regio Lf-Nr 78 – 1084</t>
  </si>
  <si>
    <t>Imp. Regio Lf-Nr 79 – 1085</t>
  </si>
  <si>
    <t>Imp. Regio Lf-Nr 80 – 1086</t>
  </si>
  <si>
    <t>Imp. Regio Lf-Nr 81 – 1087</t>
  </si>
  <si>
    <t>Imp. Regio Lf-Nr 82 – 1088</t>
  </si>
  <si>
    <t>Imp. Regio Lf-Nr 83 – 1089</t>
  </si>
  <si>
    <t>Imp. Regio Lf-Nr 84 – 1090</t>
  </si>
  <si>
    <t>Imp. Regio Lf-Nr 85 – 1091</t>
  </si>
  <si>
    <t>Imp. Regio Lf-Nr 85 – 1092</t>
  </si>
  <si>
    <t>Imp. Regio Lf-Nr 85 – 1093</t>
  </si>
  <si>
    <t>Imp. Regio Lf-Nr 85 – 1094</t>
  </si>
  <si>
    <t>Imp. Regio Lf-Nr 85 – 1095</t>
  </si>
  <si>
    <t>Imp. Regio Lf-Nr 86 – 1096</t>
  </si>
  <si>
    <t>Imp. Regio Lf-Nr 86 – 1097</t>
  </si>
  <si>
    <t>Imp. Regio Lf-Nr 87 – 1098</t>
  </si>
  <si>
    <t>Imp. Regio Lf-Nr 88 – 1099</t>
  </si>
  <si>
    <t>Imp. Regio Lf-Nr 89 – 1100</t>
  </si>
  <si>
    <t>Imp. Regio Lf-Nr 89 – 1101</t>
  </si>
  <si>
    <t>Imp. Regio Lf-Nr 89 – 1102</t>
  </si>
  <si>
    <t>Imp. Regio Lf-Nr 90 – 1103</t>
  </si>
  <si>
    <t>Imp. Regio Lf-Nr 91 – 1104</t>
  </si>
  <si>
    <t>Imp. Regio Lf-Nr 92 – 1105</t>
  </si>
  <si>
    <t>Imp. Regio Lf-Nr 93 – 1106</t>
  </si>
  <si>
    <t>Imp. Regio Lf-Nr 94 – 1107</t>
  </si>
  <si>
    <t>Imp. Regio Lf-Nr 95 – 1108</t>
  </si>
  <si>
    <t>Imp. Regio Lf-Nr 96 – 1109</t>
  </si>
  <si>
    <t>Imp. Regio Lf-Nr 97 – 1110</t>
  </si>
  <si>
    <t>Imp. Regio Lf-Nr 98 – 1111</t>
  </si>
  <si>
    <t>Imp. Regio Lf-Nr 99 – 1112</t>
  </si>
  <si>
    <t>Imp. Regio Lf-Nr 100 – 1113</t>
  </si>
  <si>
    <t>Imp. Regio Lf-Nr 100 – 1114</t>
  </si>
  <si>
    <t>Imp. Regio Lf-Nr 100 – 1115</t>
  </si>
  <si>
    <t>Imp. Regio Lf-Nr 101 – 1116</t>
  </si>
  <si>
    <t>Imp. Regio Lf-Nr 102 – 1117</t>
  </si>
  <si>
    <t>Imp. Regio Lf-Nr 103 – 1118</t>
  </si>
  <si>
    <t>Imp. Regio Lf-Nr 104 – 1119</t>
  </si>
  <si>
    <t>Imp. Regio Lf-Nr 105 – 1120</t>
  </si>
  <si>
    <t>Imp. Regio Lf-Nr 105 – 1121</t>
  </si>
  <si>
    <t>Imp. Regio Lf-Nr 105 – 1122</t>
  </si>
  <si>
    <t>Imp. Regio Lf-Nr 105 – 1123</t>
  </si>
  <si>
    <t>Imp. Regio Lf-Nr 105 – 1124</t>
  </si>
  <si>
    <t>Imp. Regio Lf-Nr 105 – 1125</t>
  </si>
  <si>
    <t>Imp. Regio Lf-Nr 105 – 1126</t>
  </si>
  <si>
    <t>Imp. Regio Lf-Nr 105 – 1127</t>
  </si>
  <si>
    <t>Imp. Regio Lf-Nr 105 – 1128</t>
  </si>
  <si>
    <t>Imp. Regio Lf-Nr 106 – 1129</t>
  </si>
  <si>
    <t>Imp. Regio Lf-Nr 107 – 1130</t>
  </si>
  <si>
    <t>Imp. Regio Lf-Nr 107 – 1131</t>
  </si>
  <si>
    <t>Imp. Regio Lf-Nr 108 – 1132</t>
  </si>
  <si>
    <t>Imp. Regio Lf-Nr 108 – 1133</t>
  </si>
  <si>
    <t>Imp. Regio Lf-Nr 108 – 1134</t>
  </si>
  <si>
    <t>Imp. Regio Lf-Nr 108 – 1135</t>
  </si>
  <si>
    <t>Imp. Regio Lf-Nr 108 – 1136</t>
  </si>
  <si>
    <t>Imp. Regio Lf-Nr 109 – 1137</t>
  </si>
  <si>
    <t>Imp. Regio Lf-Nr 109 – 1138</t>
  </si>
  <si>
    <t>Imp. Regio Lf-Nr 109 – 1139</t>
  </si>
  <si>
    <t>Imp. Regio Lf-Nr 109 – 1140</t>
  </si>
  <si>
    <t>Imp. Regio Lf-Nr 109 – 1141</t>
  </si>
  <si>
    <t>Imp. Regio Lf-Nr 109 – 1142</t>
  </si>
  <si>
    <t>Imp. Regio Lf-Nr 109 – 1143</t>
  </si>
  <si>
    <t>Imp. Regio Lf-Nr 111 – 1144</t>
  </si>
  <si>
    <t>Imp. Regio Lf-Nr 112 – 1145</t>
  </si>
  <si>
    <t>Imp. Regio Lf-Nr 113 – 1146</t>
  </si>
  <si>
    <t>Imp. Regio Lf-Nr 114 – 1147</t>
  </si>
  <si>
    <t>Imp. Regio Lf-Nr 115 – 1148</t>
  </si>
  <si>
    <t>Imp. Regio Lf-Nr 116 – 1149</t>
  </si>
  <si>
    <t>Imp. Regio Lf-Nr 117 – 1150</t>
  </si>
  <si>
    <t>Imp. Regio Lf-Nr 118 – 1151</t>
  </si>
  <si>
    <t>Imp. Regio Lf-Nr 119 – 1152</t>
  </si>
  <si>
    <t>Imp. Regio Lf-Nr 120 – 1153</t>
  </si>
  <si>
    <t>Imp. Regio Lf-Nr 121 – 1154</t>
  </si>
  <si>
    <t>Imp. Regio Lf-Nr 121 – 1155</t>
  </si>
  <si>
    <t>Imp. Regio Lf-Nr 121 – 1156</t>
  </si>
  <si>
    <t>Imp. Regio Lf-Nr 121 – 1157</t>
  </si>
  <si>
    <t>Imp. Regio Lf-Nr 121 – 1158</t>
  </si>
  <si>
    <t>Imp. Regio Lf-Nr 121 – 1159</t>
  </si>
  <si>
    <t>Imp. Regio Lf-Nr 121 – 1160</t>
  </si>
  <si>
    <t>Imp. Regio Lf-Nr 121 – 1161</t>
  </si>
  <si>
    <t>Imp. Regio Lf-Nr 122 – 1162</t>
  </si>
  <si>
    <t>Imp. Regio Lf-Nr 122 – 1163</t>
  </si>
  <si>
    <t>Imp. Regio Lf-Nr 122 – 1164</t>
  </si>
  <si>
    <t>Imp. Regio Lf-Nr 122 – 1165</t>
  </si>
  <si>
    <t>Imp. Regio Lf-Nr 123 – 1166</t>
  </si>
  <si>
    <t>Imp. Regio Lf-Nr 124 – 1167</t>
  </si>
  <si>
    <t>Imp. Regio Lf-Nr 125 – 1168</t>
  </si>
  <si>
    <t>Imp. Regio Lf-Nr 126 – 1169</t>
  </si>
  <si>
    <t>Imp. Regio Lf-Nr 127 – 1170</t>
  </si>
  <si>
    <t>Imp. Regio Lf-Nr 128 – 1171</t>
  </si>
  <si>
    <t>Imp. Regio Lf-Nr 129 – 1172</t>
  </si>
  <si>
    <t>Imp. Regio Lf-Nr 130 – 1173</t>
  </si>
  <si>
    <t>Imp. Regio Lf-Nr 131 – 1174</t>
  </si>
  <si>
    <t>Imp. Regio Lf-Nr 132 – 1175</t>
  </si>
  <si>
    <t>Imp. Regio Lf-Nr 133 – 1176</t>
  </si>
  <si>
    <t>Imp. Regio Lf-Nr 134 – 1177</t>
  </si>
  <si>
    <t>Imp. Regio Lf-Nr 135 – 1178</t>
  </si>
  <si>
    <t>Imp. Regio Lf-Nr 136 – 1179</t>
  </si>
  <si>
    <t>Imp. Regio Lf-Nr 137 – 1180</t>
  </si>
  <si>
    <t>Imp. Regio Lf-Nr 138 – 1181</t>
  </si>
  <si>
    <t>Imp. Regio Lf-Nr 139 – 1182</t>
  </si>
  <si>
    <t>Imp. Regio Lf-Nr 140 – 1183</t>
  </si>
  <si>
    <t>Imp. Regio Lf-Nr 141 – 1184</t>
  </si>
  <si>
    <t>Imp. Regio Lf-Nr 142 – 1185</t>
  </si>
  <si>
    <t>Imp. Regio Lf-Nr 143 – 1186</t>
  </si>
  <si>
    <t>Imp. Regio Lf-Nr 144 – 1187</t>
  </si>
  <si>
    <t>Imp. Regio Lf-Nr 145 – 1188</t>
  </si>
  <si>
    <t>Imp. Regio Lf-Nr 146 – 1189</t>
  </si>
  <si>
    <t>Imp. Regio Lf-Nr 147 – 1190</t>
  </si>
  <si>
    <t>Imp. Regio Lf-Nr 147 – 1191</t>
  </si>
  <si>
    <t>Imp. Regio Lf-Nr 147 – 1192</t>
  </si>
  <si>
    <t>Imp. Regio Lf-Nr 148 – 1193</t>
  </si>
  <si>
    <t>Imp. Regio Lf-Nr 148 – 1194</t>
  </si>
  <si>
    <t>Imp. Regio Lf-Nr 148 – 1195</t>
  </si>
  <si>
    <t>Imp. Regio Lf-Nr 148 – 1196</t>
  </si>
  <si>
    <t>Imp. Regio Lf-Nr 200 – 1197</t>
  </si>
  <si>
    <t>Imp. Regio Lf-Nr 201 – 1198</t>
  </si>
  <si>
    <t>Imp. Regio Lf-Nr 202 – 1199</t>
  </si>
  <si>
    <t>Imp. Regio Lf-Nr 204 – 1200</t>
  </si>
  <si>
    <t>Imp. Regio Lf-Nr 206 – 1201</t>
  </si>
  <si>
    <t>Imp. Regio Lf-Nr 207 – 1202</t>
  </si>
  <si>
    <t>Imp. Regio Lf-Nr 209 – 1203</t>
  </si>
  <si>
    <t>Imp. Regio Lf-Nr 210 – 1204</t>
  </si>
  <si>
    <t>Imp. Regio Lf-Nr 211 – 1205</t>
  </si>
  <si>
    <t>Imp. Regio Lf-Nr 212 – 1206</t>
  </si>
  <si>
    <t>Imp. Regio Lf-Nr 213 – 1207</t>
  </si>
  <si>
    <t>Imp. Regio Lf-Nr 214 – 1208</t>
  </si>
  <si>
    <t>Imp. Regio Lf-Nr 215 – 1209</t>
  </si>
  <si>
    <t>Imp. Regio Lf-Nr 217 – 1210</t>
  </si>
  <si>
    <t>Imp. Regio Lf-Nr 218 – 1211</t>
  </si>
  <si>
    <t>Imp. Regio Lf-Nr 219 – 1212</t>
  </si>
  <si>
    <t>Imp. Regio Lf-Nr 220 – 1213</t>
  </si>
  <si>
    <t>Imp. Regio Lf-Nr 221 – 1214</t>
  </si>
  <si>
    <t>Imp. Regio Lf-Nr 222 – 1215</t>
  </si>
  <si>
    <t>Imp. Regio Lf-Nr 223 – 1216</t>
  </si>
  <si>
    <t>Imp. Regio Lf-Nr 224 – 1217</t>
  </si>
  <si>
    <t>Imp. Regio Lf-Nr 225 – 1218</t>
  </si>
  <si>
    <t>Imp. Regio Lf-Nr 226 – 1219</t>
  </si>
  <si>
    <t>Imp. Regio Lf-Nr 228 – 1220</t>
  </si>
  <si>
    <t>Imp. Regio Lf-Nr 230 – 1221</t>
  </si>
  <si>
    <t>Imp. Regio Lf-Nr 231 – 1222</t>
  </si>
  <si>
    <t>Imp. Regio Lf-Nr 232 – 1223</t>
  </si>
  <si>
    <t>Imp. Regio Lf-Nr 233 – 1224</t>
  </si>
  <si>
    <t>Imp. Regio Lf-Nr 234 – 1225</t>
  </si>
  <si>
    <t>Imp. Regio Lf-Nr 235 – 1226</t>
  </si>
  <si>
    <t>Imp. Regio Lf-Nr 236 – 1227</t>
  </si>
  <si>
    <t>Imp. Regio Lf-Nr 237 – 1228</t>
  </si>
  <si>
    <t>Imp. Regio Lf-Nr 238 – 1229</t>
  </si>
  <si>
    <t>Imp. Regio Lf-Nr 239 – 1230</t>
  </si>
  <si>
    <t>Imp. Regio Lf-Nr 240 – 1231</t>
  </si>
  <si>
    <t>Imp. Regio Lf-Nr 243 – 1232</t>
  </si>
  <si>
    <t>Imp. Regio Lf-Nr 245 – 1233</t>
  </si>
  <si>
    <t>Imp. Regio Lf-Nr 246 – 1234</t>
  </si>
  <si>
    <t>Imp. Regio Lf-Nr 247 – 1235</t>
  </si>
  <si>
    <t>Imp. Regio Lf-Nr 248 – 1236</t>
  </si>
  <si>
    <t>Imp. Regio Lf-Nr 249 – 1237</t>
  </si>
  <si>
    <t>Imp. Regio Lf-Nr 250 – 1238</t>
  </si>
  <si>
    <t>Imp. Regio Lf-Nr 252 – 1239</t>
  </si>
  <si>
    <t>Imp. Regio Lf-Nr 253 – 1240</t>
  </si>
  <si>
    <t>Imp. Regio Lf-Nr 255 – 1241</t>
  </si>
  <si>
    <t>Imp. Regio Lf-Nr 256 – 1242</t>
  </si>
  <si>
    <t>Imp. Regio Lf-Nr 257 – 1243</t>
  </si>
  <si>
    <t>Imp. Regio Lf-Nr 258 – 1244</t>
  </si>
  <si>
    <t>Imp. Regio Lf-Nr 260 – 1245</t>
  </si>
  <si>
    <t>Imp. Regio Lf-Nr 261 – 1246</t>
  </si>
  <si>
    <t>Imp. Regio Lf-Nr 262 – 1247</t>
  </si>
  <si>
    <t>Imp. Regio Lf-Nr 263 – 1248</t>
  </si>
  <si>
    <t>Imp. Regio Lf-Nr 265 – 1249</t>
  </si>
  <si>
    <t>Ist Vordefiniert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</si>
</sst>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.00"/>
    <numFmt numFmtId="165" formatCode="0.000"/>
    <numFmt numFmtId="166" formatCode="0;\-0;&quot;&quot;"/>
  </numFmts>
  <fonts count="3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FFFF"/>
      <name val="Calibri"/>
      <family val="2"/>
    </font>
    <font>
      <sz val="14"/>
      <color theme="0"/>
      <name val="Calibri"/>
      <family val="2"/>
    </font>
    <font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indexed="60"/>
      <name val="Calibri"/>
      <family val="2"/>
    </font>
    <font>
      <sz val="9"/>
      <color indexed="81"/>
      <name val="Tahoma"/>
      <family val="2"/>
    </font>
    <font>
      <sz val="11"/>
      <color rgb="FFFFFFFF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1"/>
      <color rgb="FFFFFFFF"/>
      <name val="Calibri"/>
    </font>
    <font>
      <b/>
      <sz val="12"/>
      <color indexed="8"/>
      <name val="Calibri"/>
    </font>
    <font>
      <sz val="11"/>
      <color rgb="FFFF0000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b/>
      <sz val="12"/>
      <color indexed="8"/>
      <name val="Calibri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b/>
      <sz val="12"/>
      <color indexed="8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0913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A7DDC"/>
      </patternFill>
    </fill>
    <fill>
      <patternFill patternType="gray0625">
        <fgColor theme="0"/>
        <bgColor rgb="FF3A7DDC"/>
      </patternFill>
    </fill>
    <fill>
      <patternFill patternType="solid">
        <fgColor rgb="FFA8C6F0"/>
      </patternFill>
    </fill>
    <fill>
      <patternFill patternType="gray0625">
        <fgColor theme="2"/>
        <bgColor rgb="FFA8C6F0"/>
      </patternFill>
    </fill>
    <fill>
      <patternFill patternType="solid">
        <fgColor rgb="FF504389"/>
      </patternFill>
    </fill>
    <fill>
      <patternFill patternType="gray0625">
        <fgColor rgb="FFB3B3B3"/>
        <bgColor rgb="FF504389"/>
      </patternFill>
    </fill>
    <fill>
      <patternFill patternType="solid">
        <fgColor rgb="FF8376BC"/>
      </patternFill>
    </fill>
    <fill>
      <patternFill patternType="gray0625">
        <fgColor rgb="FFB3B3B3"/>
        <bgColor rgb="FF8376BC"/>
      </patternFill>
    </fill>
    <fill>
      <patternFill patternType="solid">
        <fgColor rgb="FFF45B23"/>
        <bgColor rgb="FF000000"/>
      </patternFill>
    </fill>
    <fill>
      <patternFill patternType="gray0625">
        <fgColor rgb="FF404040"/>
        <bgColor rgb="FFE06536"/>
      </patternFill>
    </fill>
    <fill>
      <patternFill patternType="solid">
        <fgColor rgb="FFEEAB91"/>
      </patternFill>
    </fill>
    <fill>
      <patternFill patternType="gray0625">
        <fgColor rgb="FF404040"/>
        <bgColor rgb="FFEEAB91"/>
      </patternFill>
    </fill>
    <fill>
      <patternFill patternType="gray0625">
        <fgColor rgb="FF404040"/>
        <bgColor rgb="FF448D41"/>
      </patternFill>
    </fill>
    <fill>
      <patternFill patternType="solid">
        <fgColor rgb="FF98CF96"/>
      </patternFill>
    </fill>
    <fill>
      <patternFill patternType="gray0625">
        <fgColor rgb="FF404040"/>
        <bgColor rgb="FF98CF96"/>
      </patternFill>
    </fill>
    <fill>
      <patternFill patternType="solid">
        <fgColor rgb="FFD5374B"/>
      </patternFill>
    </fill>
    <fill>
      <patternFill patternType="gray0625">
        <fgColor rgb="FF404040"/>
        <bgColor rgb="FFD5374B"/>
      </patternFill>
    </fill>
    <fill>
      <patternFill patternType="solid">
        <fgColor rgb="FFEDABB4"/>
      </patternFill>
    </fill>
    <fill>
      <patternFill patternType="gray0625">
        <fgColor rgb="FF404040"/>
        <bgColor rgb="FFEDABB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31" fillId="0" borderId="4"/>
  </cellStyleXfs>
  <cellXfs count="98">
    <xf numFmtId="0" fontId="0" fillId="0" borderId="0" xfId="0"/>
    <xf numFmtId="0" fontId="2" fillId="0" borderId="1" xfId="1" applyFont="1" applyBorder="1"/>
    <xf numFmtId="0" fontId="1" fillId="0" borderId="1" xfId="1" applyBorder="1"/>
    <xf numFmtId="0" fontId="1" fillId="0" borderId="0" xfId="1"/>
    <xf numFmtId="0" fontId="3" fillId="0" borderId="0" xfId="2"/>
    <xf numFmtId="0" fontId="2" fillId="0" borderId="2" xfId="1" applyFont="1" applyBorder="1"/>
    <xf numFmtId="0" fontId="5" fillId="3" borderId="3" xfId="1" applyFont="1" applyFill="1" applyBorder="1" applyAlignment="1">
      <alignment vertical="center"/>
    </xf>
    <xf numFmtId="0" fontId="6" fillId="4" borderId="0" xfId="0" applyFont="1" applyFill="1"/>
    <xf numFmtId="0" fontId="7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6" fillId="8" borderId="0" xfId="0" applyFont="1" applyFill="1"/>
    <xf numFmtId="0" fontId="6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4" fillId="12" borderId="3" xfId="0" applyFont="1" applyFill="1" applyBorder="1" applyAlignment="1">
      <alignment horizontal="left" vertical="center"/>
    </xf>
    <xf numFmtId="0" fontId="6" fillId="13" borderId="0" xfId="0" applyFont="1" applyFill="1"/>
    <xf numFmtId="0" fontId="8" fillId="14" borderId="0" xfId="0" applyFont="1" applyFill="1"/>
    <xf numFmtId="0" fontId="8" fillId="15" borderId="0" xfId="0" applyFont="1" applyFill="1"/>
    <xf numFmtId="0" fontId="4" fillId="2" borderId="1" xfId="0" applyFont="1" applyFill="1" applyBorder="1" applyAlignment="1">
      <alignment horizontal="left" vertical="center"/>
    </xf>
    <xf numFmtId="0" fontId="6" fillId="16" borderId="0" xfId="0" applyFont="1" applyFill="1"/>
    <xf numFmtId="0" fontId="8" fillId="17" borderId="0" xfId="0" applyFont="1" applyFill="1"/>
    <xf numFmtId="0" fontId="8" fillId="18" borderId="0" xfId="0" applyFont="1" applyFill="1"/>
    <xf numFmtId="0" fontId="6" fillId="19" borderId="0" xfId="0" applyFont="1" applyFill="1"/>
    <xf numFmtId="0" fontId="6" fillId="20" borderId="0" xfId="0" applyFont="1" applyFill="1"/>
    <xf numFmtId="0" fontId="8" fillId="21" borderId="0" xfId="0" applyFont="1" applyFill="1"/>
    <xf numFmtId="0" fontId="8" fillId="22" borderId="0" xfId="0" applyFont="1" applyFill="1"/>
    <xf numFmtId="0" fontId="9" fillId="23" borderId="0" xfId="0" applyFont="1" applyFill="1"/>
    <xf numFmtId="0" fontId="10" fillId="24" borderId="0" xfId="0" applyFont="1" applyFill="1"/>
    <xf numFmtId="0" fontId="12" fillId="4" borderId="0" xfId="0" applyFont="1" applyFill="1"/>
    <xf numFmtId="49" fontId="0" fillId="0" borderId="0" xfId="0" applyNumberFormat="1"/>
    <xf numFmtId="1" fontId="0" fillId="0" borderId="0" xfId="0" applyNumberFormat="1"/>
    <xf numFmtId="0" fontId="26" fillId="25" borderId="0" xfId="0" applyFont="1" applyFill="1"/>
    <xf numFmtId="0" fontId="27" fillId="25" borderId="0" xfId="0" applyFont="1" applyFill="1"/>
    <xf numFmtId="0" fontId="28" fillId="25" borderId="0" xfId="0" applyFont="1" applyFill="1"/>
    <xf numFmtId="0" fontId="29" fillId="25" borderId="0" xfId="0" applyFont="1" applyFill="1"/>
    <xf numFmtId="0" fontId="30" fillId="25" borderId="0" xfId="0" applyFont="1" applyFill="1"/>
    <xf numFmtId="2" fontId="0" fillId="0" borderId="0" xfId="0" applyNumberFormat="1"/>
    <xf numFmtId="165" fontId="0" fillId="0" borderId="0" xfId="0" applyNumberFormat="1"/>
    <xf numFmtId="0" fontId="33" fillId="0" borderId="5" xfId="0" applyFont="1" applyBorder="1" applyAlignment="1">
      <alignment vertical="top"/>
    </xf>
    <xf numFmtId="0" fontId="33" fillId="29" borderId="5" xfId="0" applyFont="1" applyFill="1" applyBorder="1" applyAlignment="1">
      <alignment horizontal="left" vertical="top" wrapText="1"/>
    </xf>
    <xf numFmtId="0" fontId="33" fillId="29" borderId="5" xfId="0" applyFont="1" applyFill="1" applyBorder="1" applyAlignment="1">
      <alignment horizontal="left" vertical="top"/>
    </xf>
    <xf numFmtId="165" fontId="33" fillId="29" borderId="5" xfId="0" applyNumberFormat="1" applyFont="1" applyFill="1" applyBorder="1" applyAlignment="1">
      <alignment horizontal="left" vertical="top" wrapText="1"/>
    </xf>
    <xf numFmtId="0" fontId="0" fillId="0" borderId="5" xfId="0" applyBorder="1"/>
    <xf numFmtId="0" fontId="0" fillId="28" borderId="5" xfId="0" applyFill="1" applyBorder="1" applyAlignment="1">
      <alignment horizontal="left"/>
    </xf>
    <xf numFmtId="1" fontId="0" fillId="28" borderId="5" xfId="0" applyNumberFormat="1" applyFill="1" applyBorder="1" applyAlignment="1">
      <alignment horizontal="left"/>
    </xf>
    <xf numFmtId="165" fontId="0" fillId="28" borderId="5" xfId="0" applyNumberFormat="1" applyFill="1" applyBorder="1" applyAlignment="1">
      <alignment horizontal="left"/>
    </xf>
    <xf numFmtId="0" fontId="0" fillId="28" borderId="5" xfId="0" quotePrefix="1" applyFill="1" applyBorder="1" applyAlignment="1">
      <alignment horizontal="left"/>
    </xf>
    <xf numFmtId="165" fontId="0" fillId="0" borderId="5" xfId="0" applyNumberFormat="1" applyBorder="1" applyAlignment="1">
      <alignment horizontal="left"/>
    </xf>
    <xf numFmtId="165" fontId="0" fillId="27" borderId="5" xfId="0" applyNumberFormat="1" applyFill="1" applyBorder="1" applyAlignment="1">
      <alignment horizontal="left"/>
    </xf>
    <xf numFmtId="2" fontId="0" fillId="28" borderId="5" xfId="0" applyNumberFormat="1" applyFill="1" applyBorder="1" applyAlignment="1">
      <alignment horizontal="left"/>
    </xf>
    <xf numFmtId="2" fontId="0" fillId="28" borderId="5" xfId="0" quotePrefix="1" applyNumberFormat="1" applyFill="1" applyBorder="1" applyAlignment="1">
      <alignment horizontal="left"/>
    </xf>
    <xf numFmtId="0" fontId="32" fillId="0" borderId="0" xfId="0" applyFont="1"/>
    <xf numFmtId="0" fontId="35" fillId="8" borderId="0" xfId="0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7" fillId="26" borderId="4" xfId="0" applyFont="1" applyFill="1" applyBorder="1" applyAlignment="1">
      <alignment horizontal="left" vertical="center"/>
    </xf>
    <xf numFmtId="0" fontId="12" fillId="4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0" fontId="18" fillId="10" borderId="0" xfId="0" applyFont="1" applyFill="1" applyAlignment="1">
      <alignment vertical="center"/>
    </xf>
    <xf numFmtId="0" fontId="16" fillId="9" borderId="0" xfId="0" applyFont="1" applyFill="1" applyAlignment="1">
      <alignment vertical="center"/>
    </xf>
    <xf numFmtId="0" fontId="18" fillId="10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vertical="center"/>
    </xf>
    <xf numFmtId="0" fontId="37" fillId="26" borderId="4" xfId="0" applyFont="1" applyFill="1" applyBorder="1" applyAlignment="1">
      <alignment horizontal="left"/>
    </xf>
    <xf numFmtId="0" fontId="35" fillId="4" borderId="0" xfId="0" applyFont="1" applyFill="1"/>
    <xf numFmtId="0" fontId="36" fillId="6" borderId="0" xfId="0" applyFont="1" applyFill="1"/>
    <xf numFmtId="0" fontId="36" fillId="10" borderId="0" xfId="0" applyFont="1" applyFill="1"/>
    <xf numFmtId="0" fontId="0" fillId="30" borderId="0" xfId="0" applyFill="1"/>
    <xf numFmtId="49" fontId="0" fillId="30" borderId="0" xfId="0" applyNumberFormat="1" applyFill="1"/>
    <xf numFmtId="164" fontId="0" fillId="30" borderId="0" xfId="0" applyNumberFormat="1" applyFill="1"/>
    <xf numFmtId="0" fontId="0" fillId="31" borderId="0" xfId="0" applyFill="1"/>
    <xf numFmtId="49" fontId="0" fillId="31" borderId="0" xfId="0" applyNumberFormat="1" applyFill="1"/>
    <xf numFmtId="1" fontId="0" fillId="31" borderId="0" xfId="0" applyNumberFormat="1" applyFill="1"/>
    <xf numFmtId="1" fontId="0" fillId="28" borderId="5" xfId="0" quotePrefix="1" applyNumberFormat="1" applyFill="1" applyBorder="1" applyAlignment="1">
      <alignment horizontal="left"/>
    </xf>
    <xf numFmtId="166" fontId="0" fillId="0" borderId="4" xfId="0" applyNumberFormat="1" applyBorder="1" applyAlignment="1">
      <alignment horizontal="left" vertical="center"/>
    </xf>
    <xf numFmtId="0" fontId="35" fillId="8" borderId="0" xfId="0" applyFont="1" applyFill="1" applyAlignment="1">
      <alignment horizontal="center" vertical="center"/>
    </xf>
    <xf numFmtId="1" fontId="0" fillId="0" borderId="4" xfId="0" applyNumberFormat="1" applyBorder="1"/>
    <xf numFmtId="0" fontId="14" fillId="26" borderId="4" xfId="0" applyFont="1" applyFill="1" applyBorder="1" applyAlignment="1">
      <alignment horizontal="left" vertical="center"/>
    </xf>
    <xf numFmtId="49" fontId="0" fillId="0" borderId="0" xfId="0" applyNumberFormat="1" applyAlignment="1">
      <alignment vertical="center"/>
    </xf>
    <xf numFmtId="0" fontId="22" fillId="26" borderId="4" xfId="0" applyFont="1" applyFill="1" applyBorder="1" applyAlignment="1">
      <alignment horizontal="left" vertical="center"/>
    </xf>
    <xf numFmtId="0" fontId="23" fillId="26" borderId="4" xfId="0" applyFont="1" applyFill="1" applyBorder="1" applyAlignment="1">
      <alignment horizontal="left" vertical="center"/>
    </xf>
    <xf numFmtId="0" fontId="24" fillId="26" borderId="4" xfId="0" applyFont="1" applyFill="1" applyBorder="1" applyAlignment="1">
      <alignment horizontal="left" vertical="center"/>
    </xf>
    <xf numFmtId="0" fontId="25" fillId="26" borderId="4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15" fillId="26" borderId="4" xfId="0" applyFont="1" applyFill="1" applyBorder="1" applyAlignment="1">
      <alignment horizontal="left" vertical="center"/>
    </xf>
    <xf numFmtId="0" fontId="19" fillId="26" borderId="4" xfId="0" applyFont="1" applyFill="1" applyBorder="1" applyAlignment="1">
      <alignment horizontal="left" vertical="center"/>
    </xf>
    <xf numFmtId="0" fontId="20" fillId="26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37" fillId="26" borderId="4" xfId="0" applyFont="1" applyFill="1" applyBorder="1" applyAlignment="1">
      <alignment horizontal="left"/>
    </xf>
    <xf numFmtId="0" fontId="0" fillId="0" borderId="0" xfId="0"/>
    <xf numFmtId="49" fontId="0" fillId="0" borderId="0" xfId="0" applyNumberFormat="1"/>
    <xf numFmtId="1" fontId="0" fillId="0" borderId="0" xfId="0" applyNumberFormat="1"/>
    <xf numFmtId="0" fontId="12" fillId="8" borderId="0" xfId="0" applyFont="1" applyFill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7CAC4AAF-856E-4156-807D-F4D1056AA8C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790575</xdr:colOff>
      <xdr:row>0</xdr:row>
      <xdr:rowOff>152400</xdr:rowOff>
    </xdr:from>
    <xdr:to>
      <xdr:col>1</xdr:col>
      <xdr:colOff>1428750</xdr:colOff>
      <xdr:row>2</xdr:row>
      <xdr:rowOff>95250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ABC3615-78B7-4335-82B0-5FBFD7DF7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0575" y="152400"/>
          <a:ext cx="259080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lationship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ionship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62FF-D9A6-4AF9-9EB4-5C0E9736F4D1}">
  <sheetPr codeName="Sheet6"/>
  <dimension ref="A3:D17"/>
  <sheetViews>
    <sheetView workbookViewId="0"/>
  </sheetViews>
  <sheetFormatPr defaultColWidth="12.3984375" defaultRowHeight="21.75" customHeight="1" x14ac:dyDescent="0.5"/>
  <cols>
    <col min="1" max="1" width="29.265625" style="3" bestFit="1" customWidth="1" collapsed="1"/>
    <col min="2" max="2" width="28.3984375" style="3" bestFit="1" customWidth="1" collapsed="1"/>
    <col min="3" max="3" width="16.1328125" style="3" bestFit="1" customWidth="1" collapsed="1"/>
    <col min="4" max="4" width="31.265625" style="3" bestFit="1" customWidth="1" collapsed="1"/>
    <col min="5" max="16384" width="12.3984375" style="3" collapsed="1"/>
  </cols>
  <sheetData>
    <row r="3" spans="1:4" ht="21.75" customHeight="1" x14ac:dyDescent="0.5">
      <c r="B3" s="3" t="s">
        <v>14</v>
      </c>
    </row>
    <row r="4" spans="1:4" ht="21.75" customHeight="1" x14ac:dyDescent="0.5">
      <c r="A4" s="1" t="s">
        <v>0</v>
      </c>
      <c r="B4" s="2" t="s">
        <v>1</v>
      </c>
    </row>
    <row r="5" spans="1:4" ht="21.75" customHeight="1" x14ac:dyDescent="0.5">
      <c r="A5" s="1" t="s">
        <v>2</v>
      </c>
      <c r="B5" s="2" t="s">
        <v>21</v>
      </c>
    </row>
    <row r="6" spans="1:4" ht="21.75" customHeight="1" x14ac:dyDescent="0.5">
      <c r="A6" s="1" t="s">
        <v>3</v>
      </c>
      <c r="B6" s="2" t="s">
        <v>4</v>
      </c>
    </row>
    <row r="7" spans="1:4" ht="21.75" customHeight="1" x14ac:dyDescent="0.5">
      <c r="A7" s="1" t="s">
        <v>5</v>
      </c>
      <c r="B7" s="2" t="s">
        <v>8</v>
      </c>
    </row>
    <row r="8" spans="1:4" ht="21.75" customHeight="1" x14ac:dyDescent="0.55000000000000004">
      <c r="A8" s="5" t="s">
        <v>6</v>
      </c>
      <c r="B8" s="27" t="s">
        <v>24</v>
      </c>
    </row>
    <row r="9" spans="1:4" ht="21.75" customHeight="1" x14ac:dyDescent="0.55000000000000004">
      <c r="A9" s="1"/>
      <c r="B9" s="28" t="s">
        <v>25</v>
      </c>
    </row>
    <row r="12" spans="1:4" ht="21.75" customHeight="1" x14ac:dyDescent="0.5">
      <c r="A12" s="6" t="s">
        <v>15</v>
      </c>
    </row>
    <row r="13" spans="1:4" ht="21.75" customHeight="1" x14ac:dyDescent="0.55000000000000004">
      <c r="A13" s="7" t="s">
        <v>16</v>
      </c>
      <c r="B13" s="8" t="s">
        <v>17</v>
      </c>
      <c r="C13" s="9" t="s">
        <v>7</v>
      </c>
      <c r="D13" s="10" t="s">
        <v>18</v>
      </c>
    </row>
    <row r="14" spans="1:4" ht="21.75" customHeight="1" x14ac:dyDescent="0.55000000000000004">
      <c r="A14" s="11" t="s">
        <v>22</v>
      </c>
      <c r="B14" s="12" t="s">
        <v>17</v>
      </c>
      <c r="C14" s="13" t="s">
        <v>7</v>
      </c>
      <c r="D14" s="14" t="s">
        <v>18</v>
      </c>
    </row>
    <row r="15" spans="1:4" ht="21.75" customHeight="1" x14ac:dyDescent="0.55000000000000004">
      <c r="A15" s="15" t="s">
        <v>23</v>
      </c>
      <c r="B15" s="16" t="s">
        <v>17</v>
      </c>
      <c r="C15" s="17" t="s">
        <v>7</v>
      </c>
      <c r="D15" s="18" t="s">
        <v>18</v>
      </c>
    </row>
    <row r="16" spans="1:4" ht="21.75" customHeight="1" x14ac:dyDescent="0.55000000000000004">
      <c r="A16" s="19" t="s">
        <v>19</v>
      </c>
      <c r="B16" s="20" t="s">
        <v>17</v>
      </c>
      <c r="C16" s="21" t="s">
        <v>7</v>
      </c>
      <c r="D16" s="22" t="s">
        <v>18</v>
      </c>
    </row>
    <row r="17" spans="1:4" ht="21.75" customHeight="1" x14ac:dyDescent="0.55000000000000004">
      <c r="A17" s="23" t="s">
        <v>20</v>
      </c>
      <c r="B17" s="24" t="s">
        <v>17</v>
      </c>
      <c r="C17" s="25" t="s">
        <v>7</v>
      </c>
      <c r="D17" s="26" t="s">
        <v>18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0DC4-1983-4DC8-BA03-80156AB48A39}">
  <sheetPr codeName="Sheet1"/>
  <dimension ref="A1:AR1752"/>
  <sheetViews>
    <sheetView tabSelected="1" topLeftCell="AE1" zoomScaleNormal="100" workbookViewId="0">
      <pane ySplit="2" topLeftCell="A6" activePane="bottomLeft" state="frozen"/>
      <selection pane="bottomLeft" activeCell="AR14" sqref="AR14"/>
    </sheetView>
  </sheetViews>
  <sheetFormatPr defaultRowHeight="21.75" customHeight="1" x14ac:dyDescent="0.45"/>
  <cols>
    <col min="1" max="1" width="5.9296875" style="54" bestFit="1" customWidth="1"/>
    <col min="2" max="2" width="7.6640625" style="54" bestFit="1" customWidth="1"/>
    <col min="3" max="3" width="33.9296875" style="54" bestFit="1" customWidth="1"/>
    <col min="4" max="4" width="39.265625" style="54" bestFit="1" customWidth="1"/>
    <col min="5" max="5" width="15.06640625" style="55" bestFit="1" customWidth="1"/>
    <col min="6" max="6" width="72.33203125" style="55" bestFit="1" customWidth="1"/>
    <col min="7" max="7" width="20.46484375" style="55" bestFit="1" customWidth="1"/>
    <col min="8" max="8" width="28.06640625" style="55" bestFit="1" customWidth="1"/>
    <col min="9" max="9" width="15.3984375" style="55" bestFit="1" customWidth="1"/>
    <col min="10" max="10" width="20.53125" style="55" customWidth="1"/>
    <col min="11" max="11" width="23" style="55" customWidth="1"/>
    <col min="12" max="12" width="35.73046875" style="54" bestFit="1" customWidth="1"/>
    <col min="13" max="13" width="34.9296875" style="55" bestFit="1" customWidth="1"/>
    <col min="14" max="14" width="35" style="55" bestFit="1" customWidth="1"/>
    <col min="15" max="15" width="23.73046875" style="55" customWidth="1"/>
    <col min="16" max="16" width="22.86328125" style="55" bestFit="1" customWidth="1"/>
    <col min="17" max="17" width="22.265625" style="55" bestFit="1" customWidth="1"/>
    <col min="18" max="18" width="23.73046875" style="54" bestFit="1" customWidth="1"/>
    <col min="19" max="19" width="22.86328125" style="54" bestFit="1" customWidth="1"/>
    <col min="20" max="20" width="22.265625" style="54" bestFit="1" customWidth="1"/>
    <col min="21" max="21" width="28.73046875" style="55" bestFit="1" customWidth="1"/>
    <col min="22" max="22" width="27.796875" style="55" bestFit="1" customWidth="1"/>
    <col min="23" max="23" width="27.1328125" style="55" bestFit="1" customWidth="1"/>
    <col min="24" max="24" width="37.1328125" style="54" customWidth="1"/>
    <col min="25" max="26" width="34.06640625" style="54" customWidth="1"/>
    <col min="27" max="27" width="9.86328125" style="64" bestFit="1" customWidth="1"/>
    <col min="28" max="28" width="33.46484375" style="55" bestFit="1" customWidth="1"/>
    <col min="29" max="29" width="21.19921875" style="66" bestFit="1" customWidth="1"/>
    <col min="30" max="30" width="22.86328125" style="55" bestFit="1" customWidth="1"/>
    <col min="31" max="31" width="22.59765625" style="55" bestFit="1" customWidth="1"/>
    <col min="32" max="32" width="22.59765625" style="55" customWidth="1"/>
    <col min="33" max="33" width="25" style="55" bestFit="1" customWidth="1"/>
    <col min="34" max="34" width="15" style="55" bestFit="1" customWidth="1"/>
    <col min="35" max="35" width="17.33203125" style="55" bestFit="1" customWidth="1"/>
    <col min="36" max="36" width="23.1328125" style="55" bestFit="1" customWidth="1"/>
    <col min="37" max="37" width="20.46484375" style="55" bestFit="1" customWidth="1"/>
    <col min="38" max="38" width="11.3984375" style="55" bestFit="1" customWidth="1"/>
    <col min="39" max="39" width="13.19921875" style="55" bestFit="1" customWidth="1"/>
    <col min="40" max="40" width="33.46484375" style="55" bestFit="1" customWidth="1"/>
    <col min="41" max="41" width="16.33203125" style="66" customWidth="1"/>
    <col min="42" max="42" width="26.73046875" style="66" bestFit="1" customWidth="1"/>
    <col min="43" max="43" width="19.1328125" style="66" bestFit="1" customWidth="1"/>
    <col min="44" max="44" width="9.06640625" style="30"/>
    <col min="45" max="16384" width="9.06640625" style="54"/>
  </cols>
  <sheetData>
    <row r="1" spans="1:44" ht="21.75" customHeight="1" x14ac:dyDescent="0.45">
      <c r="A1" s="82" t="s">
        <v>29</v>
      </c>
      <c r="B1" s="88"/>
      <c r="C1" s="88"/>
      <c r="D1" s="88"/>
      <c r="E1" s="89" t="s">
        <v>32</v>
      </c>
      <c r="F1" s="83"/>
      <c r="G1" s="56" t="s">
        <v>34</v>
      </c>
      <c r="H1" s="90" t="s">
        <v>38</v>
      </c>
      <c r="I1" s="83"/>
      <c r="J1" s="91" t="s">
        <v>41</v>
      </c>
      <c r="K1" s="83"/>
      <c r="L1" s="92" t="s">
        <v>38</v>
      </c>
      <c r="M1" s="83"/>
      <c r="N1" s="83"/>
      <c r="O1" s="82" t="s">
        <v>51</v>
      </c>
      <c r="P1" s="83"/>
      <c r="Q1" s="83"/>
      <c r="R1" s="83"/>
      <c r="S1" s="83"/>
      <c r="T1" s="83"/>
      <c r="U1" s="84" t="s">
        <v>41</v>
      </c>
      <c r="V1" s="83"/>
      <c r="W1" s="83"/>
      <c r="X1" s="83"/>
      <c r="Y1" s="83"/>
      <c r="Z1" s="83"/>
      <c r="AA1" s="85" t="s">
        <v>38</v>
      </c>
      <c r="AB1" s="83"/>
      <c r="AC1" s="83"/>
      <c r="AD1" s="83"/>
      <c r="AE1" s="83"/>
      <c r="AF1" s="83"/>
      <c r="AG1" s="83"/>
      <c r="AH1" s="86" t="s">
        <v>69</v>
      </c>
      <c r="AI1" s="83"/>
      <c r="AJ1" s="83"/>
      <c r="AK1" s="83"/>
      <c r="AL1" s="83"/>
      <c r="AM1" s="87" t="s">
        <v>41</v>
      </c>
      <c r="AN1" s="83"/>
      <c r="AO1" s="83"/>
      <c r="AP1" s="83"/>
      <c r="AQ1" s="83"/>
      <c r="AR1" s="54"/>
    </row>
    <row r="2" spans="1:44" ht="14.25" x14ac:dyDescent="0.45">
      <c r="A2" s="57" t="s">
        <v>26</v>
      </c>
      <c r="B2" s="58" t="s">
        <v>15</v>
      </c>
      <c r="C2" s="57" t="s">
        <v>27</v>
      </c>
      <c r="D2" s="57" t="s">
        <v>28</v>
      </c>
      <c r="E2" s="58" t="s">
        <v>30</v>
      </c>
      <c r="F2" s="58" t="s">
        <v>31</v>
      </c>
      <c r="G2" s="59" t="s">
        <v>33</v>
      </c>
      <c r="H2" s="60" t="s">
        <v>35</v>
      </c>
      <c r="I2" s="60" t="s">
        <v>36</v>
      </c>
      <c r="J2" s="61" t="s">
        <v>37</v>
      </c>
      <c r="K2" s="61" t="s">
        <v>39</v>
      </c>
      <c r="L2" s="60" t="s">
        <v>40</v>
      </c>
      <c r="M2" s="60" t="s">
        <v>42</v>
      </c>
      <c r="N2" s="60" t="s">
        <v>43</v>
      </c>
      <c r="O2" s="60" t="s">
        <v>44</v>
      </c>
      <c r="P2" s="60" t="s">
        <v>45</v>
      </c>
      <c r="Q2" s="60" t="s">
        <v>46</v>
      </c>
      <c r="R2" s="59" t="s">
        <v>47</v>
      </c>
      <c r="S2" s="59" t="s">
        <v>48</v>
      </c>
      <c r="T2" s="59" t="s">
        <v>49</v>
      </c>
      <c r="U2" s="59" t="s">
        <v>50</v>
      </c>
      <c r="V2" s="59" t="s">
        <v>52</v>
      </c>
      <c r="W2" s="59" t="s">
        <v>53</v>
      </c>
      <c r="X2" s="60" t="s">
        <v>54</v>
      </c>
      <c r="Y2" s="60" t="s">
        <v>55</v>
      </c>
      <c r="Z2" s="60" t="s">
        <v>56</v>
      </c>
      <c r="AA2" s="62" t="s">
        <v>57</v>
      </c>
      <c r="AB2" s="60" t="s">
        <v>58</v>
      </c>
      <c r="AC2" s="62" t="s">
        <v>59</v>
      </c>
      <c r="AD2" s="60" t="s">
        <v>60</v>
      </c>
      <c r="AE2" s="60" t="s">
        <v>61</v>
      </c>
      <c r="AF2" s="59" t="s">
        <v>1220</v>
      </c>
      <c r="AG2" s="59" t="s">
        <v>62</v>
      </c>
      <c r="AH2" s="60" t="s">
        <v>63</v>
      </c>
      <c r="AI2" s="59" t="s">
        <v>64</v>
      </c>
      <c r="AJ2" s="60" t="s">
        <v>65</v>
      </c>
      <c r="AK2" s="59" t="s">
        <v>66</v>
      </c>
      <c r="AL2" s="59" t="s">
        <v>67</v>
      </c>
      <c r="AM2" s="59" t="s">
        <v>68</v>
      </c>
      <c r="AN2" s="61" t="s">
        <v>70</v>
      </c>
      <c r="AO2" s="80" t="s">
        <v>1219</v>
      </c>
      <c r="AP2" s="80" t="s">
        <v>1435</v>
      </c>
      <c r="AQ2" s="62" t="s">
        <v>71</v>
      </c>
      <c r="AR2" s="97" t="s">
        <v>1683</v>
      </c>
    </row>
    <row r="3" spans="1:44" ht="21.75" customHeight="1" x14ac:dyDescent="0.45">
      <c r="B3" s="54" t="s">
        <v>99</v>
      </c>
      <c r="E3" s="55" t="s">
        <v>87</v>
      </c>
      <c r="F3" s="54" t="str">
        <f>"Warengruppe&gt;&gt;"&amp;_xlfn.TEXTJOIN("&gt;&gt;",TRUE,Migrationsartikel!V2:X2)</f>
        <v>Warengruppe&gt;&gt;Backwaren &amp; Convenience&gt;&gt;Brot und Backwaren&gt;&gt;Backwaren andere</v>
      </c>
      <c r="H3" s="55" t="s">
        <v>109</v>
      </c>
      <c r="J3" s="79">
        <f>Migrationsartikel!B2</f>
        <v>0</v>
      </c>
      <c r="L3" s="54" t="str">
        <f>_xlfn.TEXTJOIN(" ",TRUE,Migrationsartikel!F2:H2)</f>
        <v>Baguette aus der Region 250g</v>
      </c>
      <c r="M3" s="54" t="str">
        <f>_xlfn.TEXTJOIN(" ",TRUE,Migrationsartikel!J2:L2)</f>
        <v>Baguette de la région 250g</v>
      </c>
      <c r="N3" s="54" t="str">
        <f>_xlfn.TEXTJOIN(" ",TRUE,Migrationsartikel!N2:P2)</f>
        <v>Baguette della regione 250g</v>
      </c>
      <c r="O3" s="54" t="str">
        <f>Migrationsartikel!F2</f>
        <v>Baguette</v>
      </c>
      <c r="P3" s="54" t="str">
        <f>Migrationsartikel!J2</f>
        <v>Baguette</v>
      </c>
      <c r="Q3" s="54" t="str">
        <f>Migrationsartikel!N2</f>
        <v>Baguette</v>
      </c>
      <c r="R3" s="54" t="str">
        <f>_xlfn.TEXTJOIN(" ",TRUE,Migrationsartikel!G2)</f>
        <v>aus der Region</v>
      </c>
      <c r="S3" s="54" t="str">
        <f>_xlfn.TEXTJOIN(" ",TRUE,Migrationsartikel!K2)</f>
        <v>de la région</v>
      </c>
      <c r="T3" s="54" t="str">
        <f>_xlfn.TEXTJOIN(" ",TRUE,Migrationsartikel!O2)</f>
        <v>della regione</v>
      </c>
      <c r="U3" s="54" t="str">
        <f>_xlfn.TEXTJOIN(" ",TRUE,Migrationsartikel!H2)</f>
        <v>250g</v>
      </c>
      <c r="V3" s="54" t="str">
        <f>_xlfn.TEXTJOIN(" ",TRUE,Migrationsartikel!L2)</f>
        <v>250g</v>
      </c>
      <c r="W3" s="54" t="str">
        <f>_xlfn.TEXTJOIN(" ",TRUE,Migrationsartikel!P2)</f>
        <v>250g</v>
      </c>
      <c r="X3" s="54" t="str">
        <f>Migrationsartikel!I2</f>
        <v>Baguette 250g</v>
      </c>
      <c r="Y3" s="54" t="str">
        <f>Migrationsartikel!M2</f>
        <v>Baguette 250g</v>
      </c>
      <c r="Z3" s="54" t="str">
        <f>Migrationsartikel!Q2</f>
        <v>Baguette 250g</v>
      </c>
      <c r="AA3" s="63">
        <f>Migrationsartikel!R2</f>
        <v>0.25</v>
      </c>
      <c r="AB3" s="54" t="str">
        <f>Migrationsartikel!T2</f>
        <v>Gramm</v>
      </c>
      <c r="AC3" s="65">
        <f>Migrationsartikel!S2</f>
        <v>100</v>
      </c>
      <c r="AD3" s="54" t="str">
        <f>Migrationsartikel!U2</f>
        <v>(PCE) Stück</v>
      </c>
      <c r="AE3" s="55" t="s">
        <v>179</v>
      </c>
      <c r="AF3" s="67">
        <f>Migrationsartikel!AA2</f>
        <v>0</v>
      </c>
      <c r="AG3" s="55" t="s">
        <v>192</v>
      </c>
      <c r="AH3" s="54" t="str">
        <f>IF(Migrationsartikel!AB2="ja","true",FALSE)</f>
        <v>true</v>
      </c>
      <c r="AI3" s="54" t="str">
        <f>IF(Migrationsartikel!AC2="ja","true",FALSE)</f>
        <v>true</v>
      </c>
      <c r="AJ3" s="54" t="str">
        <f>IF(Migrationsartikel!AD2="ja","true",FALSE)</f>
        <v>true</v>
      </c>
      <c r="AK3" s="54" t="str">
        <f>IF(Migrationsartikel!AE2="ja","true",FALSE)</f>
        <v>true</v>
      </c>
      <c r="AL3" s="54" t="str">
        <f>IF(Migrationsartikel!AF2="ja","Denner Partner","")</f>
        <v/>
      </c>
      <c r="AM3" s="54" t="str">
        <f>IF(Migrationsartikel!AG2="ja","true","false")</f>
        <v>false</v>
      </c>
      <c r="AN3" s="54" t="str">
        <f t="shared" ref="AN3" si="0">IF(AND(ISNUMBER(J3),J3&gt;=100,J3&lt;=999),"PLU",IF(AND(ISNUMBER(J3),J3&gt;999),"GTIN","Kassentastenbelegung (ohne GTIN/PLU)"))</f>
        <v>Kassentastenbelegung (ohne GTIN/PLU)</v>
      </c>
      <c r="AO3" s="66" t="s">
        <v>219</v>
      </c>
      <c r="AP3" s="65" t="s">
        <v>1436</v>
      </c>
      <c r="AQ3" s="66" t="s">
        <v>217</v>
      </c>
      <c r="AR3" s="30" t="s">
        <v>219</v>
      </c>
    </row>
    <row r="4" spans="1:44" ht="21.75" customHeight="1" x14ac:dyDescent="0.45">
      <c r="B4" s="54" t="s">
        <v>99</v>
      </c>
      <c r="E4" s="55" t="s">
        <v>87</v>
      </c>
      <c r="F4" s="54" t="str">
        <f>"Warengruppe&gt;&gt;"&amp;_xlfn.TEXTJOIN("&gt;&gt;",TRUE,Migrationsartikel!V3:X3)</f>
        <v>Warengruppe&gt;&gt;Backwaren &amp; Convenience&gt;&gt;Brot und Backwaren&gt;&gt;Backwaren andere</v>
      </c>
      <c r="H4" s="55" t="s">
        <v>109</v>
      </c>
      <c r="J4" s="79">
        <f>Migrationsartikel!B3</f>
        <v>0</v>
      </c>
      <c r="L4" s="54" t="str">
        <f>_xlfn.TEXTJOIN(" ",TRUE,Migrationsartikel!F3:H3)</f>
        <v>Baslerbrot aus der Region 250g</v>
      </c>
      <c r="M4" s="54" t="str">
        <f>_xlfn.TEXTJOIN(" ",TRUE,Migrationsartikel!J3:L3)</f>
        <v>Pain bâlois de la région 250g</v>
      </c>
      <c r="N4" s="54" t="str">
        <f>_xlfn.TEXTJOIN(" ",TRUE,Migrationsartikel!N3:P3)</f>
        <v>Pane di Basilea della regione 250g</v>
      </c>
      <c r="O4" s="54" t="str">
        <f>Migrationsartikel!F3</f>
        <v>Baslerbrot</v>
      </c>
      <c r="P4" s="54" t="str">
        <f>Migrationsartikel!J3</f>
        <v>Pain bâlois</v>
      </c>
      <c r="Q4" s="54" t="str">
        <f>Migrationsartikel!N3</f>
        <v>Pane di Basilea</v>
      </c>
      <c r="R4" s="54" t="str">
        <f>_xlfn.TEXTJOIN(" ",TRUE,Migrationsartikel!G3)</f>
        <v>aus der Region</v>
      </c>
      <c r="S4" s="54" t="str">
        <f>_xlfn.TEXTJOIN(" ",TRUE,Migrationsartikel!K3)</f>
        <v>de la région</v>
      </c>
      <c r="T4" s="54" t="str">
        <f>_xlfn.TEXTJOIN(" ",TRUE,Migrationsartikel!O3)</f>
        <v>della regione</v>
      </c>
      <c r="U4" s="54" t="str">
        <f>_xlfn.TEXTJOIN(" ",TRUE,Migrationsartikel!H3)</f>
        <v>250g</v>
      </c>
      <c r="V4" s="54" t="str">
        <f>_xlfn.TEXTJOIN(" ",TRUE,Migrationsartikel!L3)</f>
        <v>250g</v>
      </c>
      <c r="W4" s="54" t="str">
        <f>_xlfn.TEXTJOIN(" ",TRUE,Migrationsartikel!P3)</f>
        <v>250g</v>
      </c>
      <c r="X4" s="54" t="str">
        <f>Migrationsartikel!I3</f>
        <v>Baslerbrot 250g</v>
      </c>
      <c r="Y4" s="54" t="str">
        <f>Migrationsartikel!M3</f>
        <v>Pain bâlois 250g</v>
      </c>
      <c r="Z4" s="54" t="str">
        <f>Migrationsartikel!Q3</f>
        <v>Pane di Basilea 250g</v>
      </c>
      <c r="AA4" s="63">
        <f>Migrationsartikel!R3</f>
        <v>0.25</v>
      </c>
      <c r="AB4" s="54" t="str">
        <f>Migrationsartikel!T3</f>
        <v>Gramm</v>
      </c>
      <c r="AC4" s="65">
        <f>Migrationsartikel!S3</f>
        <v>100</v>
      </c>
      <c r="AD4" s="54" t="str">
        <f>Migrationsartikel!U3</f>
        <v>(PCE) Stück</v>
      </c>
      <c r="AE4" s="55" t="s">
        <v>179</v>
      </c>
      <c r="AF4" s="67">
        <f>Migrationsartikel!AA3</f>
        <v>0</v>
      </c>
      <c r="AG4" s="55" t="s">
        <v>192</v>
      </c>
      <c r="AH4" s="54" t="str">
        <f>IF(Migrationsartikel!AB3="ja","true",FALSE)</f>
        <v>true</v>
      </c>
      <c r="AI4" s="54" t="str">
        <f>IF(Migrationsartikel!AC3="ja","true",FALSE)</f>
        <v>true</v>
      </c>
      <c r="AJ4" s="54" t="str">
        <f>IF(Migrationsartikel!AD3="ja","true",FALSE)</f>
        <v>true</v>
      </c>
      <c r="AK4" s="54" t="str">
        <f>IF(Migrationsartikel!AE3="ja","true",FALSE)</f>
        <v>true</v>
      </c>
      <c r="AL4" s="54" t="str">
        <f>IF(Migrationsartikel!AF3="ja","Denner Partner","")</f>
        <v/>
      </c>
      <c r="AM4" s="54" t="str">
        <f>IF(Migrationsartikel!AG3="ja","true","false")</f>
        <v>false</v>
      </c>
      <c r="AN4" s="54" t="str">
        <f t="shared" ref="AN4:AN67" si="1">IF(AND(ISNUMBER(J4),J4&gt;=100,J4&lt;=999),"PLU",IF(AND(ISNUMBER(J4),J4&gt;999),"GTIN","Kassentastenbelegung (ohne GTIN/PLU)"))</f>
        <v>Kassentastenbelegung (ohne GTIN/PLU)</v>
      </c>
      <c r="AO4" s="66" t="s">
        <v>219</v>
      </c>
      <c r="AP4" s="65" t="s">
        <v>1437</v>
      </c>
      <c r="AQ4" s="66" t="s">
        <v>217</v>
      </c>
      <c r="AR4" s="30" t="s">
        <v>219</v>
      </c>
    </row>
    <row r="5" spans="1:44" ht="21.75" customHeight="1" x14ac:dyDescent="0.45">
      <c r="B5" s="54" t="s">
        <v>99</v>
      </c>
      <c r="E5" s="55" t="s">
        <v>87</v>
      </c>
      <c r="F5" s="54" t="str">
        <f>"Warengruppe&gt;&gt;"&amp;_xlfn.TEXTJOIN("&gt;&gt;",TRUE,Migrationsartikel!V4:X4)</f>
        <v>Warengruppe&gt;&gt;Backwaren &amp; Convenience&gt;&gt;Brot und Backwaren&gt;&gt;Backwaren andere</v>
      </c>
      <c r="H5" s="55" t="s">
        <v>109</v>
      </c>
      <c r="J5" s="79">
        <f>Migrationsartikel!B4</f>
        <v>0</v>
      </c>
      <c r="L5" s="54" t="str">
        <f>_xlfn.TEXTJOIN(" ",TRUE,Migrationsartikel!F4:H4)</f>
        <v>Baslerbrot aus der Region 500g</v>
      </c>
      <c r="M5" s="54" t="str">
        <f>_xlfn.TEXTJOIN(" ",TRUE,Migrationsartikel!J4:L4)</f>
        <v>Pain bâlois de la région 500g</v>
      </c>
      <c r="N5" s="54" t="str">
        <f>_xlfn.TEXTJOIN(" ",TRUE,Migrationsartikel!N4:P4)</f>
        <v>Pane di Basilea della regione 500g</v>
      </c>
      <c r="O5" s="54" t="str">
        <f>Migrationsartikel!F4</f>
        <v>Baslerbrot</v>
      </c>
      <c r="P5" s="54" t="str">
        <f>Migrationsartikel!J4</f>
        <v>Pain bâlois</v>
      </c>
      <c r="Q5" s="54" t="str">
        <f>Migrationsartikel!N4</f>
        <v>Pane di Basilea</v>
      </c>
      <c r="R5" s="54" t="str">
        <f>_xlfn.TEXTJOIN(" ",TRUE,Migrationsartikel!G4)</f>
        <v>aus der Region</v>
      </c>
      <c r="S5" s="54" t="str">
        <f>_xlfn.TEXTJOIN(" ",TRUE,Migrationsartikel!K4)</f>
        <v>de la région</v>
      </c>
      <c r="T5" s="54" t="str">
        <f>_xlfn.TEXTJOIN(" ",TRUE,Migrationsartikel!O4)</f>
        <v>della regione</v>
      </c>
      <c r="U5" s="54" t="str">
        <f>_xlfn.TEXTJOIN(" ",TRUE,Migrationsartikel!H4)</f>
        <v>500g</v>
      </c>
      <c r="V5" s="54" t="str">
        <f>_xlfn.TEXTJOIN(" ",TRUE,Migrationsartikel!L4)</f>
        <v>500g</v>
      </c>
      <c r="W5" s="54" t="str">
        <f>_xlfn.TEXTJOIN(" ",TRUE,Migrationsartikel!P4)</f>
        <v>500g</v>
      </c>
      <c r="X5" s="54" t="str">
        <f>Migrationsartikel!I4</f>
        <v>Baslerbrot 500g</v>
      </c>
      <c r="Y5" s="54" t="str">
        <f>Migrationsartikel!M4</f>
        <v>Pain bâlois 500g</v>
      </c>
      <c r="Z5" s="54" t="str">
        <f>Migrationsartikel!Q4</f>
        <v>Pane di Basilea 500g</v>
      </c>
      <c r="AA5" s="63">
        <f>Migrationsartikel!R4</f>
        <v>0.5</v>
      </c>
      <c r="AB5" s="54" t="str">
        <f>Migrationsartikel!T4</f>
        <v>Gramm</v>
      </c>
      <c r="AC5" s="65">
        <f>Migrationsartikel!S4</f>
        <v>100</v>
      </c>
      <c r="AD5" s="54" t="str">
        <f>Migrationsartikel!U4</f>
        <v>(PCE) Stück</v>
      </c>
      <c r="AE5" s="55" t="s">
        <v>179</v>
      </c>
      <c r="AF5" s="67">
        <f>Migrationsartikel!AA4</f>
        <v>0</v>
      </c>
      <c r="AG5" s="55" t="s">
        <v>192</v>
      </c>
      <c r="AH5" s="54" t="str">
        <f>IF(Migrationsartikel!AB4="ja","true",FALSE)</f>
        <v>true</v>
      </c>
      <c r="AI5" s="54" t="str">
        <f>IF(Migrationsartikel!AC4="ja","true",FALSE)</f>
        <v>true</v>
      </c>
      <c r="AJ5" s="54" t="str">
        <f>IF(Migrationsartikel!AD4="ja","true",FALSE)</f>
        <v>true</v>
      </c>
      <c r="AK5" s="54" t="str">
        <f>IF(Migrationsartikel!AE4="ja","true",FALSE)</f>
        <v>true</v>
      </c>
      <c r="AL5" s="54" t="str">
        <f>IF(Migrationsartikel!AF4="ja","Denner Partner","")</f>
        <v/>
      </c>
      <c r="AM5" s="54" t="str">
        <f>IF(Migrationsartikel!AG4="ja","true","false")</f>
        <v>false</v>
      </c>
      <c r="AN5" s="54" t="str">
        <f t="shared" si="1"/>
        <v>Kassentastenbelegung (ohne GTIN/PLU)</v>
      </c>
      <c r="AO5" s="66" t="s">
        <v>219</v>
      </c>
      <c r="AP5" s="65" t="s">
        <v>1438</v>
      </c>
      <c r="AQ5" s="66" t="s">
        <v>217</v>
      </c>
      <c r="AR5" s="30" t="s">
        <v>219</v>
      </c>
    </row>
    <row r="6" spans="1:44" ht="21.75" customHeight="1" x14ac:dyDescent="0.45">
      <c r="B6" s="54" t="s">
        <v>99</v>
      </c>
      <c r="E6" s="55" t="s">
        <v>87</v>
      </c>
      <c r="F6" s="54" t="str">
        <f>"Warengruppe&gt;&gt;"&amp;_xlfn.TEXTJOIN("&gt;&gt;",TRUE,Migrationsartikel!V5:X5)</f>
        <v>Warengruppe&gt;&gt;Backwaren &amp; Convenience&gt;&gt;Brot und Backwaren&gt;&gt;Backwaren andere</v>
      </c>
      <c r="H6" s="55" t="s">
        <v>109</v>
      </c>
      <c r="J6" s="79">
        <f>Migrationsartikel!B5</f>
        <v>0</v>
      </c>
      <c r="L6" s="54" t="str">
        <f>_xlfn.TEXTJOIN(" ",TRUE,Migrationsartikel!F5:H5)</f>
        <v>Berliner aus der Region 1Stk</v>
      </c>
      <c r="M6" s="54" t="str">
        <f>_xlfn.TEXTJOIN(" ",TRUE,Migrationsartikel!J5:L5)</f>
        <v>Boule de Berlin de la région 1pce</v>
      </c>
      <c r="N6" s="54" t="str">
        <f>_xlfn.TEXTJOIN(" ",TRUE,Migrationsartikel!N5:P5)</f>
        <v>Berliner della regione 1pz</v>
      </c>
      <c r="O6" s="54" t="str">
        <f>Migrationsartikel!F5</f>
        <v>Berliner</v>
      </c>
      <c r="P6" s="54" t="str">
        <f>Migrationsartikel!J5</f>
        <v>Boule de Berlin</v>
      </c>
      <c r="Q6" s="54" t="str">
        <f>Migrationsartikel!N5</f>
        <v>Berliner</v>
      </c>
      <c r="R6" s="54" t="str">
        <f>_xlfn.TEXTJOIN(" ",TRUE,Migrationsartikel!G5)</f>
        <v>aus der Region</v>
      </c>
      <c r="S6" s="54" t="str">
        <f>_xlfn.TEXTJOIN(" ",TRUE,Migrationsartikel!K5)</f>
        <v>de la région</v>
      </c>
      <c r="T6" s="54" t="str">
        <f>_xlfn.TEXTJOIN(" ",TRUE,Migrationsartikel!O5)</f>
        <v>della regione</v>
      </c>
      <c r="U6" s="54" t="str">
        <f>_xlfn.TEXTJOIN(" ",TRUE,Migrationsartikel!H5)</f>
        <v>1Stk</v>
      </c>
      <c r="V6" s="54" t="str">
        <f>_xlfn.TEXTJOIN(" ",TRUE,Migrationsartikel!L5)</f>
        <v>1pce</v>
      </c>
      <c r="W6" s="54" t="str">
        <f>_xlfn.TEXTJOIN(" ",TRUE,Migrationsartikel!P5)</f>
        <v>1pz</v>
      </c>
      <c r="X6" s="54" t="str">
        <f>Migrationsartikel!I5</f>
        <v>Berliner</v>
      </c>
      <c r="Y6" s="54" t="str">
        <f>Migrationsartikel!M5</f>
        <v>Boule de Berlin</v>
      </c>
      <c r="Z6" s="54" t="str">
        <f>Migrationsartikel!Q5</f>
        <v>Berliner</v>
      </c>
      <c r="AA6" s="63">
        <f>Migrationsartikel!R5</f>
        <v>1</v>
      </c>
      <c r="AB6" s="54" t="str">
        <f>Migrationsartikel!T5</f>
        <v>Stück</v>
      </c>
      <c r="AC6" s="65">
        <f>Migrationsartikel!S5</f>
        <v>1</v>
      </c>
      <c r="AD6" s="54" t="str">
        <f>Migrationsartikel!U5</f>
        <v>(PCE) Stück</v>
      </c>
      <c r="AE6" s="55" t="s">
        <v>179</v>
      </c>
      <c r="AF6" s="67">
        <f>Migrationsartikel!AA5</f>
        <v>0</v>
      </c>
      <c r="AG6" s="55" t="s">
        <v>192</v>
      </c>
      <c r="AH6" s="54" t="str">
        <f>IF(Migrationsartikel!AB5="ja","true",FALSE)</f>
        <v>true</v>
      </c>
      <c r="AI6" s="54" t="str">
        <f>IF(Migrationsartikel!AC5="ja","true",FALSE)</f>
        <v>true</v>
      </c>
      <c r="AJ6" s="54" t="str">
        <f>IF(Migrationsartikel!AD5="ja","true",FALSE)</f>
        <v>true</v>
      </c>
      <c r="AK6" s="54" t="str">
        <f>IF(Migrationsartikel!AE5="ja","true",FALSE)</f>
        <v>true</v>
      </c>
      <c r="AL6" s="54" t="str">
        <f>IF(Migrationsartikel!AF5="ja","Denner Partner","")</f>
        <v/>
      </c>
      <c r="AM6" s="54" t="str">
        <f>IF(Migrationsartikel!AG5="ja","true","false")</f>
        <v>false</v>
      </c>
      <c r="AN6" s="54" t="str">
        <f t="shared" si="1"/>
        <v>Kassentastenbelegung (ohne GTIN/PLU)</v>
      </c>
      <c r="AO6" s="66" t="s">
        <v>219</v>
      </c>
      <c r="AP6" s="65" t="s">
        <v>1439</v>
      </c>
      <c r="AQ6" s="66" t="s">
        <v>217</v>
      </c>
      <c r="AR6" s="30" t="s">
        <v>219</v>
      </c>
    </row>
    <row r="7" spans="1:44" ht="21.75" customHeight="1" x14ac:dyDescent="0.45">
      <c r="B7" s="54" t="s">
        <v>99</v>
      </c>
      <c r="E7" s="55" t="s">
        <v>87</v>
      </c>
      <c r="F7" s="54" t="str">
        <f>"Warengruppe&gt;&gt;"&amp;_xlfn.TEXTJOIN("&gt;&gt;",TRUE,Migrationsartikel!V6:X6)</f>
        <v>Warengruppe&gt;&gt;Backwaren &amp; Convenience&gt;&gt;Brot und Backwaren&gt;&gt;Backwaren andere</v>
      </c>
      <c r="H7" s="55" t="s">
        <v>109</v>
      </c>
      <c r="J7" s="79">
        <f>Migrationsartikel!B6</f>
        <v>0</v>
      </c>
      <c r="L7" s="54" t="str">
        <f>_xlfn.TEXTJOIN(" ",TRUE,Migrationsartikel!F6:H6)</f>
        <v>Birewegge aus der Region 1Stk</v>
      </c>
      <c r="M7" s="54" t="str">
        <f>_xlfn.TEXTJOIN(" ",TRUE,Migrationsartikel!J6:L6)</f>
        <v>Birewegge de la région 1pce</v>
      </c>
      <c r="N7" s="54" t="str">
        <f>_xlfn.TEXTJOIN(" ",TRUE,Migrationsartikel!N6:P6)</f>
        <v>Birewegge della regione 1pz</v>
      </c>
      <c r="O7" s="54" t="str">
        <f>Migrationsartikel!F6</f>
        <v>Birewegge</v>
      </c>
      <c r="P7" s="54" t="str">
        <f>Migrationsartikel!J6</f>
        <v>Birewegge</v>
      </c>
      <c r="Q7" s="54" t="str">
        <f>Migrationsartikel!N6</f>
        <v>Birewegge</v>
      </c>
      <c r="R7" s="54" t="str">
        <f>_xlfn.TEXTJOIN(" ",TRUE,Migrationsartikel!G6)</f>
        <v>aus der Region</v>
      </c>
      <c r="S7" s="54" t="str">
        <f>_xlfn.TEXTJOIN(" ",TRUE,Migrationsartikel!K6)</f>
        <v>de la région</v>
      </c>
      <c r="T7" s="54" t="str">
        <f>_xlfn.TEXTJOIN(" ",TRUE,Migrationsartikel!O6)</f>
        <v>della regione</v>
      </c>
      <c r="U7" s="54" t="str">
        <f>_xlfn.TEXTJOIN(" ",TRUE,Migrationsartikel!H6)</f>
        <v>1Stk</v>
      </c>
      <c r="V7" s="54" t="str">
        <f>_xlfn.TEXTJOIN(" ",TRUE,Migrationsartikel!L6)</f>
        <v>1pce</v>
      </c>
      <c r="W7" s="54" t="str">
        <f>_xlfn.TEXTJOIN(" ",TRUE,Migrationsartikel!P6)</f>
        <v>1pz</v>
      </c>
      <c r="X7" s="54" t="str">
        <f>Migrationsartikel!I6</f>
        <v>Birewegge</v>
      </c>
      <c r="Y7" s="54" t="str">
        <f>Migrationsartikel!M6</f>
        <v>Birewegge</v>
      </c>
      <c r="Z7" s="54" t="str">
        <f>Migrationsartikel!Q6</f>
        <v>Birewegge</v>
      </c>
      <c r="AA7" s="63">
        <f>Migrationsartikel!R6</f>
        <v>1</v>
      </c>
      <c r="AB7" s="54" t="str">
        <f>Migrationsartikel!T6</f>
        <v>Stück</v>
      </c>
      <c r="AC7" s="65">
        <f>Migrationsartikel!S6</f>
        <v>1</v>
      </c>
      <c r="AD7" s="54" t="str">
        <f>Migrationsartikel!U6</f>
        <v>(PCE) Stück</v>
      </c>
      <c r="AE7" s="55" t="s">
        <v>179</v>
      </c>
      <c r="AF7" s="67">
        <f>Migrationsartikel!AA6</f>
        <v>0</v>
      </c>
      <c r="AG7" s="55" t="s">
        <v>192</v>
      </c>
      <c r="AH7" s="54" t="str">
        <f>IF(Migrationsartikel!AB6="ja","true",FALSE)</f>
        <v>true</v>
      </c>
      <c r="AI7" s="54" t="str">
        <f>IF(Migrationsartikel!AC6="ja","true",FALSE)</f>
        <v>true</v>
      </c>
      <c r="AJ7" s="54" t="str">
        <f>IF(Migrationsartikel!AD6="ja","true",FALSE)</f>
        <v>true</v>
      </c>
      <c r="AK7" s="54" t="str">
        <f>IF(Migrationsartikel!AE6="ja","true",FALSE)</f>
        <v>true</v>
      </c>
      <c r="AL7" s="54" t="str">
        <f>IF(Migrationsartikel!AF6="ja","Denner Partner","")</f>
        <v/>
      </c>
      <c r="AM7" s="54" t="str">
        <f>IF(Migrationsartikel!AG6="ja","true","false")</f>
        <v>false</v>
      </c>
      <c r="AN7" s="54" t="str">
        <f t="shared" si="1"/>
        <v>Kassentastenbelegung (ohne GTIN/PLU)</v>
      </c>
      <c r="AO7" s="66" t="s">
        <v>219</v>
      </c>
      <c r="AP7" s="65" t="s">
        <v>1440</v>
      </c>
      <c r="AQ7" s="66" t="s">
        <v>217</v>
      </c>
      <c r="AR7" s="30" t="s">
        <v>219</v>
      </c>
    </row>
    <row r="8" spans="1:44" ht="21.75" customHeight="1" x14ac:dyDescent="0.45">
      <c r="B8" s="54" t="s">
        <v>99</v>
      </c>
      <c r="E8" s="55" t="s">
        <v>87</v>
      </c>
      <c r="F8" s="54" t="str">
        <f>"Warengruppe&gt;&gt;"&amp;_xlfn.TEXTJOIN("&gt;&gt;",TRUE,Migrationsartikel!V7:X7)</f>
        <v>Warengruppe&gt;&gt;Backwaren &amp; Convenience&gt;&gt;Brot und Backwaren&gt;&gt;Backwaren andere</v>
      </c>
      <c r="H8" s="55" t="s">
        <v>109</v>
      </c>
      <c r="J8" s="79">
        <f>Migrationsartikel!B7</f>
        <v>0</v>
      </c>
      <c r="L8" s="54" t="str">
        <f>_xlfn.TEXTJOIN(" ",TRUE,Migrationsartikel!F7:H7)</f>
        <v>Bricelets aus der Region 1Stk</v>
      </c>
      <c r="M8" s="54" t="str">
        <f>_xlfn.TEXTJOIN(" ",TRUE,Migrationsartikel!J7:L7)</f>
        <v>Bricelets de la région 1pce</v>
      </c>
      <c r="N8" s="54" t="str">
        <f>_xlfn.TEXTJOIN(" ",TRUE,Migrationsartikel!N7:P7)</f>
        <v>Bricelets della regione 1pz</v>
      </c>
      <c r="O8" s="54" t="str">
        <f>Migrationsartikel!F7</f>
        <v>Bricelets</v>
      </c>
      <c r="P8" s="54" t="str">
        <f>Migrationsartikel!J7</f>
        <v>Bricelets</v>
      </c>
      <c r="Q8" s="54" t="str">
        <f>Migrationsartikel!N7</f>
        <v>Bricelets</v>
      </c>
      <c r="R8" s="54" t="str">
        <f>_xlfn.TEXTJOIN(" ",TRUE,Migrationsartikel!G7)</f>
        <v>aus der Region</v>
      </c>
      <c r="S8" s="54" t="str">
        <f>_xlfn.TEXTJOIN(" ",TRUE,Migrationsartikel!K7)</f>
        <v>de la région</v>
      </c>
      <c r="T8" s="54" t="str">
        <f>_xlfn.TEXTJOIN(" ",TRUE,Migrationsartikel!O7)</f>
        <v>della regione</v>
      </c>
      <c r="U8" s="54" t="str">
        <f>_xlfn.TEXTJOIN(" ",TRUE,Migrationsartikel!H7)</f>
        <v>1Stk</v>
      </c>
      <c r="V8" s="54" t="str">
        <f>_xlfn.TEXTJOIN(" ",TRUE,Migrationsartikel!L7)</f>
        <v>1pce</v>
      </c>
      <c r="W8" s="54" t="str">
        <f>_xlfn.TEXTJOIN(" ",TRUE,Migrationsartikel!P7)</f>
        <v>1pz</v>
      </c>
      <c r="X8" s="54" t="str">
        <f>Migrationsartikel!I7</f>
        <v>Bricelets</v>
      </c>
      <c r="Y8" s="54" t="str">
        <f>Migrationsartikel!M7</f>
        <v>Bricelets</v>
      </c>
      <c r="Z8" s="54" t="str">
        <f>Migrationsartikel!Q7</f>
        <v>Bricelets</v>
      </c>
      <c r="AA8" s="63">
        <f>Migrationsartikel!R7</f>
        <v>1</v>
      </c>
      <c r="AB8" s="54" t="str">
        <f>Migrationsartikel!T7</f>
        <v>Stück</v>
      </c>
      <c r="AC8" s="65">
        <f>Migrationsartikel!S7</f>
        <v>1</v>
      </c>
      <c r="AD8" s="54" t="str">
        <f>Migrationsartikel!U7</f>
        <v>(PCE) Stück</v>
      </c>
      <c r="AE8" s="55" t="s">
        <v>179</v>
      </c>
      <c r="AF8" s="67">
        <f>Migrationsartikel!AA7</f>
        <v>0</v>
      </c>
      <c r="AG8" s="55" t="s">
        <v>192</v>
      </c>
      <c r="AH8" s="54" t="str">
        <f>IF(Migrationsartikel!AB7="ja","true",FALSE)</f>
        <v>true</v>
      </c>
      <c r="AI8" s="54" t="str">
        <f>IF(Migrationsartikel!AC7="ja","true",FALSE)</f>
        <v>true</v>
      </c>
      <c r="AJ8" s="54" t="str">
        <f>IF(Migrationsartikel!AD7="ja","true",FALSE)</f>
        <v>true</v>
      </c>
      <c r="AK8" s="54" t="str">
        <f>IF(Migrationsartikel!AE7="ja","true",FALSE)</f>
        <v>true</v>
      </c>
      <c r="AL8" s="54" t="str">
        <f>IF(Migrationsartikel!AF7="ja","Denner Partner","")</f>
        <v/>
      </c>
      <c r="AM8" s="54" t="str">
        <f>IF(Migrationsartikel!AG7="ja","true","false")</f>
        <v>false</v>
      </c>
      <c r="AN8" s="54" t="str">
        <f t="shared" si="1"/>
        <v>Kassentastenbelegung (ohne GTIN/PLU)</v>
      </c>
      <c r="AO8" s="66" t="s">
        <v>219</v>
      </c>
      <c r="AP8" s="65" t="s">
        <v>1441</v>
      </c>
      <c r="AQ8" s="66" t="s">
        <v>217</v>
      </c>
      <c r="AR8" s="30" t="s">
        <v>219</v>
      </c>
    </row>
    <row r="9" spans="1:44" ht="21.75" customHeight="1" x14ac:dyDescent="0.45">
      <c r="B9" s="54" t="s">
        <v>99</v>
      </c>
      <c r="E9" s="55" t="s">
        <v>87</v>
      </c>
      <c r="F9" s="54" t="str">
        <f>"Warengruppe&gt;&gt;"&amp;_xlfn.TEXTJOIN("&gt;&gt;",TRUE,Migrationsartikel!V8:X8)</f>
        <v>Warengruppe&gt;&gt;Backwaren &amp; Convenience&gt;&gt;Brot und Backwaren&gt;&gt;Backwaren andere</v>
      </c>
      <c r="H9" s="55" t="s">
        <v>109</v>
      </c>
      <c r="J9" s="79">
        <f>Migrationsartikel!B8</f>
        <v>0</v>
      </c>
      <c r="L9" s="54" t="str">
        <f>_xlfn.TEXTJOIN(" ",TRUE,Migrationsartikel!F8:H8)</f>
        <v>Brioche mit Füllung aus der Region 1Stk</v>
      </c>
      <c r="M9" s="54" t="str">
        <f>_xlfn.TEXTJOIN(" ",TRUE,Migrationsartikel!J8:L8)</f>
        <v>Brioche fourée de la région 1pce</v>
      </c>
      <c r="N9" s="54" t="str">
        <f>_xlfn.TEXTJOIN(" ",TRUE,Migrationsartikel!N8:P8)</f>
        <v>Brioche ripiena della regione 1pz</v>
      </c>
      <c r="O9" s="54" t="str">
        <f>Migrationsartikel!F8</f>
        <v>Brioche mit Füllung</v>
      </c>
      <c r="P9" s="54" t="str">
        <f>Migrationsartikel!J8</f>
        <v>Brioche fourée</v>
      </c>
      <c r="Q9" s="54" t="str">
        <f>Migrationsartikel!N8</f>
        <v>Brioche ripiena</v>
      </c>
      <c r="R9" s="54" t="str">
        <f>_xlfn.TEXTJOIN(" ",TRUE,Migrationsartikel!G8)</f>
        <v>aus der Region</v>
      </c>
      <c r="S9" s="54" t="str">
        <f>_xlfn.TEXTJOIN(" ",TRUE,Migrationsartikel!K8)</f>
        <v>de la région</v>
      </c>
      <c r="T9" s="54" t="str">
        <f>_xlfn.TEXTJOIN(" ",TRUE,Migrationsartikel!O8)</f>
        <v>della regione</v>
      </c>
      <c r="U9" s="54" t="str">
        <f>_xlfn.TEXTJOIN(" ",TRUE,Migrationsartikel!H8)</f>
        <v>1Stk</v>
      </c>
      <c r="V9" s="54" t="str">
        <f>_xlfn.TEXTJOIN(" ",TRUE,Migrationsartikel!L8)</f>
        <v>1pce</v>
      </c>
      <c r="W9" s="54" t="str">
        <f>_xlfn.TEXTJOIN(" ",TRUE,Migrationsartikel!P8)</f>
        <v>1pz</v>
      </c>
      <c r="X9" s="54" t="str">
        <f>Migrationsartikel!I8</f>
        <v>Brioche mit Füllung</v>
      </c>
      <c r="Y9" s="54" t="str">
        <f>Migrationsartikel!M8</f>
        <v>Brioche fourée</v>
      </c>
      <c r="Z9" s="54" t="str">
        <f>Migrationsartikel!Q8</f>
        <v>Brioche ripiena</v>
      </c>
      <c r="AA9" s="63">
        <f>Migrationsartikel!R8</f>
        <v>1</v>
      </c>
      <c r="AB9" s="54" t="str">
        <f>Migrationsartikel!T8</f>
        <v>Stück</v>
      </c>
      <c r="AC9" s="65">
        <f>Migrationsartikel!S8</f>
        <v>1</v>
      </c>
      <c r="AD9" s="54" t="str">
        <f>Migrationsartikel!U8</f>
        <v>(PCE) Stück</v>
      </c>
      <c r="AE9" s="55" t="s">
        <v>179</v>
      </c>
      <c r="AF9" s="67">
        <f>Migrationsartikel!AA8</f>
        <v>0</v>
      </c>
      <c r="AG9" s="55" t="s">
        <v>192</v>
      </c>
      <c r="AH9" s="54" t="str">
        <f>IF(Migrationsartikel!AB8="ja","true",FALSE)</f>
        <v>true</v>
      </c>
      <c r="AI9" s="54" t="str">
        <f>IF(Migrationsartikel!AC8="ja","true",FALSE)</f>
        <v>true</v>
      </c>
      <c r="AJ9" s="54" t="str">
        <f>IF(Migrationsartikel!AD8="ja","true",FALSE)</f>
        <v>true</v>
      </c>
      <c r="AK9" s="54" t="str">
        <f>IF(Migrationsartikel!AE8="ja","true",FALSE)</f>
        <v>true</v>
      </c>
      <c r="AL9" s="54" t="str">
        <f>IF(Migrationsartikel!AF8="ja","Denner Partner","")</f>
        <v/>
      </c>
      <c r="AM9" s="54" t="str">
        <f>IF(Migrationsartikel!AG8="ja","true","false")</f>
        <v>false</v>
      </c>
      <c r="AN9" s="54" t="str">
        <f t="shared" si="1"/>
        <v>Kassentastenbelegung (ohne GTIN/PLU)</v>
      </c>
      <c r="AO9" s="66" t="s">
        <v>219</v>
      </c>
      <c r="AP9" s="65" t="s">
        <v>1442</v>
      </c>
      <c r="AQ9" s="66" t="s">
        <v>217</v>
      </c>
      <c r="AR9" s="30" t="s">
        <v>219</v>
      </c>
    </row>
    <row r="10" spans="1:44" ht="21.75" customHeight="1" x14ac:dyDescent="0.45">
      <c r="B10" s="54" t="s">
        <v>99</v>
      </c>
      <c r="E10" s="55" t="s">
        <v>87</v>
      </c>
      <c r="F10" s="54" t="str">
        <f>"Warengruppe&gt;&gt;"&amp;_xlfn.TEXTJOIN("&gt;&gt;",TRUE,Migrationsartikel!V9:X9)</f>
        <v>Warengruppe&gt;&gt;Backwaren &amp; Convenience&gt;&gt;Brot und Backwaren&gt;&gt;Backwaren andere</v>
      </c>
      <c r="H10" s="55" t="s">
        <v>109</v>
      </c>
      <c r="J10" s="79">
        <f>Migrationsartikel!B9</f>
        <v>0</v>
      </c>
      <c r="L10" s="54" t="str">
        <f>_xlfn.TEXTJOIN(" ",TRUE,Migrationsartikel!F9:H9)</f>
        <v>Brot vom Beck aus der Region 1Stk</v>
      </c>
      <c r="M10" s="54" t="str">
        <f>_xlfn.TEXTJOIN(" ",TRUE,Migrationsartikel!J9:L9)</f>
        <v>Pain du boulanger de la région 1pce</v>
      </c>
      <c r="N10" s="54" t="str">
        <f>_xlfn.TEXTJOIN(" ",TRUE,Migrationsartikel!N9:P9)</f>
        <v>Pane del panettiere della regione 1pz</v>
      </c>
      <c r="O10" s="54" t="str">
        <f>Migrationsartikel!F9</f>
        <v>Brot vom Beck</v>
      </c>
      <c r="P10" s="54" t="str">
        <f>Migrationsartikel!J9</f>
        <v>Pain du boulanger</v>
      </c>
      <c r="Q10" s="54" t="str">
        <f>Migrationsartikel!N9</f>
        <v>Pane del panettiere</v>
      </c>
      <c r="R10" s="54" t="str">
        <f>_xlfn.TEXTJOIN(" ",TRUE,Migrationsartikel!G9)</f>
        <v>aus der Region</v>
      </c>
      <c r="S10" s="54" t="str">
        <f>_xlfn.TEXTJOIN(" ",TRUE,Migrationsartikel!K9)</f>
        <v>de la région</v>
      </c>
      <c r="T10" s="54" t="str">
        <f>_xlfn.TEXTJOIN(" ",TRUE,Migrationsartikel!O9)</f>
        <v>della regione</v>
      </c>
      <c r="U10" s="54" t="str">
        <f>_xlfn.TEXTJOIN(" ",TRUE,Migrationsartikel!H9)</f>
        <v>1Stk</v>
      </c>
      <c r="V10" s="54" t="str">
        <f>_xlfn.TEXTJOIN(" ",TRUE,Migrationsartikel!L9)</f>
        <v>1pce</v>
      </c>
      <c r="W10" s="54" t="str">
        <f>_xlfn.TEXTJOIN(" ",TRUE,Migrationsartikel!P9)</f>
        <v>1pz</v>
      </c>
      <c r="X10" s="54" t="str">
        <f>Migrationsartikel!I9</f>
        <v>Brot vom Beck</v>
      </c>
      <c r="Y10" s="54" t="str">
        <f>Migrationsartikel!M9</f>
        <v>Pain du boulanger</v>
      </c>
      <c r="Z10" s="54" t="str">
        <f>Migrationsartikel!Q9</f>
        <v>Pane del panettiere</v>
      </c>
      <c r="AA10" s="63">
        <f>Migrationsartikel!R9</f>
        <v>1</v>
      </c>
      <c r="AB10" s="54" t="str">
        <f>Migrationsartikel!T9</f>
        <v>Stück</v>
      </c>
      <c r="AC10" s="65">
        <f>Migrationsartikel!S9</f>
        <v>1</v>
      </c>
      <c r="AD10" s="54" t="str">
        <f>Migrationsartikel!U9</f>
        <v>(PCE) Stück</v>
      </c>
      <c r="AE10" s="55" t="s">
        <v>179</v>
      </c>
      <c r="AF10" s="67">
        <f>Migrationsartikel!AA9</f>
        <v>0</v>
      </c>
      <c r="AG10" s="55" t="s">
        <v>192</v>
      </c>
      <c r="AH10" s="54" t="str">
        <f>IF(Migrationsartikel!AB9="ja","true",FALSE)</f>
        <v>true</v>
      </c>
      <c r="AI10" s="54" t="str">
        <f>IF(Migrationsartikel!AC9="ja","true",FALSE)</f>
        <v>true</v>
      </c>
      <c r="AJ10" s="54" t="str">
        <f>IF(Migrationsartikel!AD9="ja","true",FALSE)</f>
        <v>true</v>
      </c>
      <c r="AK10" s="54" t="str">
        <f>IF(Migrationsartikel!AE9="ja","true",FALSE)</f>
        <v>true</v>
      </c>
      <c r="AL10" s="54" t="str">
        <f>IF(Migrationsartikel!AF9="ja","Denner Partner","")</f>
        <v/>
      </c>
      <c r="AM10" s="54" t="str">
        <f>IF(Migrationsartikel!AG9="ja","true","false")</f>
        <v>false</v>
      </c>
      <c r="AN10" s="54" t="str">
        <f t="shared" si="1"/>
        <v>Kassentastenbelegung (ohne GTIN/PLU)</v>
      </c>
      <c r="AO10" s="66" t="s">
        <v>219</v>
      </c>
      <c r="AP10" s="65" t="s">
        <v>1443</v>
      </c>
      <c r="AQ10" s="66" t="s">
        <v>217</v>
      </c>
      <c r="AR10" s="30" t="s">
        <v>219</v>
      </c>
    </row>
    <row r="11" spans="1:44" ht="21.75" customHeight="1" x14ac:dyDescent="0.45">
      <c r="B11" s="54" t="s">
        <v>99</v>
      </c>
      <c r="E11" s="55" t="s">
        <v>87</v>
      </c>
      <c r="F11" s="54" t="str">
        <f>"Warengruppe&gt;&gt;"&amp;_xlfn.TEXTJOIN("&gt;&gt;",TRUE,Migrationsartikel!V10:X10)</f>
        <v>Warengruppe&gt;&gt;Backwaren &amp; Convenience&gt;&gt;Brot und Backwaren&gt;&gt;Backwaren andere</v>
      </c>
      <c r="H11" s="55" t="s">
        <v>109</v>
      </c>
      <c r="J11" s="79">
        <f>Migrationsartikel!B10</f>
        <v>0</v>
      </c>
      <c r="L11" s="54" t="str">
        <f>_xlfn.TEXTJOIN(" ",TRUE,Migrationsartikel!F10:H10)</f>
        <v>Brottheke aus der Region 1Stk</v>
      </c>
      <c r="M11" s="54" t="str">
        <f>_xlfn.TEXTJOIN(" ",TRUE,Migrationsartikel!J10:L10)</f>
        <v>Comptoir à pain de la région 1pce</v>
      </c>
      <c r="N11" s="54" t="str">
        <f>_xlfn.TEXTJOIN(" ",TRUE,Migrationsartikel!N10:P10)</f>
        <v>Banco pane della regione 1pz</v>
      </c>
      <c r="O11" s="54" t="str">
        <f>Migrationsartikel!F10</f>
        <v>Brottheke</v>
      </c>
      <c r="P11" s="54" t="str">
        <f>Migrationsartikel!J10</f>
        <v>Comptoir à pain</v>
      </c>
      <c r="Q11" s="54" t="str">
        <f>Migrationsartikel!N10</f>
        <v>Banco pane</v>
      </c>
      <c r="R11" s="54" t="str">
        <f>_xlfn.TEXTJOIN(" ",TRUE,Migrationsartikel!G10)</f>
        <v>aus der Region</v>
      </c>
      <c r="S11" s="54" t="str">
        <f>_xlfn.TEXTJOIN(" ",TRUE,Migrationsartikel!K10)</f>
        <v>de la région</v>
      </c>
      <c r="T11" s="54" t="str">
        <f>_xlfn.TEXTJOIN(" ",TRUE,Migrationsartikel!O10)</f>
        <v>della regione</v>
      </c>
      <c r="U11" s="54" t="str">
        <f>_xlfn.TEXTJOIN(" ",TRUE,Migrationsartikel!H10)</f>
        <v>1Stk</v>
      </c>
      <c r="V11" s="54" t="str">
        <f>_xlfn.TEXTJOIN(" ",TRUE,Migrationsartikel!L10)</f>
        <v>1pce</v>
      </c>
      <c r="W11" s="54" t="str">
        <f>_xlfn.TEXTJOIN(" ",TRUE,Migrationsartikel!P10)</f>
        <v>1pz</v>
      </c>
      <c r="X11" s="54" t="str">
        <f>Migrationsartikel!I10</f>
        <v>Brottheke</v>
      </c>
      <c r="Y11" s="54" t="str">
        <f>Migrationsartikel!M10</f>
        <v>Comptoir à pain</v>
      </c>
      <c r="Z11" s="54" t="str">
        <f>Migrationsartikel!Q10</f>
        <v>Banco pane</v>
      </c>
      <c r="AA11" s="63">
        <f>Migrationsartikel!R10</f>
        <v>1</v>
      </c>
      <c r="AB11" s="54" t="str">
        <f>Migrationsartikel!T10</f>
        <v>Stück</v>
      </c>
      <c r="AC11" s="65">
        <f>Migrationsartikel!S10</f>
        <v>1</v>
      </c>
      <c r="AD11" s="54" t="str">
        <f>Migrationsartikel!U10</f>
        <v>(PCE) Stück</v>
      </c>
      <c r="AE11" s="55" t="s">
        <v>179</v>
      </c>
      <c r="AF11" s="67">
        <f>Migrationsartikel!AA10</f>
        <v>0</v>
      </c>
      <c r="AG11" s="55" t="s">
        <v>192</v>
      </c>
      <c r="AH11" s="54" t="str">
        <f>IF(Migrationsartikel!AB10="ja","true",FALSE)</f>
        <v>true</v>
      </c>
      <c r="AI11" s="54" t="str">
        <f>IF(Migrationsartikel!AC10="ja","true",FALSE)</f>
        <v>true</v>
      </c>
      <c r="AJ11" s="54" t="str">
        <f>IF(Migrationsartikel!AD10="ja","true",FALSE)</f>
        <v>true</v>
      </c>
      <c r="AK11" s="54" t="str">
        <f>IF(Migrationsartikel!AE10="ja","true",FALSE)</f>
        <v>true</v>
      </c>
      <c r="AL11" s="54" t="str">
        <f>IF(Migrationsartikel!AF10="ja","Denner Partner","")</f>
        <v/>
      </c>
      <c r="AM11" s="54" t="str">
        <f>IF(Migrationsartikel!AG10="ja","true","false")</f>
        <v>false</v>
      </c>
      <c r="AN11" s="54" t="str">
        <f t="shared" si="1"/>
        <v>Kassentastenbelegung (ohne GTIN/PLU)</v>
      </c>
      <c r="AO11" s="66" t="s">
        <v>219</v>
      </c>
      <c r="AP11" s="65" t="s">
        <v>1444</v>
      </c>
      <c r="AQ11" s="66" t="s">
        <v>217</v>
      </c>
      <c r="AR11" s="30" t="s">
        <v>219</v>
      </c>
    </row>
    <row r="12" spans="1:44" ht="21.75" customHeight="1" x14ac:dyDescent="0.45">
      <c r="B12" s="54" t="s">
        <v>99</v>
      </c>
      <c r="E12" s="55" t="s">
        <v>87</v>
      </c>
      <c r="F12" s="54" t="str">
        <f>"Warengruppe&gt;&gt;"&amp;_xlfn.TEXTJOIN("&gt;&gt;",TRUE,Migrationsartikel!V11:X11)</f>
        <v>Warengruppe&gt;&gt;Backwaren &amp; Convenience&gt;&gt;Brot und Backwaren&gt;&gt;Backwaren andere</v>
      </c>
      <c r="H12" s="55" t="s">
        <v>109</v>
      </c>
      <c r="J12" s="79">
        <f>Migrationsartikel!B11</f>
        <v>0</v>
      </c>
      <c r="L12" s="54" t="str">
        <f>_xlfn.TEXTJOIN(" ",TRUE,Migrationsartikel!F11:H11)</f>
        <v>Bürli aus der Region 1Stk</v>
      </c>
      <c r="M12" s="54" t="str">
        <f>_xlfn.TEXTJOIN(" ",TRUE,Migrationsartikel!J11:L11)</f>
        <v>Bürli de la région 1pce</v>
      </c>
      <c r="N12" s="54" t="str">
        <f>_xlfn.TEXTJOIN(" ",TRUE,Migrationsartikel!N11:P11)</f>
        <v>Bürli della regione 1pz</v>
      </c>
      <c r="O12" s="54" t="str">
        <f>Migrationsartikel!F11</f>
        <v>Bürli</v>
      </c>
      <c r="P12" s="54" t="str">
        <f>Migrationsartikel!J11</f>
        <v>Bürli</v>
      </c>
      <c r="Q12" s="54" t="str">
        <f>Migrationsartikel!N11</f>
        <v>Bürli</v>
      </c>
      <c r="R12" s="54" t="str">
        <f>_xlfn.TEXTJOIN(" ",TRUE,Migrationsartikel!G11)</f>
        <v>aus der Region</v>
      </c>
      <c r="S12" s="54" t="str">
        <f>_xlfn.TEXTJOIN(" ",TRUE,Migrationsartikel!K11)</f>
        <v>de la région</v>
      </c>
      <c r="T12" s="54" t="str">
        <f>_xlfn.TEXTJOIN(" ",TRUE,Migrationsartikel!O11)</f>
        <v>della regione</v>
      </c>
      <c r="U12" s="54" t="str">
        <f>_xlfn.TEXTJOIN(" ",TRUE,Migrationsartikel!H11)</f>
        <v>1Stk</v>
      </c>
      <c r="V12" s="54" t="str">
        <f>_xlfn.TEXTJOIN(" ",TRUE,Migrationsartikel!L11)</f>
        <v>1pce</v>
      </c>
      <c r="W12" s="54" t="str">
        <f>_xlfn.TEXTJOIN(" ",TRUE,Migrationsartikel!P11)</f>
        <v>1pz</v>
      </c>
      <c r="X12" s="54" t="str">
        <f>Migrationsartikel!I11</f>
        <v>Bürli</v>
      </c>
      <c r="Y12" s="54" t="str">
        <f>Migrationsartikel!M11</f>
        <v>Bürli</v>
      </c>
      <c r="Z12" s="54" t="str">
        <f>Migrationsartikel!Q11</f>
        <v>Bürli</v>
      </c>
      <c r="AA12" s="63">
        <f>Migrationsartikel!R11</f>
        <v>1</v>
      </c>
      <c r="AB12" s="54" t="str">
        <f>Migrationsartikel!T11</f>
        <v>Stück</v>
      </c>
      <c r="AC12" s="65">
        <f>Migrationsartikel!S11</f>
        <v>1</v>
      </c>
      <c r="AD12" s="54" t="str">
        <f>Migrationsartikel!U11</f>
        <v>(PCE) Stück</v>
      </c>
      <c r="AE12" s="55" t="s">
        <v>179</v>
      </c>
      <c r="AF12" s="67">
        <f>Migrationsartikel!AA11</f>
        <v>0</v>
      </c>
      <c r="AG12" s="55" t="s">
        <v>192</v>
      </c>
      <c r="AH12" s="54" t="str">
        <f>IF(Migrationsartikel!AB11="ja","true",FALSE)</f>
        <v>true</v>
      </c>
      <c r="AI12" s="54" t="str">
        <f>IF(Migrationsartikel!AC11="ja","true",FALSE)</f>
        <v>true</v>
      </c>
      <c r="AJ12" s="54" t="str">
        <f>IF(Migrationsartikel!AD11="ja","true",FALSE)</f>
        <v>true</v>
      </c>
      <c r="AK12" s="54" t="str">
        <f>IF(Migrationsartikel!AE11="ja","true",FALSE)</f>
        <v>true</v>
      </c>
      <c r="AL12" s="54" t="str">
        <f>IF(Migrationsartikel!AF11="ja","Denner Partner","")</f>
        <v/>
      </c>
      <c r="AM12" s="54" t="str">
        <f>IF(Migrationsartikel!AG11="ja","true","false")</f>
        <v>false</v>
      </c>
      <c r="AN12" s="54" t="str">
        <f t="shared" si="1"/>
        <v>Kassentastenbelegung (ohne GTIN/PLU)</v>
      </c>
      <c r="AO12" s="66" t="s">
        <v>219</v>
      </c>
      <c r="AP12" s="65" t="s">
        <v>1445</v>
      </c>
      <c r="AQ12" s="66" t="s">
        <v>217</v>
      </c>
      <c r="AR12" s="30" t="s">
        <v>219</v>
      </c>
    </row>
    <row r="13" spans="1:44" ht="21.75" customHeight="1" x14ac:dyDescent="0.45">
      <c r="B13" s="54" t="s">
        <v>99</v>
      </c>
      <c r="E13" s="55" t="s">
        <v>87</v>
      </c>
      <c r="F13" s="54" t="str">
        <f>"Warengruppe&gt;&gt;"&amp;_xlfn.TEXTJOIN("&gt;&gt;",TRUE,Migrationsartikel!V12:X12)</f>
        <v>Warengruppe&gt;&gt;Backwaren &amp; Convenience&gt;&gt;Brot und Backwaren&gt;&gt;Backwaren andere</v>
      </c>
      <c r="H13" s="55" t="s">
        <v>109</v>
      </c>
      <c r="J13" s="79">
        <f>Migrationsartikel!B12</f>
        <v>0</v>
      </c>
      <c r="L13" s="54" t="str">
        <f>_xlfn.TEXTJOIN(" ",TRUE,Migrationsartikel!F12:H12)</f>
        <v>Buttergipfel aus der Region 1Stk</v>
      </c>
      <c r="M13" s="54" t="str">
        <f>_xlfn.TEXTJOIN(" ",TRUE,Migrationsartikel!J12:L12)</f>
        <v>Croissant au beurre de la région 1pce</v>
      </c>
      <c r="N13" s="54" t="str">
        <f>_xlfn.TEXTJOIN(" ",TRUE,Migrationsartikel!N12:P12)</f>
        <v>Cornetto al burro della regione 1pz</v>
      </c>
      <c r="O13" s="54" t="str">
        <f>Migrationsartikel!F12</f>
        <v>Buttergipfel</v>
      </c>
      <c r="P13" s="54" t="str">
        <f>Migrationsartikel!J12</f>
        <v>Croissant au beurre</v>
      </c>
      <c r="Q13" s="54" t="str">
        <f>Migrationsartikel!N12</f>
        <v>Cornetto al burro</v>
      </c>
      <c r="R13" s="54" t="str">
        <f>_xlfn.TEXTJOIN(" ",TRUE,Migrationsartikel!G12)</f>
        <v>aus der Region</v>
      </c>
      <c r="S13" s="54" t="str">
        <f>_xlfn.TEXTJOIN(" ",TRUE,Migrationsartikel!K12)</f>
        <v>de la région</v>
      </c>
      <c r="T13" s="54" t="str">
        <f>_xlfn.TEXTJOIN(" ",TRUE,Migrationsartikel!O12)</f>
        <v>della regione</v>
      </c>
      <c r="U13" s="54" t="str">
        <f>_xlfn.TEXTJOIN(" ",TRUE,Migrationsartikel!H12)</f>
        <v>1Stk</v>
      </c>
      <c r="V13" s="54" t="str">
        <f>_xlfn.TEXTJOIN(" ",TRUE,Migrationsartikel!L12)</f>
        <v>1pce</v>
      </c>
      <c r="W13" s="54" t="str">
        <f>_xlfn.TEXTJOIN(" ",TRUE,Migrationsartikel!P12)</f>
        <v>1pz</v>
      </c>
      <c r="X13" s="54" t="str">
        <f>Migrationsartikel!I12</f>
        <v>Buttergipfel</v>
      </c>
      <c r="Y13" s="54" t="str">
        <f>Migrationsartikel!M12</f>
        <v>Croissant au beurre</v>
      </c>
      <c r="Z13" s="54" t="str">
        <f>Migrationsartikel!Q12</f>
        <v>Cornetto al burro</v>
      </c>
      <c r="AA13" s="63">
        <f>Migrationsartikel!R12</f>
        <v>1</v>
      </c>
      <c r="AB13" s="54" t="str">
        <f>Migrationsartikel!T12</f>
        <v>Stück</v>
      </c>
      <c r="AC13" s="65">
        <f>Migrationsartikel!S12</f>
        <v>1</v>
      </c>
      <c r="AD13" s="54" t="str">
        <f>Migrationsartikel!U12</f>
        <v>(PCE) Stück</v>
      </c>
      <c r="AE13" s="55" t="s">
        <v>179</v>
      </c>
      <c r="AF13" s="67">
        <f>Migrationsartikel!AA12</f>
        <v>0</v>
      </c>
      <c r="AG13" s="55" t="s">
        <v>192</v>
      </c>
      <c r="AH13" s="54" t="str">
        <f>IF(Migrationsartikel!AB12="ja","true",FALSE)</f>
        <v>true</v>
      </c>
      <c r="AI13" s="54" t="str">
        <f>IF(Migrationsartikel!AC12="ja","true",FALSE)</f>
        <v>true</v>
      </c>
      <c r="AJ13" s="54" t="str">
        <f>IF(Migrationsartikel!AD12="ja","true",FALSE)</f>
        <v>true</v>
      </c>
      <c r="AK13" s="54" t="str">
        <f>IF(Migrationsartikel!AE12="ja","true",FALSE)</f>
        <v>true</v>
      </c>
      <c r="AL13" s="54" t="str">
        <f>IF(Migrationsartikel!AF12="ja","Denner Partner","")</f>
        <v/>
      </c>
      <c r="AM13" s="54" t="str">
        <f>IF(Migrationsartikel!AG12="ja","true","false")</f>
        <v>false</v>
      </c>
      <c r="AN13" s="54" t="str">
        <f t="shared" si="1"/>
        <v>Kassentastenbelegung (ohne GTIN/PLU)</v>
      </c>
      <c r="AO13" s="66" t="s">
        <v>219</v>
      </c>
      <c r="AP13" s="65" t="s">
        <v>1446</v>
      </c>
      <c r="AQ13" s="66" t="s">
        <v>217</v>
      </c>
      <c r="AR13" s="30" t="s">
        <v>219</v>
      </c>
    </row>
    <row r="14" spans="1:44" ht="21.75" customHeight="1" x14ac:dyDescent="0.45">
      <c r="B14" s="54" t="s">
        <v>99</v>
      </c>
      <c r="E14" s="55" t="s">
        <v>87</v>
      </c>
      <c r="F14" s="54" t="str">
        <f>"Warengruppe&gt;&gt;"&amp;_xlfn.TEXTJOIN("&gt;&gt;",TRUE,Migrationsartikel!V13:X13)</f>
        <v>Warengruppe&gt;&gt;Backwaren &amp; Convenience&gt;&gt;Brot und Backwaren&gt;&gt;Backwaren andere</v>
      </c>
      <c r="H14" s="55" t="s">
        <v>109</v>
      </c>
      <c r="J14" s="79">
        <f>Migrationsartikel!B13</f>
        <v>0</v>
      </c>
      <c r="L14" s="54" t="str">
        <f>_xlfn.TEXTJOIN(" ",TRUE,Migrationsartikel!F13:H13)</f>
        <v>Butterzopf aus der Region 300g</v>
      </c>
      <c r="M14" s="54" t="str">
        <f>_xlfn.TEXTJOIN(" ",TRUE,Migrationsartikel!J13:L13)</f>
        <v>Tresse de la région 300g</v>
      </c>
      <c r="N14" s="54" t="str">
        <f>_xlfn.TEXTJOIN(" ",TRUE,Migrationsartikel!N13:P13)</f>
        <v>Treccia della regione 300g</v>
      </c>
      <c r="O14" s="54" t="str">
        <f>Migrationsartikel!F13</f>
        <v>Butterzopf</v>
      </c>
      <c r="P14" s="54" t="str">
        <f>Migrationsartikel!J13</f>
        <v>Tresse</v>
      </c>
      <c r="Q14" s="54" t="str">
        <f>Migrationsartikel!N13</f>
        <v>Treccia</v>
      </c>
      <c r="R14" s="54" t="str">
        <f>_xlfn.TEXTJOIN(" ",TRUE,Migrationsartikel!G13)</f>
        <v>aus der Region</v>
      </c>
      <c r="S14" s="54" t="str">
        <f>_xlfn.TEXTJOIN(" ",TRUE,Migrationsartikel!K13)</f>
        <v>de la région</v>
      </c>
      <c r="T14" s="54" t="str">
        <f>_xlfn.TEXTJOIN(" ",TRUE,Migrationsartikel!O13)</f>
        <v>della regione</v>
      </c>
      <c r="U14" s="54" t="str">
        <f>_xlfn.TEXTJOIN(" ",TRUE,Migrationsartikel!H13)</f>
        <v>300g</v>
      </c>
      <c r="V14" s="54" t="str">
        <f>_xlfn.TEXTJOIN(" ",TRUE,Migrationsartikel!L13)</f>
        <v>300g</v>
      </c>
      <c r="W14" s="54" t="str">
        <f>_xlfn.TEXTJOIN(" ",TRUE,Migrationsartikel!P13)</f>
        <v>300g</v>
      </c>
      <c r="X14" s="54" t="str">
        <f>Migrationsartikel!I13</f>
        <v>Butterzopf 300g</v>
      </c>
      <c r="Y14" s="54" t="str">
        <f>Migrationsartikel!M13</f>
        <v>Tresse 300g</v>
      </c>
      <c r="Z14" s="54" t="str">
        <f>Migrationsartikel!Q13</f>
        <v>Treccia 300g</v>
      </c>
      <c r="AA14" s="63">
        <f>Migrationsartikel!R13</f>
        <v>0.3</v>
      </c>
      <c r="AB14" s="54" t="str">
        <f>Migrationsartikel!T13</f>
        <v>Gramm</v>
      </c>
      <c r="AC14" s="65">
        <f>Migrationsartikel!S13</f>
        <v>100</v>
      </c>
      <c r="AD14" s="54" t="str">
        <f>Migrationsartikel!U13</f>
        <v>(PCE) Stück</v>
      </c>
      <c r="AE14" s="55" t="s">
        <v>179</v>
      </c>
      <c r="AF14" s="67">
        <f>Migrationsartikel!AA13</f>
        <v>0</v>
      </c>
      <c r="AG14" s="55" t="s">
        <v>192</v>
      </c>
      <c r="AH14" s="54" t="str">
        <f>IF(Migrationsartikel!AB13="ja","true",FALSE)</f>
        <v>true</v>
      </c>
      <c r="AI14" s="54" t="str">
        <f>IF(Migrationsartikel!AC13="ja","true",FALSE)</f>
        <v>true</v>
      </c>
      <c r="AJ14" s="54" t="str">
        <f>IF(Migrationsartikel!AD13="ja","true",FALSE)</f>
        <v>true</v>
      </c>
      <c r="AK14" s="54" t="str">
        <f>IF(Migrationsartikel!AE13="ja","true",FALSE)</f>
        <v>true</v>
      </c>
      <c r="AL14" s="54" t="str">
        <f>IF(Migrationsartikel!AF13="ja","Denner Partner","")</f>
        <v/>
      </c>
      <c r="AM14" s="54" t="str">
        <f>IF(Migrationsartikel!AG13="ja","true","false")</f>
        <v>false</v>
      </c>
      <c r="AN14" s="54" t="str">
        <f t="shared" si="1"/>
        <v>Kassentastenbelegung (ohne GTIN/PLU)</v>
      </c>
      <c r="AO14" s="66" t="s">
        <v>219</v>
      </c>
      <c r="AP14" s="65" t="s">
        <v>1447</v>
      </c>
      <c r="AQ14" s="66" t="s">
        <v>217</v>
      </c>
      <c r="AR14" s="30" t="s">
        <v>219</v>
      </c>
    </row>
    <row r="15" spans="1:44" ht="21.75" customHeight="1" x14ac:dyDescent="0.45">
      <c r="B15" s="54" t="s">
        <v>99</v>
      </c>
      <c r="E15" s="55" t="s">
        <v>87</v>
      </c>
      <c r="F15" s="54" t="str">
        <f>"Warengruppe&gt;&gt;"&amp;_xlfn.TEXTJOIN("&gt;&gt;",TRUE,Migrationsartikel!V14:X14)</f>
        <v>Warengruppe&gt;&gt;Backwaren &amp; Convenience&gt;&gt;Brot und Backwaren&gt;&gt;Backwaren andere</v>
      </c>
      <c r="H15" s="55" t="s">
        <v>109</v>
      </c>
      <c r="J15" s="79">
        <f>Migrationsartikel!B14</f>
        <v>0</v>
      </c>
      <c r="L15" s="54" t="str">
        <f>_xlfn.TEXTJOIN(" ",TRUE,Migrationsartikel!F14:H14)</f>
        <v>Butterzopf aus der Region 500g</v>
      </c>
      <c r="M15" s="54" t="str">
        <f>_xlfn.TEXTJOIN(" ",TRUE,Migrationsartikel!J14:L14)</f>
        <v>Tresse de la région 500g</v>
      </c>
      <c r="N15" s="54" t="str">
        <f>_xlfn.TEXTJOIN(" ",TRUE,Migrationsartikel!N14:P14)</f>
        <v>Treccia della regione 500g</v>
      </c>
      <c r="O15" s="54" t="str">
        <f>Migrationsartikel!F14</f>
        <v>Butterzopf</v>
      </c>
      <c r="P15" s="54" t="str">
        <f>Migrationsartikel!J14</f>
        <v>Tresse</v>
      </c>
      <c r="Q15" s="54" t="str">
        <f>Migrationsartikel!N14</f>
        <v>Treccia</v>
      </c>
      <c r="R15" s="54" t="str">
        <f>_xlfn.TEXTJOIN(" ",TRUE,Migrationsartikel!G14)</f>
        <v>aus der Region</v>
      </c>
      <c r="S15" s="54" t="str">
        <f>_xlfn.TEXTJOIN(" ",TRUE,Migrationsartikel!K14)</f>
        <v>de la région</v>
      </c>
      <c r="T15" s="54" t="str">
        <f>_xlfn.TEXTJOIN(" ",TRUE,Migrationsartikel!O14)</f>
        <v>della regione</v>
      </c>
      <c r="U15" s="54" t="str">
        <f>_xlfn.TEXTJOIN(" ",TRUE,Migrationsartikel!H14)</f>
        <v>500g</v>
      </c>
      <c r="V15" s="54" t="str">
        <f>_xlfn.TEXTJOIN(" ",TRUE,Migrationsartikel!L14)</f>
        <v>500g</v>
      </c>
      <c r="W15" s="54" t="str">
        <f>_xlfn.TEXTJOIN(" ",TRUE,Migrationsartikel!P14)</f>
        <v>500g</v>
      </c>
      <c r="X15" s="54" t="str">
        <f>Migrationsartikel!I14</f>
        <v>Butterzopf 500g</v>
      </c>
      <c r="Y15" s="54" t="str">
        <f>Migrationsartikel!M14</f>
        <v>Tresse 500g</v>
      </c>
      <c r="Z15" s="54" t="str">
        <f>Migrationsartikel!Q14</f>
        <v>Treccia 500g</v>
      </c>
      <c r="AA15" s="63">
        <f>Migrationsartikel!R14</f>
        <v>0.5</v>
      </c>
      <c r="AB15" s="54" t="str">
        <f>Migrationsartikel!T14</f>
        <v>Gramm</v>
      </c>
      <c r="AC15" s="65">
        <f>Migrationsartikel!S14</f>
        <v>100</v>
      </c>
      <c r="AD15" s="54" t="str">
        <f>Migrationsartikel!U14</f>
        <v>(PCE) Stück</v>
      </c>
      <c r="AE15" s="55" t="s">
        <v>179</v>
      </c>
      <c r="AF15" s="67">
        <f>Migrationsartikel!AA14</f>
        <v>0</v>
      </c>
      <c r="AG15" s="55" t="s">
        <v>192</v>
      </c>
      <c r="AH15" s="54" t="str">
        <f>IF(Migrationsartikel!AB14="ja","true",FALSE)</f>
        <v>true</v>
      </c>
      <c r="AI15" s="54" t="str">
        <f>IF(Migrationsartikel!AC14="ja","true",FALSE)</f>
        <v>true</v>
      </c>
      <c r="AJ15" s="54" t="str">
        <f>IF(Migrationsartikel!AD14="ja","true",FALSE)</f>
        <v>true</v>
      </c>
      <c r="AK15" s="54" t="str">
        <f>IF(Migrationsartikel!AE14="ja","true",FALSE)</f>
        <v>true</v>
      </c>
      <c r="AL15" s="54" t="str">
        <f>IF(Migrationsartikel!AF14="ja","Denner Partner","")</f>
        <v/>
      </c>
      <c r="AM15" s="54" t="str">
        <f>IF(Migrationsartikel!AG14="ja","true","false")</f>
        <v>false</v>
      </c>
      <c r="AN15" s="54" t="str">
        <f t="shared" si="1"/>
        <v>Kassentastenbelegung (ohne GTIN/PLU)</v>
      </c>
      <c r="AO15" s="66" t="s">
        <v>219</v>
      </c>
      <c r="AP15" s="65" t="s">
        <v>1448</v>
      </c>
      <c r="AQ15" s="66" t="s">
        <v>217</v>
      </c>
      <c r="AR15" s="30" t="s">
        <v>219</v>
      </c>
    </row>
    <row r="16" spans="1:44" ht="21.75" customHeight="1" x14ac:dyDescent="0.45">
      <c r="B16" s="54" t="s">
        <v>99</v>
      </c>
      <c r="E16" s="55" t="s">
        <v>87</v>
      </c>
      <c r="F16" s="54" t="str">
        <f>"Warengruppe&gt;&gt;"&amp;_xlfn.TEXTJOIN("&gt;&gt;",TRUE,Migrationsartikel!V15:X15)</f>
        <v>Warengruppe&gt;&gt;Backwaren &amp; Convenience&gt;&gt;Brot und Backwaren&gt;&gt;Backwaren andere</v>
      </c>
      <c r="H16" s="55" t="s">
        <v>109</v>
      </c>
      <c r="J16" s="79">
        <f>Migrationsartikel!B15</f>
        <v>0</v>
      </c>
      <c r="L16" s="54" t="str">
        <f>_xlfn.TEXTJOIN(" ",TRUE,Migrationsartikel!F15:H15)</f>
        <v>Butterzopf aus der Region 700g</v>
      </c>
      <c r="M16" s="54" t="str">
        <f>_xlfn.TEXTJOIN(" ",TRUE,Migrationsartikel!J15:L15)</f>
        <v>Tresse de la région 700g</v>
      </c>
      <c r="N16" s="54" t="str">
        <f>_xlfn.TEXTJOIN(" ",TRUE,Migrationsartikel!N15:P15)</f>
        <v>Treccia della regione 700g</v>
      </c>
      <c r="O16" s="54" t="str">
        <f>Migrationsartikel!F15</f>
        <v>Butterzopf</v>
      </c>
      <c r="P16" s="54" t="str">
        <f>Migrationsartikel!J15</f>
        <v>Tresse</v>
      </c>
      <c r="Q16" s="54" t="str">
        <f>Migrationsartikel!N15</f>
        <v>Treccia</v>
      </c>
      <c r="R16" s="54" t="str">
        <f>_xlfn.TEXTJOIN(" ",TRUE,Migrationsartikel!G15)</f>
        <v>aus der Region</v>
      </c>
      <c r="S16" s="54" t="str">
        <f>_xlfn.TEXTJOIN(" ",TRUE,Migrationsartikel!K15)</f>
        <v>de la région</v>
      </c>
      <c r="T16" s="54" t="str">
        <f>_xlfn.TEXTJOIN(" ",TRUE,Migrationsartikel!O15)</f>
        <v>della regione</v>
      </c>
      <c r="U16" s="54" t="str">
        <f>_xlfn.TEXTJOIN(" ",TRUE,Migrationsartikel!H15)</f>
        <v>700g</v>
      </c>
      <c r="V16" s="54" t="str">
        <f>_xlfn.TEXTJOIN(" ",TRUE,Migrationsartikel!L15)</f>
        <v>700g</v>
      </c>
      <c r="W16" s="54" t="str">
        <f>_xlfn.TEXTJOIN(" ",TRUE,Migrationsartikel!P15)</f>
        <v>700g</v>
      </c>
      <c r="X16" s="54" t="str">
        <f>Migrationsartikel!I15</f>
        <v>Butterzopf 700g</v>
      </c>
      <c r="Y16" s="54" t="str">
        <f>Migrationsartikel!M15</f>
        <v>Tresse 700g</v>
      </c>
      <c r="Z16" s="54" t="str">
        <f>Migrationsartikel!Q15</f>
        <v>Treccia 700g</v>
      </c>
      <c r="AA16" s="63">
        <f>Migrationsartikel!R15</f>
        <v>0.7</v>
      </c>
      <c r="AB16" s="54" t="str">
        <f>Migrationsartikel!T15</f>
        <v>Gramm</v>
      </c>
      <c r="AC16" s="65">
        <f>Migrationsartikel!S15</f>
        <v>100</v>
      </c>
      <c r="AD16" s="54" t="str">
        <f>Migrationsartikel!U15</f>
        <v>(PCE) Stück</v>
      </c>
      <c r="AE16" s="55" t="s">
        <v>179</v>
      </c>
      <c r="AF16" s="67">
        <f>Migrationsartikel!AA15</f>
        <v>0</v>
      </c>
      <c r="AG16" s="55" t="s">
        <v>192</v>
      </c>
      <c r="AH16" s="54" t="str">
        <f>IF(Migrationsartikel!AB15="ja","true",FALSE)</f>
        <v>true</v>
      </c>
      <c r="AI16" s="54" t="str">
        <f>IF(Migrationsartikel!AC15="ja","true",FALSE)</f>
        <v>true</v>
      </c>
      <c r="AJ16" s="54" t="str">
        <f>IF(Migrationsartikel!AD15="ja","true",FALSE)</f>
        <v>true</v>
      </c>
      <c r="AK16" s="54" t="str">
        <f>IF(Migrationsartikel!AE15="ja","true",FALSE)</f>
        <v>true</v>
      </c>
      <c r="AL16" s="54" t="str">
        <f>IF(Migrationsartikel!AF15="ja","Denner Partner","")</f>
        <v/>
      </c>
      <c r="AM16" s="54" t="str">
        <f>IF(Migrationsartikel!AG15="ja","true","false")</f>
        <v>false</v>
      </c>
      <c r="AN16" s="54" t="str">
        <f t="shared" si="1"/>
        <v>Kassentastenbelegung (ohne GTIN/PLU)</v>
      </c>
      <c r="AO16" s="66" t="s">
        <v>219</v>
      </c>
      <c r="AP16" s="65" t="s">
        <v>1449</v>
      </c>
      <c r="AQ16" s="66" t="s">
        <v>217</v>
      </c>
      <c r="AR16" s="30" t="s">
        <v>219</v>
      </c>
    </row>
    <row r="17" spans="2:44" ht="21.75" customHeight="1" x14ac:dyDescent="0.45">
      <c r="B17" s="54" t="s">
        <v>99</v>
      </c>
      <c r="E17" s="55" t="s">
        <v>87</v>
      </c>
      <c r="F17" s="54" t="str">
        <f>"Warengruppe&gt;&gt;"&amp;_xlfn.TEXTJOIN("&gt;&gt;",TRUE,Migrationsartikel!V16:X16)</f>
        <v>Warengruppe&gt;&gt;Backwaren &amp; Convenience&gt;&gt;Brot und Backwaren&gt;&gt;Backwaren andere</v>
      </c>
      <c r="H17" s="55" t="s">
        <v>109</v>
      </c>
      <c r="J17" s="79">
        <f>Migrationsartikel!B16</f>
        <v>0</v>
      </c>
      <c r="L17" s="54" t="str">
        <f>_xlfn.TEXTJOIN(" ",TRUE,Migrationsartikel!F16:H16)</f>
        <v>Ciabattina aus der Region 1Stk</v>
      </c>
      <c r="M17" s="54" t="str">
        <f>_xlfn.TEXTJOIN(" ",TRUE,Migrationsartikel!J16:L16)</f>
        <v>Ciabattina de la région 1pce</v>
      </c>
      <c r="N17" s="54" t="str">
        <f>_xlfn.TEXTJOIN(" ",TRUE,Migrationsartikel!N16:P16)</f>
        <v>Ciabattina della regione 1pz</v>
      </c>
      <c r="O17" s="54" t="str">
        <f>Migrationsartikel!F16</f>
        <v>Ciabattina</v>
      </c>
      <c r="P17" s="54" t="str">
        <f>Migrationsartikel!J16</f>
        <v>Ciabattina</v>
      </c>
      <c r="Q17" s="54" t="str">
        <f>Migrationsartikel!N16</f>
        <v>Ciabattina</v>
      </c>
      <c r="R17" s="54" t="str">
        <f>_xlfn.TEXTJOIN(" ",TRUE,Migrationsartikel!G16)</f>
        <v>aus der Region</v>
      </c>
      <c r="S17" s="54" t="str">
        <f>_xlfn.TEXTJOIN(" ",TRUE,Migrationsartikel!K16)</f>
        <v>de la région</v>
      </c>
      <c r="T17" s="54" t="str">
        <f>_xlfn.TEXTJOIN(" ",TRUE,Migrationsartikel!O16)</f>
        <v>della regione</v>
      </c>
      <c r="U17" s="54" t="str">
        <f>_xlfn.TEXTJOIN(" ",TRUE,Migrationsartikel!H16)</f>
        <v>1Stk</v>
      </c>
      <c r="V17" s="54" t="str">
        <f>_xlfn.TEXTJOIN(" ",TRUE,Migrationsartikel!L16)</f>
        <v>1pce</v>
      </c>
      <c r="W17" s="54" t="str">
        <f>_xlfn.TEXTJOIN(" ",TRUE,Migrationsartikel!P16)</f>
        <v>1pz</v>
      </c>
      <c r="X17" s="54" t="str">
        <f>Migrationsartikel!I16</f>
        <v>Ciabattina</v>
      </c>
      <c r="Y17" s="54" t="str">
        <f>Migrationsartikel!M16</f>
        <v>Ciabattina</v>
      </c>
      <c r="Z17" s="54" t="str">
        <f>Migrationsartikel!Q16</f>
        <v>Ciabattina</v>
      </c>
      <c r="AA17" s="63">
        <f>Migrationsartikel!R16</f>
        <v>1</v>
      </c>
      <c r="AB17" s="54" t="str">
        <f>Migrationsartikel!T16</f>
        <v>Stück</v>
      </c>
      <c r="AC17" s="65">
        <f>Migrationsartikel!S16</f>
        <v>1</v>
      </c>
      <c r="AD17" s="54" t="str">
        <f>Migrationsartikel!U16</f>
        <v>(PCE) Stück</v>
      </c>
      <c r="AE17" s="55" t="s">
        <v>179</v>
      </c>
      <c r="AF17" s="67">
        <f>Migrationsartikel!AA16</f>
        <v>0</v>
      </c>
      <c r="AG17" s="55" t="s">
        <v>192</v>
      </c>
      <c r="AH17" s="54" t="str">
        <f>IF(Migrationsartikel!AB16="ja","true",FALSE)</f>
        <v>true</v>
      </c>
      <c r="AI17" s="54" t="str">
        <f>IF(Migrationsartikel!AC16="ja","true",FALSE)</f>
        <v>true</v>
      </c>
      <c r="AJ17" s="54" t="str">
        <f>IF(Migrationsartikel!AD16="ja","true",FALSE)</f>
        <v>true</v>
      </c>
      <c r="AK17" s="54" t="str">
        <f>IF(Migrationsartikel!AE16="ja","true",FALSE)</f>
        <v>true</v>
      </c>
      <c r="AL17" s="54" t="str">
        <f>IF(Migrationsartikel!AF16="ja","Denner Partner","")</f>
        <v/>
      </c>
      <c r="AM17" s="54" t="str">
        <f>IF(Migrationsartikel!AG16="ja","true","false")</f>
        <v>false</v>
      </c>
      <c r="AN17" s="54" t="str">
        <f t="shared" si="1"/>
        <v>Kassentastenbelegung (ohne GTIN/PLU)</v>
      </c>
      <c r="AO17" s="66" t="s">
        <v>219</v>
      </c>
      <c r="AP17" s="65" t="s">
        <v>1450</v>
      </c>
      <c r="AQ17" s="66" t="s">
        <v>217</v>
      </c>
      <c r="AR17" s="30" t="s">
        <v>219</v>
      </c>
    </row>
    <row r="18" spans="2:44" ht="21.75" customHeight="1" x14ac:dyDescent="0.45">
      <c r="B18" s="54" t="s">
        <v>99</v>
      </c>
      <c r="E18" s="55" t="s">
        <v>87</v>
      </c>
      <c r="F18" s="54" t="str">
        <f>"Warengruppe&gt;&gt;"&amp;_xlfn.TEXTJOIN("&gt;&gt;",TRUE,Migrationsartikel!V17:X17)</f>
        <v>Warengruppe&gt;&gt;Backwaren &amp; Convenience&gt;&gt;Brot und Backwaren&gt;&gt;Backwaren andere</v>
      </c>
      <c r="H18" s="55" t="s">
        <v>109</v>
      </c>
      <c r="J18" s="79">
        <f>Migrationsartikel!B17</f>
        <v>0</v>
      </c>
      <c r="L18" s="54" t="str">
        <f>_xlfn.TEXTJOIN(" ",TRUE,Migrationsartikel!F17:H17)</f>
        <v>Flûtes aus der Region 1Stk</v>
      </c>
      <c r="M18" s="54" t="str">
        <f>_xlfn.TEXTJOIN(" ",TRUE,Migrationsartikel!J17:L17)</f>
        <v>Flûtes de la région 1pce</v>
      </c>
      <c r="N18" s="54" t="str">
        <f>_xlfn.TEXTJOIN(" ",TRUE,Migrationsartikel!N17:P17)</f>
        <v>Flûtes della regione 1pz</v>
      </c>
      <c r="O18" s="54" t="str">
        <f>Migrationsartikel!F17</f>
        <v>Flûtes</v>
      </c>
      <c r="P18" s="54" t="str">
        <f>Migrationsartikel!J17</f>
        <v>Flûtes</v>
      </c>
      <c r="Q18" s="54" t="str">
        <f>Migrationsartikel!N17</f>
        <v>Flûtes</v>
      </c>
      <c r="R18" s="54" t="str">
        <f>_xlfn.TEXTJOIN(" ",TRUE,Migrationsartikel!G17)</f>
        <v>aus der Region</v>
      </c>
      <c r="S18" s="54" t="str">
        <f>_xlfn.TEXTJOIN(" ",TRUE,Migrationsartikel!K17)</f>
        <v>de la région</v>
      </c>
      <c r="T18" s="54" t="str">
        <f>_xlfn.TEXTJOIN(" ",TRUE,Migrationsartikel!O17)</f>
        <v>della regione</v>
      </c>
      <c r="U18" s="54" t="str">
        <f>_xlfn.TEXTJOIN(" ",TRUE,Migrationsartikel!H17)</f>
        <v>1Stk</v>
      </c>
      <c r="V18" s="54" t="str">
        <f>_xlfn.TEXTJOIN(" ",TRUE,Migrationsartikel!L17)</f>
        <v>1pce</v>
      </c>
      <c r="W18" s="54" t="str">
        <f>_xlfn.TEXTJOIN(" ",TRUE,Migrationsartikel!P17)</f>
        <v>1pz</v>
      </c>
      <c r="X18" s="54" t="str">
        <f>Migrationsartikel!I17</f>
        <v>Flûtes</v>
      </c>
      <c r="Y18" s="54" t="str">
        <f>Migrationsartikel!M17</f>
        <v>Flûtes</v>
      </c>
      <c r="Z18" s="54" t="str">
        <f>Migrationsartikel!Q17</f>
        <v>Flûtes</v>
      </c>
      <c r="AA18" s="63">
        <f>Migrationsartikel!R17</f>
        <v>1</v>
      </c>
      <c r="AB18" s="54" t="str">
        <f>Migrationsartikel!T17</f>
        <v>Stück</v>
      </c>
      <c r="AC18" s="65">
        <f>Migrationsartikel!S17</f>
        <v>1</v>
      </c>
      <c r="AD18" s="54" t="str">
        <f>Migrationsartikel!U17</f>
        <v>(PCE) Stück</v>
      </c>
      <c r="AE18" s="55" t="s">
        <v>179</v>
      </c>
      <c r="AF18" s="67">
        <f>Migrationsartikel!AA17</f>
        <v>0</v>
      </c>
      <c r="AG18" s="55" t="s">
        <v>192</v>
      </c>
      <c r="AH18" s="54" t="str">
        <f>IF(Migrationsartikel!AB17="ja","true",FALSE)</f>
        <v>true</v>
      </c>
      <c r="AI18" s="54" t="str">
        <f>IF(Migrationsartikel!AC17="ja","true",FALSE)</f>
        <v>true</v>
      </c>
      <c r="AJ18" s="54" t="str">
        <f>IF(Migrationsartikel!AD17="ja","true",FALSE)</f>
        <v>true</v>
      </c>
      <c r="AK18" s="54" t="str">
        <f>IF(Migrationsartikel!AE17="ja","true",FALSE)</f>
        <v>true</v>
      </c>
      <c r="AL18" s="54" t="str">
        <f>IF(Migrationsartikel!AF17="ja","Denner Partner","")</f>
        <v/>
      </c>
      <c r="AM18" s="54" t="str">
        <f>IF(Migrationsartikel!AG17="ja","true","false")</f>
        <v>false</v>
      </c>
      <c r="AN18" s="54" t="str">
        <f t="shared" si="1"/>
        <v>Kassentastenbelegung (ohne GTIN/PLU)</v>
      </c>
      <c r="AO18" s="66" t="s">
        <v>219</v>
      </c>
      <c r="AP18" s="65" t="s">
        <v>1451</v>
      </c>
      <c r="AQ18" s="66" t="s">
        <v>217</v>
      </c>
      <c r="AR18" s="30" t="s">
        <v>219</v>
      </c>
    </row>
    <row r="19" spans="2:44" ht="21.75" customHeight="1" x14ac:dyDescent="0.45">
      <c r="B19" s="54" t="s">
        <v>99</v>
      </c>
      <c r="E19" s="55" t="s">
        <v>87</v>
      </c>
      <c r="F19" s="54" t="str">
        <f>"Warengruppe&gt;&gt;"&amp;_xlfn.TEXTJOIN("&gt;&gt;",TRUE,Migrationsartikel!V18:X18)</f>
        <v>Warengruppe&gt;&gt;Backwaren &amp; Convenience&gt;&gt;Brot und Backwaren&gt;&gt;Backwaren andere</v>
      </c>
      <c r="H19" s="55" t="s">
        <v>109</v>
      </c>
      <c r="J19" s="79">
        <f>Migrationsartikel!B18</f>
        <v>0</v>
      </c>
      <c r="L19" s="54" t="str">
        <f>_xlfn.TEXTJOIN(" ",TRUE,Migrationsartikel!F18:H18)</f>
        <v>Focaccia aus der Region 1Stk</v>
      </c>
      <c r="M19" s="54" t="str">
        <f>_xlfn.TEXTJOIN(" ",TRUE,Migrationsartikel!J18:L18)</f>
        <v>Focaccia de la région 1pce</v>
      </c>
      <c r="N19" s="54" t="str">
        <f>_xlfn.TEXTJOIN(" ",TRUE,Migrationsartikel!N18:P18)</f>
        <v>Focaccia della regione 1pz</v>
      </c>
      <c r="O19" s="54" t="str">
        <f>Migrationsartikel!F18</f>
        <v>Focaccia</v>
      </c>
      <c r="P19" s="54" t="str">
        <f>Migrationsartikel!J18</f>
        <v>Focaccia</v>
      </c>
      <c r="Q19" s="54" t="str">
        <f>Migrationsartikel!N18</f>
        <v>Focaccia</v>
      </c>
      <c r="R19" s="54" t="str">
        <f>_xlfn.TEXTJOIN(" ",TRUE,Migrationsartikel!G18)</f>
        <v>aus der Region</v>
      </c>
      <c r="S19" s="54" t="str">
        <f>_xlfn.TEXTJOIN(" ",TRUE,Migrationsartikel!K18)</f>
        <v>de la région</v>
      </c>
      <c r="T19" s="54" t="str">
        <f>_xlfn.TEXTJOIN(" ",TRUE,Migrationsartikel!O18)</f>
        <v>della regione</v>
      </c>
      <c r="U19" s="54" t="str">
        <f>_xlfn.TEXTJOIN(" ",TRUE,Migrationsartikel!H18)</f>
        <v>1Stk</v>
      </c>
      <c r="V19" s="54" t="str">
        <f>_xlfn.TEXTJOIN(" ",TRUE,Migrationsartikel!L18)</f>
        <v>1pce</v>
      </c>
      <c r="W19" s="54" t="str">
        <f>_xlfn.TEXTJOIN(" ",TRUE,Migrationsartikel!P18)</f>
        <v>1pz</v>
      </c>
      <c r="X19" s="54" t="str">
        <f>Migrationsartikel!I18</f>
        <v>Focaccia</v>
      </c>
      <c r="Y19" s="54" t="str">
        <f>Migrationsartikel!M18</f>
        <v>Focaccia</v>
      </c>
      <c r="Z19" s="54" t="str">
        <f>Migrationsartikel!Q18</f>
        <v>Focaccia</v>
      </c>
      <c r="AA19" s="63">
        <f>Migrationsartikel!R18</f>
        <v>1</v>
      </c>
      <c r="AB19" s="54" t="str">
        <f>Migrationsartikel!T18</f>
        <v>Stück</v>
      </c>
      <c r="AC19" s="65">
        <f>Migrationsartikel!S18</f>
        <v>1</v>
      </c>
      <c r="AD19" s="54" t="str">
        <f>Migrationsartikel!U18</f>
        <v>(PCE) Stück</v>
      </c>
      <c r="AE19" s="55" t="s">
        <v>179</v>
      </c>
      <c r="AF19" s="67">
        <f>Migrationsartikel!AA18</f>
        <v>0</v>
      </c>
      <c r="AG19" s="55" t="s">
        <v>192</v>
      </c>
      <c r="AH19" s="54" t="str">
        <f>IF(Migrationsartikel!AB18="ja","true",FALSE)</f>
        <v>true</v>
      </c>
      <c r="AI19" s="54" t="str">
        <f>IF(Migrationsartikel!AC18="ja","true",FALSE)</f>
        <v>true</v>
      </c>
      <c r="AJ19" s="54" t="str">
        <f>IF(Migrationsartikel!AD18="ja","true",FALSE)</f>
        <v>true</v>
      </c>
      <c r="AK19" s="54" t="str">
        <f>IF(Migrationsartikel!AE18="ja","true",FALSE)</f>
        <v>true</v>
      </c>
      <c r="AL19" s="54" t="str">
        <f>IF(Migrationsartikel!AF18="ja","Denner Partner","")</f>
        <v/>
      </c>
      <c r="AM19" s="54" t="str">
        <f>IF(Migrationsartikel!AG18="ja","true","false")</f>
        <v>false</v>
      </c>
      <c r="AN19" s="54" t="str">
        <f t="shared" si="1"/>
        <v>Kassentastenbelegung (ohne GTIN/PLU)</v>
      </c>
      <c r="AO19" s="66" t="s">
        <v>219</v>
      </c>
      <c r="AP19" s="65" t="s">
        <v>1452</v>
      </c>
      <c r="AQ19" s="66" t="s">
        <v>217</v>
      </c>
      <c r="AR19" s="30" t="s">
        <v>219</v>
      </c>
    </row>
    <row r="20" spans="2:44" ht="21.75" customHeight="1" x14ac:dyDescent="0.45">
      <c r="B20" s="54" t="s">
        <v>99</v>
      </c>
      <c r="E20" s="55" t="s">
        <v>87</v>
      </c>
      <c r="F20" s="54" t="str">
        <f>"Warengruppe&gt;&gt;"&amp;_xlfn.TEXTJOIN("&gt;&gt;",TRUE,Migrationsartikel!V19:X19)</f>
        <v>Warengruppe&gt;&gt;Backwaren &amp; Convenience&gt;&gt;Convenience-Produkte&gt;&gt;Ready to cook</v>
      </c>
      <c r="H20" s="55" t="s">
        <v>109</v>
      </c>
      <c r="J20" s="79">
        <f>Migrationsartikel!B19</f>
        <v>0</v>
      </c>
      <c r="L20" s="54" t="str">
        <f>_xlfn.TEXTJOIN(" ",TRUE,Migrationsartikel!F19:H19)</f>
        <v>Frische Pasta aus der Region 1Stk</v>
      </c>
      <c r="M20" s="54" t="str">
        <f>_xlfn.TEXTJOIN(" ",TRUE,Migrationsartikel!J19:L19)</f>
        <v>Pâtes fraîches de la région 1pce</v>
      </c>
      <c r="N20" s="54" t="str">
        <f>_xlfn.TEXTJOIN(" ",TRUE,Migrationsartikel!N19:P19)</f>
        <v>Pasta fresca della regione 1pz</v>
      </c>
      <c r="O20" s="54" t="str">
        <f>Migrationsartikel!F19</f>
        <v>Frische Pasta</v>
      </c>
      <c r="P20" s="54" t="str">
        <f>Migrationsartikel!J19</f>
        <v>Pâtes fraîches</v>
      </c>
      <c r="Q20" s="54" t="str">
        <f>Migrationsartikel!N19</f>
        <v>Pasta fresca</v>
      </c>
      <c r="R20" s="54" t="str">
        <f>_xlfn.TEXTJOIN(" ",TRUE,Migrationsartikel!G19)</f>
        <v>aus der Region</v>
      </c>
      <c r="S20" s="54" t="str">
        <f>_xlfn.TEXTJOIN(" ",TRUE,Migrationsartikel!K19)</f>
        <v>de la région</v>
      </c>
      <c r="T20" s="54" t="str">
        <f>_xlfn.TEXTJOIN(" ",TRUE,Migrationsartikel!O19)</f>
        <v>della regione</v>
      </c>
      <c r="U20" s="54" t="str">
        <f>_xlfn.TEXTJOIN(" ",TRUE,Migrationsartikel!H19)</f>
        <v>1Stk</v>
      </c>
      <c r="V20" s="54" t="str">
        <f>_xlfn.TEXTJOIN(" ",TRUE,Migrationsartikel!L19)</f>
        <v>1pce</v>
      </c>
      <c r="W20" s="54" t="str">
        <f>_xlfn.TEXTJOIN(" ",TRUE,Migrationsartikel!P19)</f>
        <v>1pz</v>
      </c>
      <c r="X20" s="54" t="str">
        <f>Migrationsartikel!I19</f>
        <v>Frische Pasta</v>
      </c>
      <c r="Y20" s="54" t="str">
        <f>Migrationsartikel!M19</f>
        <v>Pâtes fraîches</v>
      </c>
      <c r="Z20" s="54" t="str">
        <f>Migrationsartikel!Q19</f>
        <v>Pasta fresca</v>
      </c>
      <c r="AA20" s="63">
        <f>Migrationsartikel!R19</f>
        <v>1</v>
      </c>
      <c r="AB20" s="54" t="str">
        <f>Migrationsartikel!T19</f>
        <v>Stück</v>
      </c>
      <c r="AC20" s="65">
        <f>Migrationsartikel!S19</f>
        <v>1</v>
      </c>
      <c r="AD20" s="54" t="str">
        <f>Migrationsartikel!U19</f>
        <v>(PCE) Stück</v>
      </c>
      <c r="AE20" s="55" t="s">
        <v>179</v>
      </c>
      <c r="AF20" s="67">
        <f>Migrationsartikel!AA19</f>
        <v>0</v>
      </c>
      <c r="AG20" s="55" t="s">
        <v>192</v>
      </c>
      <c r="AH20" s="54" t="str">
        <f>IF(Migrationsartikel!AB19="ja","true",FALSE)</f>
        <v>true</v>
      </c>
      <c r="AI20" s="54" t="str">
        <f>IF(Migrationsartikel!AC19="ja","true",FALSE)</f>
        <v>true</v>
      </c>
      <c r="AJ20" s="54" t="str">
        <f>IF(Migrationsartikel!AD19="ja","true",FALSE)</f>
        <v>true</v>
      </c>
      <c r="AK20" s="54" t="str">
        <f>IF(Migrationsartikel!AE19="ja","true",FALSE)</f>
        <v>true</v>
      </c>
      <c r="AL20" s="54" t="str">
        <f>IF(Migrationsartikel!AF19="ja","Denner Partner","")</f>
        <v/>
      </c>
      <c r="AM20" s="54" t="str">
        <f>IF(Migrationsartikel!AG19="ja","true","false")</f>
        <v>false</v>
      </c>
      <c r="AN20" s="54" t="str">
        <f t="shared" si="1"/>
        <v>Kassentastenbelegung (ohne GTIN/PLU)</v>
      </c>
      <c r="AO20" s="66" t="s">
        <v>219</v>
      </c>
      <c r="AP20" s="65" t="s">
        <v>1453</v>
      </c>
      <c r="AQ20" s="66" t="s">
        <v>217</v>
      </c>
      <c r="AR20" s="30" t="s">
        <v>219</v>
      </c>
    </row>
    <row r="21" spans="2:44" ht="21.75" customHeight="1" x14ac:dyDescent="0.45">
      <c r="B21" s="54" t="s">
        <v>99</v>
      </c>
      <c r="E21" s="55" t="s">
        <v>87</v>
      </c>
      <c r="F21" s="54" t="str">
        <f>"Warengruppe&gt;&gt;"&amp;_xlfn.TEXTJOIN("&gt;&gt;",TRUE,Migrationsartikel!V20:X20)</f>
        <v>Warengruppe&gt;&gt;Backwaren &amp; Convenience&gt;&gt;Convenience-Produkte&gt;&gt;Ready to eat</v>
      </c>
      <c r="H21" s="55" t="s">
        <v>109</v>
      </c>
      <c r="J21" s="79">
        <f>Migrationsartikel!B20</f>
        <v>0</v>
      </c>
      <c r="L21" s="54" t="str">
        <f>_xlfn.TEXTJOIN(" ",TRUE,Migrationsartikel!F20:H20)</f>
        <v>Gastronomietheke aus der Region 1Stk</v>
      </c>
      <c r="M21" s="54" t="str">
        <f>_xlfn.TEXTJOIN(" ",TRUE,Migrationsartikel!J20:L20)</f>
        <v>Comptoir gastronomie de la région 1pce</v>
      </c>
      <c r="N21" s="54" t="str">
        <f>_xlfn.TEXTJOIN(" ",TRUE,Migrationsartikel!N20:P20)</f>
        <v>Banco gastronomia della regione 1pz</v>
      </c>
      <c r="O21" s="54" t="str">
        <f>Migrationsartikel!F20</f>
        <v>Gastronomietheke</v>
      </c>
      <c r="P21" s="54" t="str">
        <f>Migrationsartikel!J20</f>
        <v>Comptoir gastronomie</v>
      </c>
      <c r="Q21" s="54" t="str">
        <f>Migrationsartikel!N20</f>
        <v>Banco gastronomia</v>
      </c>
      <c r="R21" s="54" t="str">
        <f>_xlfn.TEXTJOIN(" ",TRUE,Migrationsartikel!G20)</f>
        <v>aus der Region</v>
      </c>
      <c r="S21" s="54" t="str">
        <f>_xlfn.TEXTJOIN(" ",TRUE,Migrationsartikel!K20)</f>
        <v>de la région</v>
      </c>
      <c r="T21" s="54" t="str">
        <f>_xlfn.TEXTJOIN(" ",TRUE,Migrationsartikel!O20)</f>
        <v>della regione</v>
      </c>
      <c r="U21" s="54" t="str">
        <f>_xlfn.TEXTJOIN(" ",TRUE,Migrationsartikel!H20)</f>
        <v>1Stk</v>
      </c>
      <c r="V21" s="54" t="str">
        <f>_xlfn.TEXTJOIN(" ",TRUE,Migrationsartikel!L20)</f>
        <v>1pce</v>
      </c>
      <c r="W21" s="54" t="str">
        <f>_xlfn.TEXTJOIN(" ",TRUE,Migrationsartikel!P20)</f>
        <v>1pz</v>
      </c>
      <c r="X21" s="54" t="str">
        <f>Migrationsartikel!I20</f>
        <v>Gastronomietheke</v>
      </c>
      <c r="Y21" s="54" t="str">
        <f>Migrationsartikel!M20</f>
        <v>Comptoir gastronomie</v>
      </c>
      <c r="Z21" s="54" t="str">
        <f>Migrationsartikel!Q20</f>
        <v>Banco gastronomia</v>
      </c>
      <c r="AA21" s="63">
        <f>Migrationsartikel!R20</f>
        <v>1</v>
      </c>
      <c r="AB21" s="54" t="str">
        <f>Migrationsartikel!T20</f>
        <v>Stück</v>
      </c>
      <c r="AC21" s="65">
        <f>Migrationsartikel!S20</f>
        <v>1</v>
      </c>
      <c r="AD21" s="54" t="str">
        <f>Migrationsartikel!U20</f>
        <v>(PCE) Stück</v>
      </c>
      <c r="AE21" s="55" t="s">
        <v>179</v>
      </c>
      <c r="AF21" s="67">
        <f>Migrationsartikel!AA20</f>
        <v>0</v>
      </c>
      <c r="AG21" s="55" t="s">
        <v>192</v>
      </c>
      <c r="AH21" s="54" t="str">
        <f>IF(Migrationsartikel!AB20="ja","true",FALSE)</f>
        <v>true</v>
      </c>
      <c r="AI21" s="54" t="str">
        <f>IF(Migrationsartikel!AC20="ja","true",FALSE)</f>
        <v>true</v>
      </c>
      <c r="AJ21" s="54" t="str">
        <f>IF(Migrationsartikel!AD20="ja","true",FALSE)</f>
        <v>true</v>
      </c>
      <c r="AK21" s="54" t="str">
        <f>IF(Migrationsartikel!AE20="ja","true",FALSE)</f>
        <v>true</v>
      </c>
      <c r="AL21" s="54" t="str">
        <f>IF(Migrationsartikel!AF20="ja","Denner Partner","")</f>
        <v/>
      </c>
      <c r="AM21" s="54" t="str">
        <f>IF(Migrationsartikel!AG20="ja","true","false")</f>
        <v>false</v>
      </c>
      <c r="AN21" s="54" t="str">
        <f t="shared" si="1"/>
        <v>Kassentastenbelegung (ohne GTIN/PLU)</v>
      </c>
      <c r="AO21" s="66" t="s">
        <v>219</v>
      </c>
      <c r="AP21" s="65" t="s">
        <v>1454</v>
      </c>
      <c r="AQ21" s="66" t="s">
        <v>217</v>
      </c>
      <c r="AR21" s="30" t="s">
        <v>219</v>
      </c>
    </row>
    <row r="22" spans="2:44" ht="21.75" customHeight="1" x14ac:dyDescent="0.45">
      <c r="B22" s="54" t="s">
        <v>99</v>
      </c>
      <c r="E22" s="55" t="s">
        <v>87</v>
      </c>
      <c r="F22" s="54" t="str">
        <f>"Warengruppe&gt;&gt;"&amp;_xlfn.TEXTJOIN("&gt;&gt;",TRUE,Migrationsartikel!V21:X21)</f>
        <v>Warengruppe&gt;&gt;Backwaren &amp; Convenience&gt;&gt;Tiefkühlprodukte&gt;&gt;Tiefkühlprodukte</v>
      </c>
      <c r="H22" s="55" t="s">
        <v>109</v>
      </c>
      <c r="J22" s="79">
        <f>Migrationsartikel!B21</f>
        <v>0</v>
      </c>
      <c r="L22" s="54" t="str">
        <f>_xlfn.TEXTJOIN(" ",TRUE,Migrationsartikel!F21:H21)</f>
        <v>Glace Becher aus der Region 1Stk</v>
      </c>
      <c r="M22" s="54" t="str">
        <f>_xlfn.TEXTJOIN(" ",TRUE,Migrationsartikel!J21:L21)</f>
        <v>Glace gobelet de la région 1pce</v>
      </c>
      <c r="N22" s="54" t="str">
        <f>_xlfn.TEXTJOIN(" ",TRUE,Migrationsartikel!N21:P21)</f>
        <v>Gelato coppetta della regione 1pz</v>
      </c>
      <c r="O22" s="54" t="str">
        <f>Migrationsartikel!F21</f>
        <v>Glace Becher</v>
      </c>
      <c r="P22" s="54" t="str">
        <f>Migrationsartikel!J21</f>
        <v>Glace gobelet</v>
      </c>
      <c r="Q22" s="54" t="str">
        <f>Migrationsartikel!N21</f>
        <v>Gelato coppetta</v>
      </c>
      <c r="R22" s="54" t="str">
        <f>_xlfn.TEXTJOIN(" ",TRUE,Migrationsartikel!G21)</f>
        <v>aus der Region</v>
      </c>
      <c r="S22" s="54" t="str">
        <f>_xlfn.TEXTJOIN(" ",TRUE,Migrationsartikel!K21)</f>
        <v>de la région</v>
      </c>
      <c r="T22" s="54" t="str">
        <f>_xlfn.TEXTJOIN(" ",TRUE,Migrationsartikel!O21)</f>
        <v>della regione</v>
      </c>
      <c r="U22" s="54" t="str">
        <f>_xlfn.TEXTJOIN(" ",TRUE,Migrationsartikel!H21)</f>
        <v>1Stk</v>
      </c>
      <c r="V22" s="54" t="str">
        <f>_xlfn.TEXTJOIN(" ",TRUE,Migrationsartikel!L21)</f>
        <v>1pce</v>
      </c>
      <c r="W22" s="54" t="str">
        <f>_xlfn.TEXTJOIN(" ",TRUE,Migrationsartikel!P21)</f>
        <v>1pz</v>
      </c>
      <c r="X22" s="54" t="str">
        <f>Migrationsartikel!I21</f>
        <v>Glace Becher</v>
      </c>
      <c r="Y22" s="54" t="str">
        <f>Migrationsartikel!M21</f>
        <v>Glace gobelet</v>
      </c>
      <c r="Z22" s="54" t="str">
        <f>Migrationsartikel!Q21</f>
        <v>Gelato coppetta</v>
      </c>
      <c r="AA22" s="63">
        <f>Migrationsartikel!R21</f>
        <v>1</v>
      </c>
      <c r="AB22" s="54" t="str">
        <f>Migrationsartikel!T21</f>
        <v>Stück</v>
      </c>
      <c r="AC22" s="65">
        <f>Migrationsartikel!S21</f>
        <v>1</v>
      </c>
      <c r="AD22" s="54" t="str">
        <f>Migrationsartikel!U21</f>
        <v>(PCE) Stück</v>
      </c>
      <c r="AE22" s="55" t="s">
        <v>179</v>
      </c>
      <c r="AF22" s="67">
        <f>Migrationsartikel!AA21</f>
        <v>0</v>
      </c>
      <c r="AG22" s="55" t="s">
        <v>192</v>
      </c>
      <c r="AH22" s="54" t="str">
        <f>IF(Migrationsartikel!AB21="ja","true",FALSE)</f>
        <v>true</v>
      </c>
      <c r="AI22" s="54" t="str">
        <f>IF(Migrationsartikel!AC21="ja","true",FALSE)</f>
        <v>true</v>
      </c>
      <c r="AJ22" s="54" t="str">
        <f>IF(Migrationsartikel!AD21="ja","true",FALSE)</f>
        <v>true</v>
      </c>
      <c r="AK22" s="54" t="str">
        <f>IF(Migrationsartikel!AE21="ja","true",FALSE)</f>
        <v>true</v>
      </c>
      <c r="AL22" s="54" t="str">
        <f>IF(Migrationsartikel!AF21="ja","Denner Partner","")</f>
        <v/>
      </c>
      <c r="AM22" s="54" t="str">
        <f>IF(Migrationsartikel!AG21="ja","true","false")</f>
        <v>false</v>
      </c>
      <c r="AN22" s="54" t="str">
        <f t="shared" si="1"/>
        <v>Kassentastenbelegung (ohne GTIN/PLU)</v>
      </c>
      <c r="AO22" s="66" t="s">
        <v>219</v>
      </c>
      <c r="AP22" s="65" t="s">
        <v>1455</v>
      </c>
      <c r="AQ22" s="66" t="s">
        <v>217</v>
      </c>
      <c r="AR22" s="30" t="s">
        <v>219</v>
      </c>
    </row>
    <row r="23" spans="2:44" ht="21.75" customHeight="1" x14ac:dyDescent="0.45">
      <c r="B23" s="54" t="s">
        <v>99</v>
      </c>
      <c r="E23" s="55" t="s">
        <v>87</v>
      </c>
      <c r="F23" s="54" t="str">
        <f>"Warengruppe&gt;&gt;"&amp;_xlfn.TEXTJOIN("&gt;&gt;",TRUE,Migrationsartikel!V22:X22)</f>
        <v>Warengruppe&gt;&gt;Backwaren &amp; Convenience&gt;&gt;Tiefkühlprodukte&gt;&gt;Tiefkühlprodukte</v>
      </c>
      <c r="H23" s="55" t="s">
        <v>109</v>
      </c>
      <c r="J23" s="79">
        <f>Migrationsartikel!B22</f>
        <v>0</v>
      </c>
      <c r="L23" s="54" t="str">
        <f>_xlfn.TEXTJOIN(" ",TRUE,Migrationsartikel!F22:H22)</f>
        <v>Glace Behälter aus der Region 1l</v>
      </c>
      <c r="M23" s="54" t="str">
        <f>_xlfn.TEXTJOIN(" ",TRUE,Migrationsartikel!J22:L22)</f>
        <v>Glace bac de la région 1l</v>
      </c>
      <c r="N23" s="54" t="str">
        <f>_xlfn.TEXTJOIN(" ",TRUE,Migrationsartikel!N22:P22)</f>
        <v>Gelato vaschetta della regione 1l</v>
      </c>
      <c r="O23" s="54" t="str">
        <f>Migrationsartikel!F22</f>
        <v>Glace Behälter</v>
      </c>
      <c r="P23" s="54" t="str">
        <f>Migrationsartikel!J22</f>
        <v>Glace bac</v>
      </c>
      <c r="Q23" s="54" t="str">
        <f>Migrationsartikel!N22</f>
        <v>Gelato vaschetta</v>
      </c>
      <c r="R23" s="54" t="str">
        <f>_xlfn.TEXTJOIN(" ",TRUE,Migrationsartikel!G22)</f>
        <v>aus der Region</v>
      </c>
      <c r="S23" s="54" t="str">
        <f>_xlfn.TEXTJOIN(" ",TRUE,Migrationsartikel!K22)</f>
        <v>de la région</v>
      </c>
      <c r="T23" s="54" t="str">
        <f>_xlfn.TEXTJOIN(" ",TRUE,Migrationsartikel!O22)</f>
        <v>della regione</v>
      </c>
      <c r="U23" s="54" t="str">
        <f>_xlfn.TEXTJOIN(" ",TRUE,Migrationsartikel!H22)</f>
        <v>1l</v>
      </c>
      <c r="V23" s="54" t="str">
        <f>_xlfn.TEXTJOIN(" ",TRUE,Migrationsartikel!L22)</f>
        <v>1l</v>
      </c>
      <c r="W23" s="54" t="str">
        <f>_xlfn.TEXTJOIN(" ",TRUE,Migrationsartikel!P22)</f>
        <v>1l</v>
      </c>
      <c r="X23" s="54" t="str">
        <f>Migrationsartikel!I22</f>
        <v>Glace Behälter 1l</v>
      </c>
      <c r="Y23" s="54" t="str">
        <f>Migrationsartikel!M22</f>
        <v>Glace bac 1l</v>
      </c>
      <c r="Z23" s="54" t="str">
        <f>Migrationsartikel!Q22</f>
        <v>Gelato vaschetta 1l</v>
      </c>
      <c r="AA23" s="63">
        <f>Migrationsartikel!R22</f>
        <v>1</v>
      </c>
      <c r="AB23" s="54" t="str">
        <f>Migrationsartikel!T22</f>
        <v>Liter</v>
      </c>
      <c r="AC23" s="65">
        <f>Migrationsartikel!S22</f>
        <v>1</v>
      </c>
      <c r="AD23" s="54" t="str">
        <f>Migrationsartikel!U22</f>
        <v>(PCE) Stück</v>
      </c>
      <c r="AE23" s="55" t="s">
        <v>179</v>
      </c>
      <c r="AF23" s="67">
        <f>Migrationsartikel!AA22</f>
        <v>0</v>
      </c>
      <c r="AG23" s="55" t="s">
        <v>192</v>
      </c>
      <c r="AH23" s="54" t="str">
        <f>IF(Migrationsartikel!AB22="ja","true",FALSE)</f>
        <v>true</v>
      </c>
      <c r="AI23" s="54" t="str">
        <f>IF(Migrationsartikel!AC22="ja","true",FALSE)</f>
        <v>true</v>
      </c>
      <c r="AJ23" s="54" t="str">
        <f>IF(Migrationsartikel!AD22="ja","true",FALSE)</f>
        <v>true</v>
      </c>
      <c r="AK23" s="54" t="str">
        <f>IF(Migrationsartikel!AE22="ja","true",FALSE)</f>
        <v>true</v>
      </c>
      <c r="AL23" s="54" t="str">
        <f>IF(Migrationsartikel!AF22="ja","Denner Partner","")</f>
        <v/>
      </c>
      <c r="AM23" s="54" t="str">
        <f>IF(Migrationsartikel!AG22="ja","true","false")</f>
        <v>false</v>
      </c>
      <c r="AN23" s="54" t="str">
        <f t="shared" si="1"/>
        <v>Kassentastenbelegung (ohne GTIN/PLU)</v>
      </c>
      <c r="AO23" s="66" t="s">
        <v>219</v>
      </c>
      <c r="AP23" s="65" t="s">
        <v>1456</v>
      </c>
      <c r="AQ23" s="66" t="s">
        <v>217</v>
      </c>
      <c r="AR23" s="30" t="s">
        <v>219</v>
      </c>
    </row>
    <row r="24" spans="2:44" ht="21.75" customHeight="1" x14ac:dyDescent="0.45">
      <c r="B24" s="54" t="s">
        <v>99</v>
      </c>
      <c r="E24" s="55" t="s">
        <v>87</v>
      </c>
      <c r="F24" s="54" t="str">
        <f>"Warengruppe&gt;&gt;"&amp;_xlfn.TEXTJOIN("&gt;&gt;",TRUE,Migrationsartikel!V23:X23)</f>
        <v>Warengruppe&gt;&gt;Backwaren &amp; Convenience&gt;&gt;Brot und Backwaren&gt;&gt;Backwaren andere</v>
      </c>
      <c r="H24" s="55" t="s">
        <v>109</v>
      </c>
      <c r="J24" s="79">
        <f>Migrationsartikel!B23</f>
        <v>0</v>
      </c>
      <c r="L24" s="54" t="str">
        <f>_xlfn.TEXTJOIN(" ",TRUE,Migrationsartikel!F23:H23)</f>
        <v>Halbweissbrot aus der Region 500g</v>
      </c>
      <c r="M24" s="54" t="str">
        <f>_xlfn.TEXTJOIN(" ",TRUE,Migrationsartikel!J23:L23)</f>
        <v>Pain mi-blanc de la région 500g</v>
      </c>
      <c r="N24" s="54" t="str">
        <f>_xlfn.TEXTJOIN(" ",TRUE,Migrationsartikel!N23:P23)</f>
        <v>Pane semibianco della regione 500g</v>
      </c>
      <c r="O24" s="54" t="str">
        <f>Migrationsartikel!F23</f>
        <v>Halbweissbrot</v>
      </c>
      <c r="P24" s="54" t="str">
        <f>Migrationsartikel!J23</f>
        <v>Pain mi-blanc</v>
      </c>
      <c r="Q24" s="54" t="str">
        <f>Migrationsartikel!N23</f>
        <v>Pane semibianco</v>
      </c>
      <c r="R24" s="54" t="str">
        <f>_xlfn.TEXTJOIN(" ",TRUE,Migrationsartikel!G23)</f>
        <v>aus der Region</v>
      </c>
      <c r="S24" s="54" t="str">
        <f>_xlfn.TEXTJOIN(" ",TRUE,Migrationsartikel!K23)</f>
        <v>de la région</v>
      </c>
      <c r="T24" s="54" t="str">
        <f>_xlfn.TEXTJOIN(" ",TRUE,Migrationsartikel!O23)</f>
        <v>della regione</v>
      </c>
      <c r="U24" s="54" t="str">
        <f>_xlfn.TEXTJOIN(" ",TRUE,Migrationsartikel!H23)</f>
        <v>500g</v>
      </c>
      <c r="V24" s="54" t="str">
        <f>_xlfn.TEXTJOIN(" ",TRUE,Migrationsartikel!L23)</f>
        <v>500g</v>
      </c>
      <c r="W24" s="54" t="str">
        <f>_xlfn.TEXTJOIN(" ",TRUE,Migrationsartikel!P23)</f>
        <v>500g</v>
      </c>
      <c r="X24" s="54" t="str">
        <f>Migrationsartikel!I23</f>
        <v>Halbweissbrot 500g</v>
      </c>
      <c r="Y24" s="54" t="str">
        <f>Migrationsartikel!M23</f>
        <v>Pain mi-blanc 500g</v>
      </c>
      <c r="Z24" s="54" t="str">
        <f>Migrationsartikel!Q23</f>
        <v>Pane semibianco 500g</v>
      </c>
      <c r="AA24" s="63">
        <f>Migrationsartikel!R23</f>
        <v>0.5</v>
      </c>
      <c r="AB24" s="54" t="str">
        <f>Migrationsartikel!T23</f>
        <v>Gramm</v>
      </c>
      <c r="AC24" s="65">
        <f>Migrationsartikel!S23</f>
        <v>100</v>
      </c>
      <c r="AD24" s="54" t="str">
        <f>Migrationsartikel!U23</f>
        <v>(PCE) Stück</v>
      </c>
      <c r="AE24" s="55" t="s">
        <v>179</v>
      </c>
      <c r="AF24" s="67">
        <f>Migrationsartikel!AA23</f>
        <v>0</v>
      </c>
      <c r="AG24" s="55" t="s">
        <v>192</v>
      </c>
      <c r="AH24" s="54" t="str">
        <f>IF(Migrationsartikel!AB23="ja","true",FALSE)</f>
        <v>true</v>
      </c>
      <c r="AI24" s="54" t="str">
        <f>IF(Migrationsartikel!AC23="ja","true",FALSE)</f>
        <v>true</v>
      </c>
      <c r="AJ24" s="54" t="str">
        <f>IF(Migrationsartikel!AD23="ja","true",FALSE)</f>
        <v>true</v>
      </c>
      <c r="AK24" s="54" t="str">
        <f>IF(Migrationsartikel!AE23="ja","true",FALSE)</f>
        <v>true</v>
      </c>
      <c r="AL24" s="54" t="str">
        <f>IF(Migrationsartikel!AF23="ja","Denner Partner","")</f>
        <v/>
      </c>
      <c r="AM24" s="54" t="str">
        <f>IF(Migrationsartikel!AG23="ja","true","false")</f>
        <v>false</v>
      </c>
      <c r="AN24" s="54" t="str">
        <f t="shared" si="1"/>
        <v>Kassentastenbelegung (ohne GTIN/PLU)</v>
      </c>
      <c r="AO24" s="66" t="s">
        <v>219</v>
      </c>
      <c r="AP24" s="65" t="s">
        <v>1457</v>
      </c>
      <c r="AQ24" s="66" t="s">
        <v>217</v>
      </c>
      <c r="AR24" s="30" t="s">
        <v>219</v>
      </c>
    </row>
    <row r="25" spans="2:44" ht="21.75" customHeight="1" x14ac:dyDescent="0.45">
      <c r="B25" s="54" t="s">
        <v>99</v>
      </c>
      <c r="E25" s="55" t="s">
        <v>87</v>
      </c>
      <c r="F25" s="54" t="str">
        <f>"Warengruppe&gt;&gt;"&amp;_xlfn.TEXTJOIN("&gt;&gt;",TRUE,Migrationsartikel!V24:X24)</f>
        <v>Warengruppe&gt;&gt;Backwaren &amp; Convenience&gt;&gt;Brot und Backwaren&gt;&gt;Backwaren andere</v>
      </c>
      <c r="H25" s="55" t="s">
        <v>109</v>
      </c>
      <c r="J25" s="79">
        <f>Migrationsartikel!B24</f>
        <v>0</v>
      </c>
      <c r="L25" s="54" t="str">
        <f>_xlfn.TEXTJOIN(" ",TRUE,Migrationsartikel!F24:H24)</f>
        <v>Halbweissbrot aus der Region 1kg</v>
      </c>
      <c r="M25" s="54" t="str">
        <f>_xlfn.TEXTJOIN(" ",TRUE,Migrationsartikel!J24:L24)</f>
        <v>Pain mi-blanc de la région 1kg</v>
      </c>
      <c r="N25" s="54" t="str">
        <f>_xlfn.TEXTJOIN(" ",TRUE,Migrationsartikel!N24:P24)</f>
        <v>Pane semibianco della regione 1kg</v>
      </c>
      <c r="O25" s="54" t="str">
        <f>Migrationsartikel!F24</f>
        <v>Halbweissbrot</v>
      </c>
      <c r="P25" s="54" t="str">
        <f>Migrationsartikel!J24</f>
        <v>Pain mi-blanc</v>
      </c>
      <c r="Q25" s="54" t="str">
        <f>Migrationsartikel!N24</f>
        <v>Pane semibianco</v>
      </c>
      <c r="R25" s="54" t="str">
        <f>_xlfn.TEXTJOIN(" ",TRUE,Migrationsartikel!G24)</f>
        <v>aus der Region</v>
      </c>
      <c r="S25" s="54" t="str">
        <f>_xlfn.TEXTJOIN(" ",TRUE,Migrationsartikel!K24)</f>
        <v>de la région</v>
      </c>
      <c r="T25" s="54" t="str">
        <f>_xlfn.TEXTJOIN(" ",TRUE,Migrationsartikel!O24)</f>
        <v>della regione</v>
      </c>
      <c r="U25" s="54" t="str">
        <f>_xlfn.TEXTJOIN(" ",TRUE,Migrationsartikel!H24)</f>
        <v>1kg</v>
      </c>
      <c r="V25" s="54" t="str">
        <f>_xlfn.TEXTJOIN(" ",TRUE,Migrationsartikel!L24)</f>
        <v>1kg</v>
      </c>
      <c r="W25" s="54" t="str">
        <f>_xlfn.TEXTJOIN(" ",TRUE,Migrationsartikel!P24)</f>
        <v>1kg</v>
      </c>
      <c r="X25" s="54" t="str">
        <f>Migrationsartikel!I24</f>
        <v>Halbweissbrot 1kg</v>
      </c>
      <c r="Y25" s="54" t="str">
        <f>Migrationsartikel!M24</f>
        <v>Pain mi-blanc 1kg</v>
      </c>
      <c r="Z25" s="54" t="str">
        <f>Migrationsartikel!Q24</f>
        <v>Pane semibianco 1kg</v>
      </c>
      <c r="AA25" s="63">
        <f>Migrationsartikel!R24</f>
        <v>1</v>
      </c>
      <c r="AB25" s="54" t="str">
        <f>Migrationsartikel!T24</f>
        <v>Gramm</v>
      </c>
      <c r="AC25" s="65">
        <f>Migrationsartikel!S24</f>
        <v>100</v>
      </c>
      <c r="AD25" s="54" t="str">
        <f>Migrationsartikel!U24</f>
        <v>(PCE) Stück</v>
      </c>
      <c r="AE25" s="55" t="s">
        <v>179</v>
      </c>
      <c r="AF25" s="67">
        <f>Migrationsartikel!AA24</f>
        <v>0</v>
      </c>
      <c r="AG25" s="55" t="s">
        <v>192</v>
      </c>
      <c r="AH25" s="54" t="str">
        <f>IF(Migrationsartikel!AB24="ja","true",FALSE)</f>
        <v>true</v>
      </c>
      <c r="AI25" s="54" t="str">
        <f>IF(Migrationsartikel!AC24="ja","true",FALSE)</f>
        <v>true</v>
      </c>
      <c r="AJ25" s="54" t="str">
        <f>IF(Migrationsartikel!AD24="ja","true",FALSE)</f>
        <v>true</v>
      </c>
      <c r="AK25" s="54" t="str">
        <f>IF(Migrationsartikel!AE24="ja","true",FALSE)</f>
        <v>true</v>
      </c>
      <c r="AL25" s="54" t="str">
        <f>IF(Migrationsartikel!AF24="ja","Denner Partner","")</f>
        <v/>
      </c>
      <c r="AM25" s="54" t="str">
        <f>IF(Migrationsartikel!AG24="ja","true","false")</f>
        <v>false</v>
      </c>
      <c r="AN25" s="54" t="str">
        <f t="shared" si="1"/>
        <v>Kassentastenbelegung (ohne GTIN/PLU)</v>
      </c>
      <c r="AO25" s="66" t="s">
        <v>219</v>
      </c>
      <c r="AP25" s="65" t="s">
        <v>1458</v>
      </c>
      <c r="AQ25" s="66" t="s">
        <v>217</v>
      </c>
      <c r="AR25" s="30" t="s">
        <v>219</v>
      </c>
    </row>
    <row r="26" spans="2:44" ht="21.75" customHeight="1" x14ac:dyDescent="0.45">
      <c r="B26" s="54" t="s">
        <v>99</v>
      </c>
      <c r="E26" s="55" t="s">
        <v>87</v>
      </c>
      <c r="F26" s="54" t="str">
        <f>"Warengruppe&gt;&gt;"&amp;_xlfn.TEXTJOIN("&gt;&gt;",TRUE,Migrationsartikel!V25:X25)</f>
        <v>Warengruppe&gt;&gt;Backwaren &amp; Convenience&gt;&gt;Brot und Backwaren&gt;&gt;Backwaren andere</v>
      </c>
      <c r="H26" s="55" t="s">
        <v>109</v>
      </c>
      <c r="J26" s="79">
        <f>Migrationsartikel!B25</f>
        <v>0</v>
      </c>
      <c r="L26" s="54" t="str">
        <f>_xlfn.TEXTJOIN(" ",TRUE,Migrationsartikel!F25:H25)</f>
        <v>Halbweissbrot aus der Region 250g</v>
      </c>
      <c r="M26" s="54" t="str">
        <f>_xlfn.TEXTJOIN(" ",TRUE,Migrationsartikel!J25:L25)</f>
        <v>Pain mi-blanc de la région 250g</v>
      </c>
      <c r="N26" s="54" t="str">
        <f>_xlfn.TEXTJOIN(" ",TRUE,Migrationsartikel!N25:P25)</f>
        <v>Pane semibianco della regione 250g</v>
      </c>
      <c r="O26" s="54" t="str">
        <f>Migrationsartikel!F25</f>
        <v>Halbweissbrot</v>
      </c>
      <c r="P26" s="54" t="str">
        <f>Migrationsartikel!J25</f>
        <v>Pain mi-blanc</v>
      </c>
      <c r="Q26" s="54" t="str">
        <f>Migrationsartikel!N25</f>
        <v>Pane semibianco</v>
      </c>
      <c r="R26" s="54" t="str">
        <f>_xlfn.TEXTJOIN(" ",TRUE,Migrationsartikel!G25)</f>
        <v>aus der Region</v>
      </c>
      <c r="S26" s="54" t="str">
        <f>_xlfn.TEXTJOIN(" ",TRUE,Migrationsartikel!K25)</f>
        <v>de la région</v>
      </c>
      <c r="T26" s="54" t="str">
        <f>_xlfn.TEXTJOIN(" ",TRUE,Migrationsartikel!O25)</f>
        <v>della regione</v>
      </c>
      <c r="U26" s="54" t="str">
        <f>_xlfn.TEXTJOIN(" ",TRUE,Migrationsartikel!H25)</f>
        <v>250g</v>
      </c>
      <c r="V26" s="54" t="str">
        <f>_xlfn.TEXTJOIN(" ",TRUE,Migrationsartikel!L25)</f>
        <v>250g</v>
      </c>
      <c r="W26" s="54" t="str">
        <f>_xlfn.TEXTJOIN(" ",TRUE,Migrationsartikel!P25)</f>
        <v>250g</v>
      </c>
      <c r="X26" s="54" t="str">
        <f>Migrationsartikel!I25</f>
        <v>Halbweissbrot 250g</v>
      </c>
      <c r="Y26" s="54" t="str">
        <f>Migrationsartikel!M25</f>
        <v>Pain mi-blanc 250g</v>
      </c>
      <c r="Z26" s="54" t="str">
        <f>Migrationsartikel!Q25</f>
        <v>Pane semibianco 250g</v>
      </c>
      <c r="AA26" s="63">
        <f>Migrationsartikel!R25</f>
        <v>0.25</v>
      </c>
      <c r="AB26" s="54" t="str">
        <f>Migrationsartikel!T25</f>
        <v>Gramm</v>
      </c>
      <c r="AC26" s="65">
        <f>Migrationsartikel!S25</f>
        <v>100</v>
      </c>
      <c r="AD26" s="54" t="str">
        <f>Migrationsartikel!U25</f>
        <v>(PCE) Stück</v>
      </c>
      <c r="AE26" s="55" t="s">
        <v>179</v>
      </c>
      <c r="AF26" s="67">
        <f>Migrationsartikel!AA25</f>
        <v>0</v>
      </c>
      <c r="AG26" s="55" t="s">
        <v>192</v>
      </c>
      <c r="AH26" s="54" t="str">
        <f>IF(Migrationsartikel!AB25="ja","true",FALSE)</f>
        <v>true</v>
      </c>
      <c r="AI26" s="54" t="str">
        <f>IF(Migrationsartikel!AC25="ja","true",FALSE)</f>
        <v>true</v>
      </c>
      <c r="AJ26" s="54" t="str">
        <f>IF(Migrationsartikel!AD25="ja","true",FALSE)</f>
        <v>true</v>
      </c>
      <c r="AK26" s="54" t="str">
        <f>IF(Migrationsartikel!AE25="ja","true",FALSE)</f>
        <v>true</v>
      </c>
      <c r="AL26" s="54" t="str">
        <f>IF(Migrationsartikel!AF25="ja","Denner Partner","")</f>
        <v/>
      </c>
      <c r="AM26" s="54" t="str">
        <f>IF(Migrationsartikel!AG25="ja","true","false")</f>
        <v>false</v>
      </c>
      <c r="AN26" s="54" t="str">
        <f t="shared" si="1"/>
        <v>Kassentastenbelegung (ohne GTIN/PLU)</v>
      </c>
      <c r="AO26" s="66" t="s">
        <v>219</v>
      </c>
      <c r="AP26" s="65" t="s">
        <v>1459</v>
      </c>
      <c r="AQ26" s="66" t="s">
        <v>217</v>
      </c>
      <c r="AR26" s="30" t="s">
        <v>219</v>
      </c>
    </row>
    <row r="27" spans="2:44" ht="21.75" customHeight="1" x14ac:dyDescent="0.45">
      <c r="B27" s="54" t="s">
        <v>99</v>
      </c>
      <c r="E27" s="55" t="s">
        <v>87</v>
      </c>
      <c r="F27" s="54" t="str">
        <f>"Warengruppe&gt;&gt;"&amp;_xlfn.TEXTJOIN("&gt;&gt;",TRUE,Migrationsartikel!V26:X26)</f>
        <v>Warengruppe&gt;&gt;Backwaren &amp; Convenience&gt;&gt;Brot und Backwaren&gt;&gt;Backwaren andere</v>
      </c>
      <c r="H27" s="55" t="s">
        <v>109</v>
      </c>
      <c r="J27" s="79">
        <f>Migrationsartikel!B26</f>
        <v>0</v>
      </c>
      <c r="L27" s="54" t="str">
        <f>_xlfn.TEXTJOIN(" ",TRUE,Migrationsartikel!F26:H26)</f>
        <v>Laugenbrötli aus der Region 1Stk</v>
      </c>
      <c r="M27" s="54" t="str">
        <f>_xlfn.TEXTJOIN(" ",TRUE,Migrationsartikel!J26:L26)</f>
        <v>Petits pains sils de la région 1pce</v>
      </c>
      <c r="N27" s="54" t="str">
        <f>_xlfn.TEXTJOIN(" ",TRUE,Migrationsartikel!N26:P26)</f>
        <v>Panino di sils della regione 1pz</v>
      </c>
      <c r="O27" s="54" t="str">
        <f>Migrationsartikel!F26</f>
        <v>Laugenbrötli</v>
      </c>
      <c r="P27" s="54" t="str">
        <f>Migrationsartikel!J26</f>
        <v>Petits pains sils</v>
      </c>
      <c r="Q27" s="54" t="str">
        <f>Migrationsartikel!N26</f>
        <v>Panino di sils</v>
      </c>
      <c r="R27" s="54" t="str">
        <f>_xlfn.TEXTJOIN(" ",TRUE,Migrationsartikel!G26)</f>
        <v>aus der Region</v>
      </c>
      <c r="S27" s="54" t="str">
        <f>_xlfn.TEXTJOIN(" ",TRUE,Migrationsartikel!K26)</f>
        <v>de la région</v>
      </c>
      <c r="T27" s="54" t="str">
        <f>_xlfn.TEXTJOIN(" ",TRUE,Migrationsartikel!O26)</f>
        <v>della regione</v>
      </c>
      <c r="U27" s="54" t="str">
        <f>_xlfn.TEXTJOIN(" ",TRUE,Migrationsartikel!H26)</f>
        <v>1Stk</v>
      </c>
      <c r="V27" s="54" t="str">
        <f>_xlfn.TEXTJOIN(" ",TRUE,Migrationsartikel!L26)</f>
        <v>1pce</v>
      </c>
      <c r="W27" s="54" t="str">
        <f>_xlfn.TEXTJOIN(" ",TRUE,Migrationsartikel!P26)</f>
        <v>1pz</v>
      </c>
      <c r="X27" s="54" t="str">
        <f>Migrationsartikel!I26</f>
        <v>Laugenbrötli</v>
      </c>
      <c r="Y27" s="54" t="str">
        <f>Migrationsartikel!M26</f>
        <v>Petits pains sils</v>
      </c>
      <c r="Z27" s="54" t="str">
        <f>Migrationsartikel!Q26</f>
        <v>Panino di sils</v>
      </c>
      <c r="AA27" s="63">
        <f>Migrationsartikel!R26</f>
        <v>1</v>
      </c>
      <c r="AB27" s="54" t="str">
        <f>Migrationsartikel!T26</f>
        <v>Stück</v>
      </c>
      <c r="AC27" s="65">
        <f>Migrationsartikel!S26</f>
        <v>1</v>
      </c>
      <c r="AD27" s="54" t="str">
        <f>Migrationsartikel!U26</f>
        <v>(PCE) Stück</v>
      </c>
      <c r="AE27" s="55" t="s">
        <v>179</v>
      </c>
      <c r="AF27" s="67">
        <f>Migrationsartikel!AA26</f>
        <v>0</v>
      </c>
      <c r="AG27" s="55" t="s">
        <v>192</v>
      </c>
      <c r="AH27" s="54" t="str">
        <f>IF(Migrationsartikel!AB26="ja","true",FALSE)</f>
        <v>true</v>
      </c>
      <c r="AI27" s="54" t="str">
        <f>IF(Migrationsartikel!AC26="ja","true",FALSE)</f>
        <v>true</v>
      </c>
      <c r="AJ27" s="54" t="str">
        <f>IF(Migrationsartikel!AD26="ja","true",FALSE)</f>
        <v>true</v>
      </c>
      <c r="AK27" s="54" t="str">
        <f>IF(Migrationsartikel!AE26="ja","true",FALSE)</f>
        <v>true</v>
      </c>
      <c r="AL27" s="54" t="str">
        <f>IF(Migrationsartikel!AF26="ja","Denner Partner","")</f>
        <v/>
      </c>
      <c r="AM27" s="54" t="str">
        <f>IF(Migrationsartikel!AG26="ja","true","false")</f>
        <v>false</v>
      </c>
      <c r="AN27" s="54" t="str">
        <f t="shared" si="1"/>
        <v>Kassentastenbelegung (ohne GTIN/PLU)</v>
      </c>
      <c r="AO27" s="66" t="s">
        <v>219</v>
      </c>
      <c r="AP27" s="65" t="s">
        <v>1460</v>
      </c>
      <c r="AQ27" s="66" t="s">
        <v>217</v>
      </c>
      <c r="AR27" s="30" t="s">
        <v>219</v>
      </c>
    </row>
    <row r="28" spans="2:44" ht="21.75" customHeight="1" x14ac:dyDescent="0.45">
      <c r="B28" s="54" t="s">
        <v>99</v>
      </c>
      <c r="E28" s="55" t="s">
        <v>87</v>
      </c>
      <c r="F28" s="54" t="str">
        <f>"Warengruppe&gt;&gt;"&amp;_xlfn.TEXTJOIN("&gt;&gt;",TRUE,Migrationsartikel!V27:X27)</f>
        <v>Warengruppe&gt;&gt;Backwaren &amp; Convenience&gt;&gt;Brot und Backwaren&gt;&gt;Backwaren andere</v>
      </c>
      <c r="H28" s="55" t="s">
        <v>109</v>
      </c>
      <c r="J28" s="79">
        <f>Migrationsartikel!B27</f>
        <v>0</v>
      </c>
      <c r="L28" s="54" t="str">
        <f>_xlfn.TEXTJOIN(" ",TRUE,Migrationsartikel!F27:H27)</f>
        <v>Laugengipfel aus der Region 1Stk</v>
      </c>
      <c r="M28" s="54" t="str">
        <f>_xlfn.TEXTJOIN(" ",TRUE,Migrationsartikel!J27:L27)</f>
        <v>Croissant sils de la région 1pce</v>
      </c>
      <c r="N28" s="54" t="str">
        <f>_xlfn.TEXTJOIN(" ",TRUE,Migrationsartikel!N27:P27)</f>
        <v>Cornetto di sils della regione 1pz</v>
      </c>
      <c r="O28" s="54" t="str">
        <f>Migrationsartikel!F27</f>
        <v>Laugengipfel</v>
      </c>
      <c r="P28" s="54" t="str">
        <f>Migrationsartikel!J27</f>
        <v>Croissant sils</v>
      </c>
      <c r="Q28" s="54" t="str">
        <f>Migrationsartikel!N27</f>
        <v>Cornetto di sils</v>
      </c>
      <c r="R28" s="54" t="str">
        <f>_xlfn.TEXTJOIN(" ",TRUE,Migrationsartikel!G27)</f>
        <v>aus der Region</v>
      </c>
      <c r="S28" s="54" t="str">
        <f>_xlfn.TEXTJOIN(" ",TRUE,Migrationsartikel!K27)</f>
        <v>de la région</v>
      </c>
      <c r="T28" s="54" t="str">
        <f>_xlfn.TEXTJOIN(" ",TRUE,Migrationsartikel!O27)</f>
        <v>della regione</v>
      </c>
      <c r="U28" s="54" t="str">
        <f>_xlfn.TEXTJOIN(" ",TRUE,Migrationsartikel!H27)</f>
        <v>1Stk</v>
      </c>
      <c r="V28" s="54" t="str">
        <f>_xlfn.TEXTJOIN(" ",TRUE,Migrationsartikel!L27)</f>
        <v>1pce</v>
      </c>
      <c r="W28" s="54" t="str">
        <f>_xlfn.TEXTJOIN(" ",TRUE,Migrationsartikel!P27)</f>
        <v>1pz</v>
      </c>
      <c r="X28" s="54" t="str">
        <f>Migrationsartikel!I27</f>
        <v>Laugengipfel</v>
      </c>
      <c r="Y28" s="54" t="str">
        <f>Migrationsartikel!M27</f>
        <v>Croissant sils</v>
      </c>
      <c r="Z28" s="54" t="str">
        <f>Migrationsartikel!Q27</f>
        <v>Cornetto di sils</v>
      </c>
      <c r="AA28" s="63">
        <f>Migrationsartikel!R27</f>
        <v>1</v>
      </c>
      <c r="AB28" s="54" t="str">
        <f>Migrationsartikel!T27</f>
        <v>Stück</v>
      </c>
      <c r="AC28" s="65">
        <f>Migrationsartikel!S27</f>
        <v>1</v>
      </c>
      <c r="AD28" s="54" t="str">
        <f>Migrationsartikel!U27</f>
        <v>(PCE) Stück</v>
      </c>
      <c r="AE28" s="55" t="s">
        <v>179</v>
      </c>
      <c r="AF28" s="67">
        <f>Migrationsartikel!AA27</f>
        <v>0</v>
      </c>
      <c r="AG28" s="55" t="s">
        <v>192</v>
      </c>
      <c r="AH28" s="54" t="str">
        <f>IF(Migrationsartikel!AB27="ja","true",FALSE)</f>
        <v>true</v>
      </c>
      <c r="AI28" s="54" t="str">
        <f>IF(Migrationsartikel!AC27="ja","true",FALSE)</f>
        <v>true</v>
      </c>
      <c r="AJ28" s="54" t="str">
        <f>IF(Migrationsartikel!AD27="ja","true",FALSE)</f>
        <v>true</v>
      </c>
      <c r="AK28" s="54" t="str">
        <f>IF(Migrationsartikel!AE27="ja","true",FALSE)</f>
        <v>true</v>
      </c>
      <c r="AL28" s="54" t="str">
        <f>IF(Migrationsartikel!AF27="ja","Denner Partner","")</f>
        <v/>
      </c>
      <c r="AM28" s="54" t="str">
        <f>IF(Migrationsartikel!AG27="ja","true","false")</f>
        <v>false</v>
      </c>
      <c r="AN28" s="54" t="str">
        <f t="shared" si="1"/>
        <v>Kassentastenbelegung (ohne GTIN/PLU)</v>
      </c>
      <c r="AO28" s="66" t="s">
        <v>219</v>
      </c>
      <c r="AP28" s="65" t="s">
        <v>1461</v>
      </c>
      <c r="AQ28" s="66" t="s">
        <v>217</v>
      </c>
      <c r="AR28" s="30" t="s">
        <v>219</v>
      </c>
    </row>
    <row r="29" spans="2:44" ht="21.75" customHeight="1" x14ac:dyDescent="0.45">
      <c r="B29" s="54" t="s">
        <v>99</v>
      </c>
      <c r="E29" s="55" t="s">
        <v>87</v>
      </c>
      <c r="F29" s="54" t="str">
        <f>"Warengruppe&gt;&gt;"&amp;_xlfn.TEXTJOIN("&gt;&gt;",TRUE,Migrationsartikel!V28:X28)</f>
        <v>Warengruppe&gt;&gt;Backwaren &amp; Convenience&gt;&gt;Brot und Backwaren&gt;&gt;Backwaren andere</v>
      </c>
      <c r="H29" s="55" t="s">
        <v>109</v>
      </c>
      <c r="J29" s="79">
        <f>Migrationsartikel!B28</f>
        <v>0</v>
      </c>
      <c r="L29" s="54" t="str">
        <f>_xlfn.TEXTJOIN(" ",TRUE,Migrationsartikel!F28:H28)</f>
        <v>Mandelgipfel aus der Region 1Stk</v>
      </c>
      <c r="M29" s="54" t="str">
        <f>_xlfn.TEXTJOIN(" ",TRUE,Migrationsartikel!J28:L28)</f>
        <v>Croissant aux amandes de la région 1pce</v>
      </c>
      <c r="N29" s="54" t="str">
        <f>_xlfn.TEXTJOIN(" ",TRUE,Migrationsartikel!N28:P28)</f>
        <v>Cornetto alle mandorle della regione 1pz</v>
      </c>
      <c r="O29" s="54" t="str">
        <f>Migrationsartikel!F28</f>
        <v>Mandelgipfel</v>
      </c>
      <c r="P29" s="54" t="str">
        <f>Migrationsartikel!J28</f>
        <v>Croissant aux amandes</v>
      </c>
      <c r="Q29" s="54" t="str">
        <f>Migrationsartikel!N28</f>
        <v>Cornetto alle mandorle</v>
      </c>
      <c r="R29" s="54" t="str">
        <f>_xlfn.TEXTJOIN(" ",TRUE,Migrationsartikel!G28)</f>
        <v>aus der Region</v>
      </c>
      <c r="S29" s="54" t="str">
        <f>_xlfn.TEXTJOIN(" ",TRUE,Migrationsartikel!K28)</f>
        <v>de la région</v>
      </c>
      <c r="T29" s="54" t="str">
        <f>_xlfn.TEXTJOIN(" ",TRUE,Migrationsartikel!O28)</f>
        <v>della regione</v>
      </c>
      <c r="U29" s="54" t="str">
        <f>_xlfn.TEXTJOIN(" ",TRUE,Migrationsartikel!H28)</f>
        <v>1Stk</v>
      </c>
      <c r="V29" s="54" t="str">
        <f>_xlfn.TEXTJOIN(" ",TRUE,Migrationsartikel!L28)</f>
        <v>1pce</v>
      </c>
      <c r="W29" s="54" t="str">
        <f>_xlfn.TEXTJOIN(" ",TRUE,Migrationsartikel!P28)</f>
        <v>1pz</v>
      </c>
      <c r="X29" s="54" t="str">
        <f>Migrationsartikel!I28</f>
        <v>Mandelgipfel</v>
      </c>
      <c r="Y29" s="54" t="str">
        <f>Migrationsartikel!M28</f>
        <v>Croissant aux amandes</v>
      </c>
      <c r="Z29" s="54" t="str">
        <f>Migrationsartikel!Q28</f>
        <v>Cornetto alle mandorle</v>
      </c>
      <c r="AA29" s="63">
        <f>Migrationsartikel!R28</f>
        <v>1</v>
      </c>
      <c r="AB29" s="54" t="str">
        <f>Migrationsartikel!T28</f>
        <v>Stück</v>
      </c>
      <c r="AC29" s="65">
        <f>Migrationsartikel!S28</f>
        <v>1</v>
      </c>
      <c r="AD29" s="54" t="str">
        <f>Migrationsartikel!U28</f>
        <v>(PCE) Stück</v>
      </c>
      <c r="AE29" s="55" t="s">
        <v>179</v>
      </c>
      <c r="AF29" s="67">
        <f>Migrationsartikel!AA28</f>
        <v>0</v>
      </c>
      <c r="AG29" s="55" t="s">
        <v>192</v>
      </c>
      <c r="AH29" s="54" t="str">
        <f>IF(Migrationsartikel!AB28="ja","true",FALSE)</f>
        <v>true</v>
      </c>
      <c r="AI29" s="54" t="str">
        <f>IF(Migrationsartikel!AC28="ja","true",FALSE)</f>
        <v>true</v>
      </c>
      <c r="AJ29" s="54" t="str">
        <f>IF(Migrationsartikel!AD28="ja","true",FALSE)</f>
        <v>true</v>
      </c>
      <c r="AK29" s="54" t="str">
        <f>IF(Migrationsartikel!AE28="ja","true",FALSE)</f>
        <v>true</v>
      </c>
      <c r="AL29" s="54" t="str">
        <f>IF(Migrationsartikel!AF28="ja","Denner Partner","")</f>
        <v/>
      </c>
      <c r="AM29" s="54" t="str">
        <f>IF(Migrationsartikel!AG28="ja","true","false")</f>
        <v>false</v>
      </c>
      <c r="AN29" s="54" t="str">
        <f t="shared" si="1"/>
        <v>Kassentastenbelegung (ohne GTIN/PLU)</v>
      </c>
      <c r="AO29" s="66" t="s">
        <v>219</v>
      </c>
      <c r="AP29" s="65" t="s">
        <v>1462</v>
      </c>
      <c r="AQ29" s="66" t="s">
        <v>217</v>
      </c>
      <c r="AR29" s="30" t="s">
        <v>219</v>
      </c>
    </row>
    <row r="30" spans="2:44" ht="21.75" customHeight="1" x14ac:dyDescent="0.45">
      <c r="B30" s="54" t="s">
        <v>99</v>
      </c>
      <c r="E30" s="55" t="s">
        <v>87</v>
      </c>
      <c r="F30" s="54" t="str">
        <f>"Warengruppe&gt;&gt;"&amp;_xlfn.TEXTJOIN("&gt;&gt;",TRUE,Migrationsartikel!V29:X29)</f>
        <v>Warengruppe&gt;&gt;Backwaren &amp; Convenience&gt;&gt;Brot und Backwaren&gt;&gt;Backwaren andere</v>
      </c>
      <c r="H30" s="55" t="s">
        <v>109</v>
      </c>
      <c r="J30" s="79">
        <f>Migrationsartikel!B29</f>
        <v>0</v>
      </c>
      <c r="L30" s="54" t="str">
        <f>_xlfn.TEXTJOIN(" ",TRUE,Migrationsartikel!F29:H29)</f>
        <v>Mehrkorngipfel aus der Region 1Stk</v>
      </c>
      <c r="M30" s="54" t="str">
        <f>_xlfn.TEXTJOIN(" ",TRUE,Migrationsartikel!J29:L29)</f>
        <v>Croissant multicér. de la région 1pce</v>
      </c>
      <c r="N30" s="54" t="str">
        <f>_xlfn.TEXTJOIN(" ",TRUE,Migrationsartikel!N29:P29)</f>
        <v>Cornetto ai cereali della regione 1pz</v>
      </c>
      <c r="O30" s="54" t="str">
        <f>Migrationsartikel!F29</f>
        <v>Mehrkorngipfel</v>
      </c>
      <c r="P30" s="54" t="str">
        <f>Migrationsartikel!J29</f>
        <v>Croissant multicér.</v>
      </c>
      <c r="Q30" s="54" t="str">
        <f>Migrationsartikel!N29</f>
        <v>Cornetto ai cereali</v>
      </c>
      <c r="R30" s="54" t="str">
        <f>_xlfn.TEXTJOIN(" ",TRUE,Migrationsartikel!G29)</f>
        <v>aus der Region</v>
      </c>
      <c r="S30" s="54" t="str">
        <f>_xlfn.TEXTJOIN(" ",TRUE,Migrationsartikel!K29)</f>
        <v>de la région</v>
      </c>
      <c r="T30" s="54" t="str">
        <f>_xlfn.TEXTJOIN(" ",TRUE,Migrationsartikel!O29)</f>
        <v>della regione</v>
      </c>
      <c r="U30" s="54" t="str">
        <f>_xlfn.TEXTJOIN(" ",TRUE,Migrationsartikel!H29)</f>
        <v>1Stk</v>
      </c>
      <c r="V30" s="54" t="str">
        <f>_xlfn.TEXTJOIN(" ",TRUE,Migrationsartikel!L29)</f>
        <v>1pce</v>
      </c>
      <c r="W30" s="54" t="str">
        <f>_xlfn.TEXTJOIN(" ",TRUE,Migrationsartikel!P29)</f>
        <v>1pz</v>
      </c>
      <c r="X30" s="54" t="str">
        <f>Migrationsartikel!I29</f>
        <v>Mehrkorngipfel</v>
      </c>
      <c r="Y30" s="54" t="str">
        <f>Migrationsartikel!M29</f>
        <v>Croissant multicér.</v>
      </c>
      <c r="Z30" s="54" t="str">
        <f>Migrationsartikel!Q29</f>
        <v>Cornetto ai cereali</v>
      </c>
      <c r="AA30" s="63">
        <f>Migrationsartikel!R29</f>
        <v>1</v>
      </c>
      <c r="AB30" s="54" t="str">
        <f>Migrationsartikel!T29</f>
        <v>Stück</v>
      </c>
      <c r="AC30" s="65">
        <f>Migrationsartikel!S29</f>
        <v>1</v>
      </c>
      <c r="AD30" s="54" t="str">
        <f>Migrationsartikel!U29</f>
        <v>(PCE) Stück</v>
      </c>
      <c r="AE30" s="55" t="s">
        <v>179</v>
      </c>
      <c r="AF30" s="67">
        <f>Migrationsartikel!AA29</f>
        <v>0</v>
      </c>
      <c r="AG30" s="55" t="s">
        <v>192</v>
      </c>
      <c r="AH30" s="54" t="str">
        <f>IF(Migrationsartikel!AB29="ja","true",FALSE)</f>
        <v>true</v>
      </c>
      <c r="AI30" s="54" t="str">
        <f>IF(Migrationsartikel!AC29="ja","true",FALSE)</f>
        <v>true</v>
      </c>
      <c r="AJ30" s="54" t="str">
        <f>IF(Migrationsartikel!AD29="ja","true",FALSE)</f>
        <v>true</v>
      </c>
      <c r="AK30" s="54" t="str">
        <f>IF(Migrationsartikel!AE29="ja","true",FALSE)</f>
        <v>true</v>
      </c>
      <c r="AL30" s="54" t="str">
        <f>IF(Migrationsartikel!AF29="ja","Denner Partner","")</f>
        <v/>
      </c>
      <c r="AM30" s="54" t="str">
        <f>IF(Migrationsartikel!AG29="ja","true","false")</f>
        <v>false</v>
      </c>
      <c r="AN30" s="54" t="str">
        <f t="shared" si="1"/>
        <v>Kassentastenbelegung (ohne GTIN/PLU)</v>
      </c>
      <c r="AO30" s="66" t="s">
        <v>219</v>
      </c>
      <c r="AP30" s="65" t="s">
        <v>1463</v>
      </c>
      <c r="AQ30" s="66" t="s">
        <v>217</v>
      </c>
      <c r="AR30" s="30" t="s">
        <v>219</v>
      </c>
    </row>
    <row r="31" spans="2:44" ht="21.75" customHeight="1" x14ac:dyDescent="0.45">
      <c r="B31" s="54" t="s">
        <v>99</v>
      </c>
      <c r="E31" s="55" t="s">
        <v>87</v>
      </c>
      <c r="F31" s="54" t="str">
        <f>"Warengruppe&gt;&gt;"&amp;_xlfn.TEXTJOIN("&gt;&gt;",TRUE,Migrationsartikel!V30:X30)</f>
        <v>Warengruppe&gt;&gt;Backwaren &amp; Convenience&gt;&gt;Brot und Backwaren&gt;&gt;Backwaren andere</v>
      </c>
      <c r="H31" s="55" t="s">
        <v>109</v>
      </c>
      <c r="J31" s="79">
        <f>Migrationsartikel!B30</f>
        <v>0</v>
      </c>
      <c r="L31" s="54" t="str">
        <f>_xlfn.TEXTJOIN(" ",TRUE,Migrationsartikel!F30:H30)</f>
        <v>Meringues aus der Region 1Stk</v>
      </c>
      <c r="M31" s="54" t="str">
        <f>_xlfn.TEXTJOIN(" ",TRUE,Migrationsartikel!J30:L30)</f>
        <v>Meringues régional de la région 1pce</v>
      </c>
      <c r="N31" s="54" t="str">
        <f>_xlfn.TEXTJOIN(" ",TRUE,Migrationsartikel!N30:P30)</f>
        <v>Meringhe della regione 1pz</v>
      </c>
      <c r="O31" s="54" t="str">
        <f>Migrationsartikel!F30</f>
        <v>Meringues</v>
      </c>
      <c r="P31" s="54" t="str">
        <f>Migrationsartikel!J30</f>
        <v>Meringues régional</v>
      </c>
      <c r="Q31" s="54" t="str">
        <f>Migrationsartikel!N30</f>
        <v>Meringhe</v>
      </c>
      <c r="R31" s="54" t="str">
        <f>_xlfn.TEXTJOIN(" ",TRUE,Migrationsartikel!G30)</f>
        <v>aus der Region</v>
      </c>
      <c r="S31" s="54" t="str">
        <f>_xlfn.TEXTJOIN(" ",TRUE,Migrationsartikel!K30)</f>
        <v>de la région</v>
      </c>
      <c r="T31" s="54" t="str">
        <f>_xlfn.TEXTJOIN(" ",TRUE,Migrationsartikel!O30)</f>
        <v>della regione</v>
      </c>
      <c r="U31" s="54" t="str">
        <f>_xlfn.TEXTJOIN(" ",TRUE,Migrationsartikel!H30)</f>
        <v>1Stk</v>
      </c>
      <c r="V31" s="54" t="str">
        <f>_xlfn.TEXTJOIN(" ",TRUE,Migrationsartikel!L30)</f>
        <v>1pce</v>
      </c>
      <c r="W31" s="54" t="str">
        <f>_xlfn.TEXTJOIN(" ",TRUE,Migrationsartikel!P30)</f>
        <v>1pz</v>
      </c>
      <c r="X31" s="54" t="str">
        <f>Migrationsartikel!I30</f>
        <v>Meringues</v>
      </c>
      <c r="Y31" s="54" t="str">
        <f>Migrationsartikel!M30</f>
        <v>Meringues</v>
      </c>
      <c r="Z31" s="54" t="str">
        <f>Migrationsartikel!Q30</f>
        <v>Meringhe</v>
      </c>
      <c r="AA31" s="63">
        <f>Migrationsartikel!R30</f>
        <v>1</v>
      </c>
      <c r="AB31" s="54" t="str">
        <f>Migrationsartikel!T30</f>
        <v>Stück</v>
      </c>
      <c r="AC31" s="65">
        <f>Migrationsartikel!S30</f>
        <v>1</v>
      </c>
      <c r="AD31" s="54" t="str">
        <f>Migrationsartikel!U30</f>
        <v>(PCE) Stück</v>
      </c>
      <c r="AE31" s="55" t="s">
        <v>179</v>
      </c>
      <c r="AF31" s="67">
        <f>Migrationsartikel!AA30</f>
        <v>0</v>
      </c>
      <c r="AG31" s="55" t="s">
        <v>192</v>
      </c>
      <c r="AH31" s="54" t="str">
        <f>IF(Migrationsartikel!AB30="ja","true",FALSE)</f>
        <v>true</v>
      </c>
      <c r="AI31" s="54" t="str">
        <f>IF(Migrationsartikel!AC30="ja","true",FALSE)</f>
        <v>true</v>
      </c>
      <c r="AJ31" s="54" t="str">
        <f>IF(Migrationsartikel!AD30="ja","true",FALSE)</f>
        <v>true</v>
      </c>
      <c r="AK31" s="54" t="str">
        <f>IF(Migrationsartikel!AE30="ja","true",FALSE)</f>
        <v>true</v>
      </c>
      <c r="AL31" s="54" t="str">
        <f>IF(Migrationsartikel!AF30="ja","Denner Partner","")</f>
        <v/>
      </c>
      <c r="AM31" s="54" t="str">
        <f>IF(Migrationsartikel!AG30="ja","true","false")</f>
        <v>false</v>
      </c>
      <c r="AN31" s="54" t="str">
        <f t="shared" si="1"/>
        <v>Kassentastenbelegung (ohne GTIN/PLU)</v>
      </c>
      <c r="AO31" s="66" t="s">
        <v>219</v>
      </c>
      <c r="AP31" s="65" t="s">
        <v>1464</v>
      </c>
      <c r="AQ31" s="66" t="s">
        <v>217</v>
      </c>
      <c r="AR31" s="30" t="s">
        <v>219</v>
      </c>
    </row>
    <row r="32" spans="2:44" ht="21.75" customHeight="1" x14ac:dyDescent="0.45">
      <c r="B32" s="54" t="s">
        <v>99</v>
      </c>
      <c r="E32" s="55" t="s">
        <v>87</v>
      </c>
      <c r="F32" s="54" t="str">
        <f>"Warengruppe&gt;&gt;"&amp;_xlfn.TEXTJOIN("&gt;&gt;",TRUE,Migrationsartikel!V31:X31)</f>
        <v>Warengruppe&gt;&gt;Backwaren &amp; Convenience&gt;&gt;Brot und Backwaren&gt;&gt;Backwaren andere</v>
      </c>
      <c r="H32" s="55" t="s">
        <v>109</v>
      </c>
      <c r="J32" s="79">
        <f>Migrationsartikel!B31</f>
        <v>0</v>
      </c>
      <c r="L32" s="54" t="str">
        <f>_xlfn.TEXTJOIN(" ",TRUE,Migrationsartikel!F31:H31)</f>
        <v>Nussgipfel aus der Region 1Stk</v>
      </c>
      <c r="M32" s="54" t="str">
        <f>_xlfn.TEXTJOIN(" ",TRUE,Migrationsartikel!J31:L31)</f>
        <v>Croissant aux noix de la région 1pce</v>
      </c>
      <c r="N32" s="54" t="str">
        <f>_xlfn.TEXTJOIN(" ",TRUE,Migrationsartikel!N31:P31)</f>
        <v>Cornetto alle noci della regione 1pz</v>
      </c>
      <c r="O32" s="54" t="str">
        <f>Migrationsartikel!F31</f>
        <v>Nussgipfel</v>
      </c>
      <c r="P32" s="54" t="str">
        <f>Migrationsartikel!J31</f>
        <v>Croissant aux noix</v>
      </c>
      <c r="Q32" s="54" t="str">
        <f>Migrationsartikel!N31</f>
        <v>Cornetto alle noci</v>
      </c>
      <c r="R32" s="54" t="str">
        <f>_xlfn.TEXTJOIN(" ",TRUE,Migrationsartikel!G31)</f>
        <v>aus der Region</v>
      </c>
      <c r="S32" s="54" t="str">
        <f>_xlfn.TEXTJOIN(" ",TRUE,Migrationsartikel!K31)</f>
        <v>de la région</v>
      </c>
      <c r="T32" s="54" t="str">
        <f>_xlfn.TEXTJOIN(" ",TRUE,Migrationsartikel!O31)</f>
        <v>della regione</v>
      </c>
      <c r="U32" s="54" t="str">
        <f>_xlfn.TEXTJOIN(" ",TRUE,Migrationsartikel!H31)</f>
        <v>1Stk</v>
      </c>
      <c r="V32" s="54" t="str">
        <f>_xlfn.TEXTJOIN(" ",TRUE,Migrationsartikel!L31)</f>
        <v>1pce</v>
      </c>
      <c r="W32" s="54" t="str">
        <f>_xlfn.TEXTJOIN(" ",TRUE,Migrationsartikel!P31)</f>
        <v>1pz</v>
      </c>
      <c r="X32" s="54" t="str">
        <f>Migrationsartikel!I31</f>
        <v>Nussgipfel</v>
      </c>
      <c r="Y32" s="54" t="str">
        <f>Migrationsartikel!M31</f>
        <v>Croissant aux noix</v>
      </c>
      <c r="Z32" s="54" t="str">
        <f>Migrationsartikel!Q31</f>
        <v>Cornetto alle noci</v>
      </c>
      <c r="AA32" s="63">
        <f>Migrationsartikel!R31</f>
        <v>1</v>
      </c>
      <c r="AB32" s="54" t="str">
        <f>Migrationsartikel!T31</f>
        <v>Stück</v>
      </c>
      <c r="AC32" s="65">
        <f>Migrationsartikel!S31</f>
        <v>1</v>
      </c>
      <c r="AD32" s="54" t="str">
        <f>Migrationsartikel!U31</f>
        <v>(PCE) Stück</v>
      </c>
      <c r="AE32" s="55" t="s">
        <v>179</v>
      </c>
      <c r="AF32" s="67">
        <f>Migrationsartikel!AA31</f>
        <v>0</v>
      </c>
      <c r="AG32" s="55" t="s">
        <v>192</v>
      </c>
      <c r="AH32" s="54" t="str">
        <f>IF(Migrationsartikel!AB31="ja","true",FALSE)</f>
        <v>true</v>
      </c>
      <c r="AI32" s="54" t="str">
        <f>IF(Migrationsartikel!AC31="ja","true",FALSE)</f>
        <v>true</v>
      </c>
      <c r="AJ32" s="54" t="str">
        <f>IF(Migrationsartikel!AD31="ja","true",FALSE)</f>
        <v>true</v>
      </c>
      <c r="AK32" s="54" t="str">
        <f>IF(Migrationsartikel!AE31="ja","true",FALSE)</f>
        <v>true</v>
      </c>
      <c r="AL32" s="54" t="str">
        <f>IF(Migrationsartikel!AF31="ja","Denner Partner","")</f>
        <v/>
      </c>
      <c r="AM32" s="54" t="str">
        <f>IF(Migrationsartikel!AG31="ja","true","false")</f>
        <v>false</v>
      </c>
      <c r="AN32" s="54" t="str">
        <f t="shared" si="1"/>
        <v>Kassentastenbelegung (ohne GTIN/PLU)</v>
      </c>
      <c r="AO32" s="66" t="s">
        <v>219</v>
      </c>
      <c r="AP32" s="65" t="s">
        <v>1465</v>
      </c>
      <c r="AQ32" s="66" t="s">
        <v>217</v>
      </c>
      <c r="AR32" s="30" t="s">
        <v>219</v>
      </c>
    </row>
    <row r="33" spans="2:44" ht="21.75" customHeight="1" x14ac:dyDescent="0.45">
      <c r="B33" s="54" t="s">
        <v>99</v>
      </c>
      <c r="E33" s="55" t="s">
        <v>87</v>
      </c>
      <c r="F33" s="54" t="str">
        <f>"Warengruppe&gt;&gt;"&amp;_xlfn.TEXTJOIN("&gt;&gt;",TRUE,Migrationsartikel!V32:X32)</f>
        <v>Warengruppe&gt;&gt;Backwaren &amp; Convenience&gt;&gt;Brot und Backwaren&gt;&gt;Backwaren andere</v>
      </c>
      <c r="H33" s="55" t="s">
        <v>109</v>
      </c>
      <c r="J33" s="79">
        <f>Migrationsartikel!B32</f>
        <v>0</v>
      </c>
      <c r="L33" s="54" t="str">
        <f>_xlfn.TEXTJOIN(" ",TRUE,Migrationsartikel!F32:H32)</f>
        <v>Nuss-Stange aus der Region 1Stk</v>
      </c>
      <c r="M33" s="54" t="str">
        <f>_xlfn.TEXTJOIN(" ",TRUE,Migrationsartikel!J32:L32)</f>
        <v>Bâton aux noix de la région 1pce</v>
      </c>
      <c r="N33" s="54" t="str">
        <f>_xlfn.TEXTJOIN(" ",TRUE,Migrationsartikel!N32:P32)</f>
        <v>Bastoncino alle noci della regione 1pz</v>
      </c>
      <c r="O33" s="54" t="str">
        <f>Migrationsartikel!F32</f>
        <v>Nuss-Stange</v>
      </c>
      <c r="P33" s="54" t="str">
        <f>Migrationsartikel!J32</f>
        <v>Bâton aux noix</v>
      </c>
      <c r="Q33" s="54" t="str">
        <f>Migrationsartikel!N32</f>
        <v>Bastoncino alle noci</v>
      </c>
      <c r="R33" s="54" t="str">
        <f>_xlfn.TEXTJOIN(" ",TRUE,Migrationsartikel!G32)</f>
        <v>aus der Region</v>
      </c>
      <c r="S33" s="54" t="str">
        <f>_xlfn.TEXTJOIN(" ",TRUE,Migrationsartikel!K32)</f>
        <v>de la région</v>
      </c>
      <c r="T33" s="54" t="str">
        <f>_xlfn.TEXTJOIN(" ",TRUE,Migrationsartikel!O32)</f>
        <v>della regione</v>
      </c>
      <c r="U33" s="54" t="str">
        <f>_xlfn.TEXTJOIN(" ",TRUE,Migrationsartikel!H32)</f>
        <v>1Stk</v>
      </c>
      <c r="V33" s="54" t="str">
        <f>_xlfn.TEXTJOIN(" ",TRUE,Migrationsartikel!L32)</f>
        <v>1pce</v>
      </c>
      <c r="W33" s="54" t="str">
        <f>_xlfn.TEXTJOIN(" ",TRUE,Migrationsartikel!P32)</f>
        <v>1pz</v>
      </c>
      <c r="X33" s="54" t="str">
        <f>Migrationsartikel!I32</f>
        <v>Nuss-Stange</v>
      </c>
      <c r="Y33" s="54" t="str">
        <f>Migrationsartikel!M32</f>
        <v>Bâton aux noix</v>
      </c>
      <c r="Z33" s="54" t="str">
        <f>Migrationsartikel!Q32</f>
        <v>Bastoncino alle noci</v>
      </c>
      <c r="AA33" s="63">
        <f>Migrationsartikel!R32</f>
        <v>1</v>
      </c>
      <c r="AB33" s="54" t="str">
        <f>Migrationsartikel!T32</f>
        <v>Stück</v>
      </c>
      <c r="AC33" s="65">
        <f>Migrationsartikel!S32</f>
        <v>1</v>
      </c>
      <c r="AD33" s="54" t="str">
        <f>Migrationsartikel!U32</f>
        <v>(PCE) Stück</v>
      </c>
      <c r="AE33" s="55" t="s">
        <v>179</v>
      </c>
      <c r="AF33" s="67">
        <f>Migrationsartikel!AA32</f>
        <v>0</v>
      </c>
      <c r="AG33" s="55" t="s">
        <v>192</v>
      </c>
      <c r="AH33" s="54" t="str">
        <f>IF(Migrationsartikel!AB32="ja","true",FALSE)</f>
        <v>true</v>
      </c>
      <c r="AI33" s="54" t="str">
        <f>IF(Migrationsartikel!AC32="ja","true",FALSE)</f>
        <v>true</v>
      </c>
      <c r="AJ33" s="54" t="str">
        <f>IF(Migrationsartikel!AD32="ja","true",FALSE)</f>
        <v>true</v>
      </c>
      <c r="AK33" s="54" t="str">
        <f>IF(Migrationsartikel!AE32="ja","true",FALSE)</f>
        <v>true</v>
      </c>
      <c r="AL33" s="54" t="str">
        <f>IF(Migrationsartikel!AF32="ja","Denner Partner","")</f>
        <v/>
      </c>
      <c r="AM33" s="54" t="str">
        <f>IF(Migrationsartikel!AG32="ja","true","false")</f>
        <v>false</v>
      </c>
      <c r="AN33" s="54" t="str">
        <f t="shared" si="1"/>
        <v>Kassentastenbelegung (ohne GTIN/PLU)</v>
      </c>
      <c r="AO33" s="66" t="s">
        <v>219</v>
      </c>
      <c r="AP33" s="65" t="s">
        <v>1466</v>
      </c>
      <c r="AQ33" s="66" t="s">
        <v>217</v>
      </c>
      <c r="AR33" s="30" t="s">
        <v>219</v>
      </c>
    </row>
    <row r="34" spans="2:44" ht="21.75" customHeight="1" x14ac:dyDescent="0.45">
      <c r="B34" s="54" t="s">
        <v>99</v>
      </c>
      <c r="E34" s="55" t="s">
        <v>87</v>
      </c>
      <c r="F34" s="54" t="str">
        <f>"Warengruppe&gt;&gt;"&amp;_xlfn.TEXTJOIN("&gt;&gt;",TRUE,Migrationsartikel!V33:X33)</f>
        <v>Warengruppe&gt;&gt;Backwaren &amp; Convenience&gt;&gt;Brot und Backwaren&gt;&gt;Backwaren andere</v>
      </c>
      <c r="H34" s="55" t="s">
        <v>109</v>
      </c>
      <c r="J34" s="79">
        <f>Migrationsartikel!B33</f>
        <v>0</v>
      </c>
      <c r="L34" s="54" t="str">
        <f>_xlfn.TEXTJOIN(" ",TRUE,Migrationsartikel!F33:H33)</f>
        <v>Pizza aus der Region 1Stk</v>
      </c>
      <c r="M34" s="54" t="str">
        <f>_xlfn.TEXTJOIN(" ",TRUE,Migrationsartikel!J33:L33)</f>
        <v>Pizza de la région 1pce</v>
      </c>
      <c r="N34" s="54" t="str">
        <f>_xlfn.TEXTJOIN(" ",TRUE,Migrationsartikel!N33:P33)</f>
        <v>Pizza della regione 1pz</v>
      </c>
      <c r="O34" s="54" t="str">
        <f>Migrationsartikel!F33</f>
        <v>Pizza</v>
      </c>
      <c r="P34" s="54" t="str">
        <f>Migrationsartikel!J33</f>
        <v>Pizza</v>
      </c>
      <c r="Q34" s="54" t="str">
        <f>Migrationsartikel!N33</f>
        <v>Pizza</v>
      </c>
      <c r="R34" s="54" t="str">
        <f>_xlfn.TEXTJOIN(" ",TRUE,Migrationsartikel!G33)</f>
        <v>aus der Region</v>
      </c>
      <c r="S34" s="54" t="str">
        <f>_xlfn.TEXTJOIN(" ",TRUE,Migrationsartikel!K33)</f>
        <v>de la région</v>
      </c>
      <c r="T34" s="54" t="str">
        <f>_xlfn.TEXTJOIN(" ",TRUE,Migrationsartikel!O33)</f>
        <v>della regione</v>
      </c>
      <c r="U34" s="54" t="str">
        <f>_xlfn.TEXTJOIN(" ",TRUE,Migrationsartikel!H33)</f>
        <v>1Stk</v>
      </c>
      <c r="V34" s="54" t="str">
        <f>_xlfn.TEXTJOIN(" ",TRUE,Migrationsartikel!L33)</f>
        <v>1pce</v>
      </c>
      <c r="W34" s="54" t="str">
        <f>_xlfn.TEXTJOIN(" ",TRUE,Migrationsartikel!P33)</f>
        <v>1pz</v>
      </c>
      <c r="X34" s="54" t="str">
        <f>Migrationsartikel!I33</f>
        <v>Pizza</v>
      </c>
      <c r="Y34" s="54" t="str">
        <f>Migrationsartikel!M33</f>
        <v>Pizza</v>
      </c>
      <c r="Z34" s="54" t="str">
        <f>Migrationsartikel!Q33</f>
        <v>Pizza</v>
      </c>
      <c r="AA34" s="63">
        <f>Migrationsartikel!R33</f>
        <v>1</v>
      </c>
      <c r="AB34" s="54" t="str">
        <f>Migrationsartikel!T33</f>
        <v>Stück</v>
      </c>
      <c r="AC34" s="65">
        <f>Migrationsartikel!S33</f>
        <v>1</v>
      </c>
      <c r="AD34" s="54" t="str">
        <f>Migrationsartikel!U33</f>
        <v>(PCE) Stück</v>
      </c>
      <c r="AE34" s="55" t="s">
        <v>179</v>
      </c>
      <c r="AF34" s="67">
        <f>Migrationsartikel!AA33</f>
        <v>0</v>
      </c>
      <c r="AG34" s="55" t="s">
        <v>192</v>
      </c>
      <c r="AH34" s="54" t="str">
        <f>IF(Migrationsartikel!AB33="ja","true",FALSE)</f>
        <v>true</v>
      </c>
      <c r="AI34" s="54" t="str">
        <f>IF(Migrationsartikel!AC33="ja","true",FALSE)</f>
        <v>true</v>
      </c>
      <c r="AJ34" s="54" t="str">
        <f>IF(Migrationsartikel!AD33="ja","true",FALSE)</f>
        <v>true</v>
      </c>
      <c r="AK34" s="54" t="str">
        <f>IF(Migrationsartikel!AE33="ja","true",FALSE)</f>
        <v>true</v>
      </c>
      <c r="AL34" s="54" t="str">
        <f>IF(Migrationsartikel!AF33="ja","Denner Partner","")</f>
        <v/>
      </c>
      <c r="AM34" s="54" t="str">
        <f>IF(Migrationsartikel!AG33="ja","true","false")</f>
        <v>false</v>
      </c>
      <c r="AN34" s="54" t="str">
        <f t="shared" si="1"/>
        <v>Kassentastenbelegung (ohne GTIN/PLU)</v>
      </c>
      <c r="AO34" s="66" t="s">
        <v>219</v>
      </c>
      <c r="AP34" s="65" t="s">
        <v>1467</v>
      </c>
      <c r="AQ34" s="66" t="s">
        <v>217</v>
      </c>
      <c r="AR34" s="30" t="s">
        <v>219</v>
      </c>
    </row>
    <row r="35" spans="2:44" ht="21.75" customHeight="1" x14ac:dyDescent="0.45">
      <c r="B35" s="54" t="s">
        <v>99</v>
      </c>
      <c r="E35" s="55" t="s">
        <v>87</v>
      </c>
      <c r="F35" s="54" t="str">
        <f>"Warengruppe&gt;&gt;"&amp;_xlfn.TEXTJOIN("&gt;&gt;",TRUE,Migrationsartikel!V34:X34)</f>
        <v>Warengruppe&gt;&gt;Backwaren &amp; Convenience&gt;&gt;Convenience-Produkte&gt;&gt;Ready to cook</v>
      </c>
      <c r="H35" s="55" t="s">
        <v>109</v>
      </c>
      <c r="J35" s="79">
        <f>Migrationsartikel!B34</f>
        <v>0</v>
      </c>
      <c r="L35" s="54" t="str">
        <f>_xlfn.TEXTJOIN(" ",TRUE,Migrationsartikel!F34:H34)</f>
        <v>Ravioli aus der Region 1Stk</v>
      </c>
      <c r="M35" s="54" t="str">
        <f>_xlfn.TEXTJOIN(" ",TRUE,Migrationsartikel!J34:L34)</f>
        <v>Ravioli de la région 1pce</v>
      </c>
      <c r="N35" s="54" t="str">
        <f>_xlfn.TEXTJOIN(" ",TRUE,Migrationsartikel!N34:P34)</f>
        <v>Ravioli della regione 1pz</v>
      </c>
      <c r="O35" s="54" t="str">
        <f>Migrationsartikel!F34</f>
        <v>Ravioli</v>
      </c>
      <c r="P35" s="54" t="str">
        <f>Migrationsartikel!J34</f>
        <v>Ravioli</v>
      </c>
      <c r="Q35" s="54" t="str">
        <f>Migrationsartikel!N34</f>
        <v>Ravioli</v>
      </c>
      <c r="R35" s="54" t="str">
        <f>_xlfn.TEXTJOIN(" ",TRUE,Migrationsartikel!G34)</f>
        <v>aus der Region</v>
      </c>
      <c r="S35" s="54" t="str">
        <f>_xlfn.TEXTJOIN(" ",TRUE,Migrationsartikel!K34)</f>
        <v>de la région</v>
      </c>
      <c r="T35" s="54" t="str">
        <f>_xlfn.TEXTJOIN(" ",TRUE,Migrationsartikel!O34)</f>
        <v>della regione</v>
      </c>
      <c r="U35" s="54" t="str">
        <f>_xlfn.TEXTJOIN(" ",TRUE,Migrationsartikel!H34)</f>
        <v>1Stk</v>
      </c>
      <c r="V35" s="54" t="str">
        <f>_xlfn.TEXTJOIN(" ",TRUE,Migrationsartikel!L34)</f>
        <v>1pce</v>
      </c>
      <c r="W35" s="54" t="str">
        <f>_xlfn.TEXTJOIN(" ",TRUE,Migrationsartikel!P34)</f>
        <v>1pz</v>
      </c>
      <c r="X35" s="54" t="str">
        <f>Migrationsartikel!I34</f>
        <v>Ravioli</v>
      </c>
      <c r="Y35" s="54" t="str">
        <f>Migrationsartikel!M34</f>
        <v>Ravioli</v>
      </c>
      <c r="Z35" s="54" t="str">
        <f>Migrationsartikel!Q34</f>
        <v>Ravioli</v>
      </c>
      <c r="AA35" s="63">
        <f>Migrationsartikel!R34</f>
        <v>1</v>
      </c>
      <c r="AB35" s="54" t="str">
        <f>Migrationsartikel!T34</f>
        <v>Stück</v>
      </c>
      <c r="AC35" s="65">
        <f>Migrationsartikel!S34</f>
        <v>1</v>
      </c>
      <c r="AD35" s="54" t="str">
        <f>Migrationsartikel!U34</f>
        <v>(PCE) Stück</v>
      </c>
      <c r="AE35" s="55" t="s">
        <v>179</v>
      </c>
      <c r="AF35" s="67">
        <f>Migrationsartikel!AA34</f>
        <v>0</v>
      </c>
      <c r="AG35" s="55" t="s">
        <v>192</v>
      </c>
      <c r="AH35" s="54" t="str">
        <f>IF(Migrationsartikel!AB34="ja","true",FALSE)</f>
        <v>true</v>
      </c>
      <c r="AI35" s="54" t="str">
        <f>IF(Migrationsartikel!AC34="ja","true",FALSE)</f>
        <v>true</v>
      </c>
      <c r="AJ35" s="54" t="str">
        <f>IF(Migrationsartikel!AD34="ja","true",FALSE)</f>
        <v>true</v>
      </c>
      <c r="AK35" s="54" t="str">
        <f>IF(Migrationsartikel!AE34="ja","true",FALSE)</f>
        <v>true</v>
      </c>
      <c r="AL35" s="54" t="str">
        <f>IF(Migrationsartikel!AF34="ja","Denner Partner","")</f>
        <v/>
      </c>
      <c r="AM35" s="54" t="str">
        <f>IF(Migrationsartikel!AG34="ja","true","false")</f>
        <v>false</v>
      </c>
      <c r="AN35" s="54" t="str">
        <f t="shared" si="1"/>
        <v>Kassentastenbelegung (ohne GTIN/PLU)</v>
      </c>
      <c r="AO35" s="66" t="s">
        <v>219</v>
      </c>
      <c r="AP35" s="65" t="s">
        <v>1468</v>
      </c>
      <c r="AQ35" s="66" t="s">
        <v>217</v>
      </c>
      <c r="AR35" s="30" t="s">
        <v>219</v>
      </c>
    </row>
    <row r="36" spans="2:44" ht="21.75" customHeight="1" x14ac:dyDescent="0.45">
      <c r="B36" s="54" t="s">
        <v>99</v>
      </c>
      <c r="E36" s="55" t="s">
        <v>87</v>
      </c>
      <c r="F36" s="54" t="str">
        <f>"Warengruppe&gt;&gt;"&amp;_xlfn.TEXTJOIN("&gt;&gt;",TRUE,Migrationsartikel!V35:X35)</f>
        <v>Warengruppe&gt;&gt;Backwaren &amp; Convenience&gt;&gt;Brot und Backwaren&gt;&gt;Backwaren andere</v>
      </c>
      <c r="H36" s="55" t="s">
        <v>109</v>
      </c>
      <c r="J36" s="79">
        <f>Migrationsartikel!B35</f>
        <v>0</v>
      </c>
      <c r="L36" s="54" t="str">
        <f>_xlfn.TEXTJOIN(" ",TRUE,Migrationsartikel!F35:H35)</f>
        <v>Ruchbrot aus der Region 1kg</v>
      </c>
      <c r="M36" s="54" t="str">
        <f>_xlfn.TEXTJOIN(" ",TRUE,Migrationsartikel!J35:L35)</f>
        <v>Pain bis de la région 1kg</v>
      </c>
      <c r="N36" s="54" t="str">
        <f>_xlfn.TEXTJOIN(" ",TRUE,Migrationsartikel!N35:P35)</f>
        <v>Pane bigio della regione 1kg</v>
      </c>
      <c r="O36" s="54" t="str">
        <f>Migrationsartikel!F35</f>
        <v>Ruchbrot</v>
      </c>
      <c r="P36" s="54" t="str">
        <f>Migrationsartikel!J35</f>
        <v>Pain bis</v>
      </c>
      <c r="Q36" s="54" t="str">
        <f>Migrationsartikel!N35</f>
        <v>Pane bigio</v>
      </c>
      <c r="R36" s="54" t="str">
        <f>_xlfn.TEXTJOIN(" ",TRUE,Migrationsartikel!G35)</f>
        <v>aus der Region</v>
      </c>
      <c r="S36" s="54" t="str">
        <f>_xlfn.TEXTJOIN(" ",TRUE,Migrationsartikel!K35)</f>
        <v>de la région</v>
      </c>
      <c r="T36" s="54" t="str">
        <f>_xlfn.TEXTJOIN(" ",TRUE,Migrationsartikel!O35)</f>
        <v>della regione</v>
      </c>
      <c r="U36" s="54" t="str">
        <f>_xlfn.TEXTJOIN(" ",TRUE,Migrationsartikel!H35)</f>
        <v>1kg</v>
      </c>
      <c r="V36" s="54" t="str">
        <f>_xlfn.TEXTJOIN(" ",TRUE,Migrationsartikel!L35)</f>
        <v>1kg</v>
      </c>
      <c r="W36" s="54" t="str">
        <f>_xlfn.TEXTJOIN(" ",TRUE,Migrationsartikel!P35)</f>
        <v>1kg</v>
      </c>
      <c r="X36" s="54" t="str">
        <f>Migrationsartikel!I35</f>
        <v>Ruchbrot 1kg</v>
      </c>
      <c r="Y36" s="54" t="str">
        <f>Migrationsartikel!M35</f>
        <v>Pain bis 1kg</v>
      </c>
      <c r="Z36" s="54" t="str">
        <f>Migrationsartikel!Q35</f>
        <v>Pane bigio 1kg</v>
      </c>
      <c r="AA36" s="63">
        <f>Migrationsartikel!R35</f>
        <v>1</v>
      </c>
      <c r="AB36" s="54" t="str">
        <f>Migrationsartikel!T35</f>
        <v>Gramm</v>
      </c>
      <c r="AC36" s="65">
        <f>Migrationsartikel!S35</f>
        <v>100</v>
      </c>
      <c r="AD36" s="54" t="str">
        <f>Migrationsartikel!U35</f>
        <v>(PCE) Stück</v>
      </c>
      <c r="AE36" s="55" t="s">
        <v>179</v>
      </c>
      <c r="AF36" s="67">
        <f>Migrationsartikel!AA35</f>
        <v>0</v>
      </c>
      <c r="AG36" s="55" t="s">
        <v>192</v>
      </c>
      <c r="AH36" s="54" t="str">
        <f>IF(Migrationsartikel!AB35="ja","true",FALSE)</f>
        <v>true</v>
      </c>
      <c r="AI36" s="54" t="str">
        <f>IF(Migrationsartikel!AC35="ja","true",FALSE)</f>
        <v>true</v>
      </c>
      <c r="AJ36" s="54" t="str">
        <f>IF(Migrationsartikel!AD35="ja","true",FALSE)</f>
        <v>true</v>
      </c>
      <c r="AK36" s="54" t="str">
        <f>IF(Migrationsartikel!AE35="ja","true",FALSE)</f>
        <v>true</v>
      </c>
      <c r="AL36" s="54" t="str">
        <f>IF(Migrationsartikel!AF35="ja","Denner Partner","")</f>
        <v/>
      </c>
      <c r="AM36" s="54" t="str">
        <f>IF(Migrationsartikel!AG35="ja","true","false")</f>
        <v>false</v>
      </c>
      <c r="AN36" s="54" t="str">
        <f t="shared" si="1"/>
        <v>Kassentastenbelegung (ohne GTIN/PLU)</v>
      </c>
      <c r="AO36" s="66" t="s">
        <v>219</v>
      </c>
      <c r="AP36" s="65" t="s">
        <v>1469</v>
      </c>
      <c r="AQ36" s="66" t="s">
        <v>217</v>
      </c>
      <c r="AR36" s="30" t="s">
        <v>219</v>
      </c>
    </row>
    <row r="37" spans="2:44" ht="21.75" customHeight="1" x14ac:dyDescent="0.45">
      <c r="B37" s="54" t="s">
        <v>99</v>
      </c>
      <c r="E37" s="55" t="s">
        <v>87</v>
      </c>
      <c r="F37" s="54" t="str">
        <f>"Warengruppe&gt;&gt;"&amp;_xlfn.TEXTJOIN("&gt;&gt;",TRUE,Migrationsartikel!V36:X36)</f>
        <v>Warengruppe&gt;&gt;Backwaren &amp; Convenience&gt;&gt;Brot und Backwaren&gt;&gt;Backwaren andere</v>
      </c>
      <c r="H37" s="55" t="s">
        <v>109</v>
      </c>
      <c r="J37" s="79">
        <f>Migrationsartikel!B36</f>
        <v>0</v>
      </c>
      <c r="L37" s="54" t="str">
        <f>_xlfn.TEXTJOIN(" ",TRUE,Migrationsartikel!F36:H36)</f>
        <v>Ruchbrot aus der Region 500g</v>
      </c>
      <c r="M37" s="54" t="str">
        <f>_xlfn.TEXTJOIN(" ",TRUE,Migrationsartikel!J36:L36)</f>
        <v>Pain bis de la région 500g</v>
      </c>
      <c r="N37" s="54" t="str">
        <f>_xlfn.TEXTJOIN(" ",TRUE,Migrationsartikel!N36:P36)</f>
        <v>Pane bigio della regione 500g</v>
      </c>
      <c r="O37" s="54" t="str">
        <f>Migrationsartikel!F36</f>
        <v>Ruchbrot</v>
      </c>
      <c r="P37" s="54" t="str">
        <f>Migrationsartikel!J36</f>
        <v>Pain bis</v>
      </c>
      <c r="Q37" s="54" t="str">
        <f>Migrationsartikel!N36</f>
        <v>Pane bigio</v>
      </c>
      <c r="R37" s="54" t="str">
        <f>_xlfn.TEXTJOIN(" ",TRUE,Migrationsartikel!G36)</f>
        <v>aus der Region</v>
      </c>
      <c r="S37" s="54" t="str">
        <f>_xlfn.TEXTJOIN(" ",TRUE,Migrationsartikel!K36)</f>
        <v>de la région</v>
      </c>
      <c r="T37" s="54" t="str">
        <f>_xlfn.TEXTJOIN(" ",TRUE,Migrationsartikel!O36)</f>
        <v>della regione</v>
      </c>
      <c r="U37" s="54" t="str">
        <f>_xlfn.TEXTJOIN(" ",TRUE,Migrationsartikel!H36)</f>
        <v>500g</v>
      </c>
      <c r="V37" s="54" t="str">
        <f>_xlfn.TEXTJOIN(" ",TRUE,Migrationsartikel!L36)</f>
        <v>500g</v>
      </c>
      <c r="W37" s="54" t="str">
        <f>_xlfn.TEXTJOIN(" ",TRUE,Migrationsartikel!P36)</f>
        <v>500g</v>
      </c>
      <c r="X37" s="54" t="str">
        <f>Migrationsartikel!I36</f>
        <v>Ruchbrot 500g</v>
      </c>
      <c r="Y37" s="54" t="str">
        <f>Migrationsartikel!M36</f>
        <v>Pain bis 500g</v>
      </c>
      <c r="Z37" s="54" t="str">
        <f>Migrationsartikel!Q36</f>
        <v>Pane bigio 500g</v>
      </c>
      <c r="AA37" s="63">
        <f>Migrationsartikel!R36</f>
        <v>0.5</v>
      </c>
      <c r="AB37" s="54" t="str">
        <f>Migrationsartikel!T36</f>
        <v>Gramm</v>
      </c>
      <c r="AC37" s="65">
        <f>Migrationsartikel!S36</f>
        <v>100</v>
      </c>
      <c r="AD37" s="54" t="str">
        <f>Migrationsartikel!U36</f>
        <v>(PCE) Stück</v>
      </c>
      <c r="AE37" s="55" t="s">
        <v>179</v>
      </c>
      <c r="AF37" s="67">
        <f>Migrationsartikel!AA36</f>
        <v>0</v>
      </c>
      <c r="AG37" s="55" t="s">
        <v>192</v>
      </c>
      <c r="AH37" s="54" t="str">
        <f>IF(Migrationsartikel!AB36="ja","true",FALSE)</f>
        <v>true</v>
      </c>
      <c r="AI37" s="54" t="str">
        <f>IF(Migrationsartikel!AC36="ja","true",FALSE)</f>
        <v>true</v>
      </c>
      <c r="AJ37" s="54" t="str">
        <f>IF(Migrationsartikel!AD36="ja","true",FALSE)</f>
        <v>true</v>
      </c>
      <c r="AK37" s="54" t="str">
        <f>IF(Migrationsartikel!AE36="ja","true",FALSE)</f>
        <v>true</v>
      </c>
      <c r="AL37" s="54" t="str">
        <f>IF(Migrationsartikel!AF36="ja","Denner Partner","")</f>
        <v/>
      </c>
      <c r="AM37" s="54" t="str">
        <f>IF(Migrationsartikel!AG36="ja","true","false")</f>
        <v>false</v>
      </c>
      <c r="AN37" s="54" t="str">
        <f t="shared" si="1"/>
        <v>Kassentastenbelegung (ohne GTIN/PLU)</v>
      </c>
      <c r="AO37" s="66" t="s">
        <v>219</v>
      </c>
      <c r="AP37" s="65" t="s">
        <v>1470</v>
      </c>
      <c r="AQ37" s="66" t="s">
        <v>217</v>
      </c>
      <c r="AR37" s="30" t="s">
        <v>219</v>
      </c>
    </row>
    <row r="38" spans="2:44" ht="21.75" customHeight="1" x14ac:dyDescent="0.45">
      <c r="B38" s="54" t="s">
        <v>99</v>
      </c>
      <c r="E38" s="55" t="s">
        <v>87</v>
      </c>
      <c r="F38" s="54" t="str">
        <f>"Warengruppe&gt;&gt;"&amp;_xlfn.TEXTJOIN("&gt;&gt;",TRUE,Migrationsartikel!V37:X37)</f>
        <v>Warengruppe&gt;&gt;Backwaren &amp; Convenience&gt;&gt;Brot und Backwaren&gt;&gt;Backwaren andere</v>
      </c>
      <c r="H38" s="55" t="s">
        <v>109</v>
      </c>
      <c r="J38" s="79">
        <f>Migrationsartikel!B37</f>
        <v>0</v>
      </c>
      <c r="L38" s="54" t="str">
        <f>_xlfn.TEXTJOIN(" ",TRUE,Migrationsartikel!F37:H37)</f>
        <v>Ruchbrot aus der Region 250g</v>
      </c>
      <c r="M38" s="54" t="str">
        <f>_xlfn.TEXTJOIN(" ",TRUE,Migrationsartikel!J37:L37)</f>
        <v>Pain bis de la région 250g</v>
      </c>
      <c r="N38" s="54" t="str">
        <f>_xlfn.TEXTJOIN(" ",TRUE,Migrationsartikel!N37:P37)</f>
        <v>Pane bigio della regione 250g</v>
      </c>
      <c r="O38" s="54" t="str">
        <f>Migrationsartikel!F37</f>
        <v>Ruchbrot</v>
      </c>
      <c r="P38" s="54" t="str">
        <f>Migrationsartikel!J37</f>
        <v>Pain bis</v>
      </c>
      <c r="Q38" s="54" t="str">
        <f>Migrationsartikel!N37</f>
        <v>Pane bigio</v>
      </c>
      <c r="R38" s="54" t="str">
        <f>_xlfn.TEXTJOIN(" ",TRUE,Migrationsartikel!G37)</f>
        <v>aus der Region</v>
      </c>
      <c r="S38" s="54" t="str">
        <f>_xlfn.TEXTJOIN(" ",TRUE,Migrationsartikel!K37)</f>
        <v>de la région</v>
      </c>
      <c r="T38" s="54" t="str">
        <f>_xlfn.TEXTJOIN(" ",TRUE,Migrationsartikel!O37)</f>
        <v>della regione</v>
      </c>
      <c r="U38" s="54" t="str">
        <f>_xlfn.TEXTJOIN(" ",TRUE,Migrationsartikel!H37)</f>
        <v>250g</v>
      </c>
      <c r="V38" s="54" t="str">
        <f>_xlfn.TEXTJOIN(" ",TRUE,Migrationsartikel!L37)</f>
        <v>250g</v>
      </c>
      <c r="W38" s="54" t="str">
        <f>_xlfn.TEXTJOIN(" ",TRUE,Migrationsartikel!P37)</f>
        <v>250g</v>
      </c>
      <c r="X38" s="54" t="str">
        <f>Migrationsartikel!I37</f>
        <v>Ruchbrot 250g</v>
      </c>
      <c r="Y38" s="54" t="str">
        <f>Migrationsartikel!M37</f>
        <v>Pain bis 250g</v>
      </c>
      <c r="Z38" s="54" t="str">
        <f>Migrationsartikel!Q37</f>
        <v>Pane bigio 250g</v>
      </c>
      <c r="AA38" s="63">
        <f>Migrationsartikel!R37</f>
        <v>0.25</v>
      </c>
      <c r="AB38" s="54" t="str">
        <f>Migrationsartikel!T37</f>
        <v>Gramm</v>
      </c>
      <c r="AC38" s="65">
        <f>Migrationsartikel!S37</f>
        <v>100</v>
      </c>
      <c r="AD38" s="54" t="str">
        <f>Migrationsartikel!U37</f>
        <v>(PCE) Stück</v>
      </c>
      <c r="AE38" s="55" t="s">
        <v>179</v>
      </c>
      <c r="AF38" s="67">
        <f>Migrationsartikel!AA37</f>
        <v>0</v>
      </c>
      <c r="AG38" s="55" t="s">
        <v>192</v>
      </c>
      <c r="AH38" s="54" t="str">
        <f>IF(Migrationsartikel!AB37="ja","true",FALSE)</f>
        <v>true</v>
      </c>
      <c r="AI38" s="54" t="str">
        <f>IF(Migrationsartikel!AC37="ja","true",FALSE)</f>
        <v>true</v>
      </c>
      <c r="AJ38" s="54" t="str">
        <f>IF(Migrationsartikel!AD37="ja","true",FALSE)</f>
        <v>true</v>
      </c>
      <c r="AK38" s="54" t="str">
        <f>IF(Migrationsartikel!AE37="ja","true",FALSE)</f>
        <v>true</v>
      </c>
      <c r="AL38" s="54" t="str">
        <f>IF(Migrationsartikel!AF37="ja","Denner Partner","")</f>
        <v/>
      </c>
      <c r="AM38" s="54" t="str">
        <f>IF(Migrationsartikel!AG37="ja","true","false")</f>
        <v>false</v>
      </c>
      <c r="AN38" s="54" t="str">
        <f t="shared" si="1"/>
        <v>Kassentastenbelegung (ohne GTIN/PLU)</v>
      </c>
      <c r="AO38" s="66" t="s">
        <v>219</v>
      </c>
      <c r="AP38" s="65" t="s">
        <v>1471</v>
      </c>
      <c r="AQ38" s="66" t="s">
        <v>217</v>
      </c>
      <c r="AR38" s="30" t="s">
        <v>219</v>
      </c>
    </row>
    <row r="39" spans="2:44" ht="21.75" customHeight="1" x14ac:dyDescent="0.45">
      <c r="B39" s="54" t="s">
        <v>99</v>
      </c>
      <c r="E39" s="55" t="s">
        <v>87</v>
      </c>
      <c r="F39" s="54" t="str">
        <f>"Warengruppe&gt;&gt;"&amp;_xlfn.TEXTJOIN("&gt;&gt;",TRUE,Migrationsartikel!V38:X38)</f>
        <v>Warengruppe&gt;&gt;Backwaren &amp; Convenience&gt;&gt;Brot und Backwaren&gt;&gt;Backwaren andere</v>
      </c>
      <c r="H39" s="55" t="s">
        <v>109</v>
      </c>
      <c r="J39" s="79">
        <f>Migrationsartikel!B38</f>
        <v>0</v>
      </c>
      <c r="L39" s="54" t="str">
        <f>_xlfn.TEXTJOIN(" ",TRUE,Migrationsartikel!F38:H38)</f>
        <v>Sandwich aus der Region 1Stk</v>
      </c>
      <c r="M39" s="54" t="str">
        <f>_xlfn.TEXTJOIN(" ",TRUE,Migrationsartikel!J38:L38)</f>
        <v>Sandwich de la région 1pce</v>
      </c>
      <c r="N39" s="54" t="str">
        <f>_xlfn.TEXTJOIN(" ",TRUE,Migrationsartikel!N38:P38)</f>
        <v>Panino della regione 1pz</v>
      </c>
      <c r="O39" s="54" t="str">
        <f>Migrationsartikel!F38</f>
        <v>Sandwich</v>
      </c>
      <c r="P39" s="54" t="str">
        <f>Migrationsartikel!J38</f>
        <v>Sandwich</v>
      </c>
      <c r="Q39" s="54" t="str">
        <f>Migrationsartikel!N38</f>
        <v>Panino</v>
      </c>
      <c r="R39" s="54" t="str">
        <f>_xlfn.TEXTJOIN(" ",TRUE,Migrationsartikel!G38)</f>
        <v>aus der Region</v>
      </c>
      <c r="S39" s="54" t="str">
        <f>_xlfn.TEXTJOIN(" ",TRUE,Migrationsartikel!K38)</f>
        <v>de la région</v>
      </c>
      <c r="T39" s="54" t="str">
        <f>_xlfn.TEXTJOIN(" ",TRUE,Migrationsartikel!O38)</f>
        <v>della regione</v>
      </c>
      <c r="U39" s="54" t="str">
        <f>_xlfn.TEXTJOIN(" ",TRUE,Migrationsartikel!H38)</f>
        <v>1Stk</v>
      </c>
      <c r="V39" s="54" t="str">
        <f>_xlfn.TEXTJOIN(" ",TRUE,Migrationsartikel!L38)</f>
        <v>1pce</v>
      </c>
      <c r="W39" s="54" t="str">
        <f>_xlfn.TEXTJOIN(" ",TRUE,Migrationsartikel!P38)</f>
        <v>1pz</v>
      </c>
      <c r="X39" s="54" t="str">
        <f>Migrationsartikel!I38</f>
        <v>Sandwich</v>
      </c>
      <c r="Y39" s="54" t="str">
        <f>Migrationsartikel!M38</f>
        <v>Sandwich</v>
      </c>
      <c r="Z39" s="54" t="str">
        <f>Migrationsartikel!Q38</f>
        <v>Panino</v>
      </c>
      <c r="AA39" s="63">
        <f>Migrationsartikel!R38</f>
        <v>1</v>
      </c>
      <c r="AB39" s="54" t="str">
        <f>Migrationsartikel!T38</f>
        <v>Stück</v>
      </c>
      <c r="AC39" s="65">
        <f>Migrationsartikel!S38</f>
        <v>1</v>
      </c>
      <c r="AD39" s="54" t="str">
        <f>Migrationsartikel!U38</f>
        <v>(PCE) Stück</v>
      </c>
      <c r="AE39" s="55" t="s">
        <v>179</v>
      </c>
      <c r="AF39" s="67">
        <f>Migrationsartikel!AA38</f>
        <v>0</v>
      </c>
      <c r="AG39" s="55" t="s">
        <v>192</v>
      </c>
      <c r="AH39" s="54" t="str">
        <f>IF(Migrationsartikel!AB38="ja","true",FALSE)</f>
        <v>true</v>
      </c>
      <c r="AI39" s="54" t="str">
        <f>IF(Migrationsartikel!AC38="ja","true",FALSE)</f>
        <v>true</v>
      </c>
      <c r="AJ39" s="54" t="str">
        <f>IF(Migrationsartikel!AD38="ja","true",FALSE)</f>
        <v>true</v>
      </c>
      <c r="AK39" s="54" t="str">
        <f>IF(Migrationsartikel!AE38="ja","true",FALSE)</f>
        <v>true</v>
      </c>
      <c r="AL39" s="54" t="str">
        <f>IF(Migrationsartikel!AF38="ja","Denner Partner","")</f>
        <v/>
      </c>
      <c r="AM39" s="54" t="str">
        <f>IF(Migrationsartikel!AG38="ja","true","false")</f>
        <v>false</v>
      </c>
      <c r="AN39" s="54" t="str">
        <f t="shared" si="1"/>
        <v>Kassentastenbelegung (ohne GTIN/PLU)</v>
      </c>
      <c r="AO39" s="66" t="s">
        <v>219</v>
      </c>
      <c r="AP39" s="65" t="s">
        <v>1472</v>
      </c>
      <c r="AQ39" s="66" t="s">
        <v>217</v>
      </c>
      <c r="AR39" s="30" t="s">
        <v>219</v>
      </c>
    </row>
    <row r="40" spans="2:44" ht="21.75" customHeight="1" x14ac:dyDescent="0.45">
      <c r="B40" s="54" t="s">
        <v>99</v>
      </c>
      <c r="E40" s="55" t="s">
        <v>87</v>
      </c>
      <c r="F40" s="54" t="str">
        <f>"Warengruppe&gt;&gt;"&amp;_xlfn.TEXTJOIN("&gt;&gt;",TRUE,Migrationsartikel!V39:X39)</f>
        <v>Warengruppe&gt;&gt;Backwaren &amp; Convenience&gt;&gt;Brot und Backwaren&gt;&gt;Backwaren andere</v>
      </c>
      <c r="H40" s="55" t="s">
        <v>109</v>
      </c>
      <c r="J40" s="79">
        <f>Migrationsartikel!B39</f>
        <v>0</v>
      </c>
      <c r="L40" s="54" t="str">
        <f>_xlfn.TEXTJOIN(" ",TRUE,Migrationsartikel!F39:H39)</f>
        <v>Sandwichbrötli gross aus der Region 1Stk</v>
      </c>
      <c r="M40" s="54" t="str">
        <f>_xlfn.TEXTJOIN(" ",TRUE,Migrationsartikel!J39:L39)</f>
        <v>Pain sandwich grand de la région 1pce</v>
      </c>
      <c r="N40" s="54" t="str">
        <f>_xlfn.TEXTJOIN(" ",TRUE,Migrationsartikel!N39:P39)</f>
        <v>Pane per panino grande della regione 1pz</v>
      </c>
      <c r="O40" s="54" t="str">
        <f>Migrationsartikel!F39</f>
        <v>Sandwichbrötli gross</v>
      </c>
      <c r="P40" s="54" t="str">
        <f>Migrationsartikel!J39</f>
        <v>Pain sandwich grand</v>
      </c>
      <c r="Q40" s="54" t="str">
        <f>Migrationsartikel!N39</f>
        <v>Pane per panino grande</v>
      </c>
      <c r="R40" s="54" t="str">
        <f>_xlfn.TEXTJOIN(" ",TRUE,Migrationsartikel!G39)</f>
        <v>aus der Region</v>
      </c>
      <c r="S40" s="54" t="str">
        <f>_xlfn.TEXTJOIN(" ",TRUE,Migrationsartikel!K39)</f>
        <v>de la région</v>
      </c>
      <c r="T40" s="54" t="str">
        <f>_xlfn.TEXTJOIN(" ",TRUE,Migrationsartikel!O39)</f>
        <v>della regione</v>
      </c>
      <c r="U40" s="54" t="str">
        <f>_xlfn.TEXTJOIN(" ",TRUE,Migrationsartikel!H39)</f>
        <v>1Stk</v>
      </c>
      <c r="V40" s="54" t="str">
        <f>_xlfn.TEXTJOIN(" ",TRUE,Migrationsartikel!L39)</f>
        <v>1pce</v>
      </c>
      <c r="W40" s="54" t="str">
        <f>_xlfn.TEXTJOIN(" ",TRUE,Migrationsartikel!P39)</f>
        <v>1pz</v>
      </c>
      <c r="X40" s="54" t="str">
        <f>Migrationsartikel!I39</f>
        <v>Sandwichbrötli gross</v>
      </c>
      <c r="Y40" s="54" t="str">
        <f>Migrationsartikel!M39</f>
        <v>Pain sandwich grand</v>
      </c>
      <c r="Z40" s="54" t="str">
        <f>Migrationsartikel!Q39</f>
        <v>Pane per panino grande</v>
      </c>
      <c r="AA40" s="63">
        <f>Migrationsartikel!R39</f>
        <v>1</v>
      </c>
      <c r="AB40" s="54" t="str">
        <f>Migrationsartikel!T39</f>
        <v>Stück</v>
      </c>
      <c r="AC40" s="65">
        <f>Migrationsartikel!S39</f>
        <v>1</v>
      </c>
      <c r="AD40" s="54" t="str">
        <f>Migrationsartikel!U39</f>
        <v>(PCE) Stück</v>
      </c>
      <c r="AE40" s="55" t="s">
        <v>179</v>
      </c>
      <c r="AF40" s="67">
        <f>Migrationsartikel!AA39</f>
        <v>0</v>
      </c>
      <c r="AG40" s="55" t="s">
        <v>192</v>
      </c>
      <c r="AH40" s="54" t="str">
        <f>IF(Migrationsartikel!AB39="ja","true",FALSE)</f>
        <v>true</v>
      </c>
      <c r="AI40" s="54" t="str">
        <f>IF(Migrationsartikel!AC39="ja","true",FALSE)</f>
        <v>true</v>
      </c>
      <c r="AJ40" s="54" t="str">
        <f>IF(Migrationsartikel!AD39="ja","true",FALSE)</f>
        <v>true</v>
      </c>
      <c r="AK40" s="54" t="str">
        <f>IF(Migrationsartikel!AE39="ja","true",FALSE)</f>
        <v>true</v>
      </c>
      <c r="AL40" s="54" t="str">
        <f>IF(Migrationsartikel!AF39="ja","Denner Partner","")</f>
        <v/>
      </c>
      <c r="AM40" s="54" t="str">
        <f>IF(Migrationsartikel!AG39="ja","true","false")</f>
        <v>false</v>
      </c>
      <c r="AN40" s="54" t="str">
        <f t="shared" si="1"/>
        <v>Kassentastenbelegung (ohne GTIN/PLU)</v>
      </c>
      <c r="AO40" s="66" t="s">
        <v>219</v>
      </c>
      <c r="AP40" s="65" t="s">
        <v>1473</v>
      </c>
      <c r="AQ40" s="66" t="s">
        <v>217</v>
      </c>
      <c r="AR40" s="30" t="s">
        <v>219</v>
      </c>
    </row>
    <row r="41" spans="2:44" ht="21.75" customHeight="1" x14ac:dyDescent="0.45">
      <c r="B41" s="54" t="s">
        <v>99</v>
      </c>
      <c r="E41" s="55" t="s">
        <v>87</v>
      </c>
      <c r="F41" s="54" t="str">
        <f>"Warengruppe&gt;&gt;"&amp;_xlfn.TEXTJOIN("&gt;&gt;",TRUE,Migrationsartikel!V40:X40)</f>
        <v>Warengruppe&gt;&gt;Backwaren &amp; Convenience&gt;&gt;Brot und Backwaren&gt;&gt;Backwaren andere</v>
      </c>
      <c r="H41" s="55" t="s">
        <v>109</v>
      </c>
      <c r="J41" s="79">
        <f>Migrationsartikel!B40</f>
        <v>0</v>
      </c>
      <c r="L41" s="54" t="str">
        <f>_xlfn.TEXTJOIN(" ",TRUE,Migrationsartikel!F40:H40)</f>
        <v>Sandwichbrötli klein aus der Region 1Stk</v>
      </c>
      <c r="M41" s="54" t="str">
        <f>_xlfn.TEXTJOIN(" ",TRUE,Migrationsartikel!J40:L40)</f>
        <v>Pain sandwich petit de la région 1pce</v>
      </c>
      <c r="N41" s="54" t="str">
        <f>_xlfn.TEXTJOIN(" ",TRUE,Migrationsartikel!N40:P40)</f>
        <v>Pane per panino picc. della regione 1pz</v>
      </c>
      <c r="O41" s="54" t="str">
        <f>Migrationsartikel!F40</f>
        <v>Sandwichbrötli klein</v>
      </c>
      <c r="P41" s="54" t="str">
        <f>Migrationsartikel!J40</f>
        <v>Pain sandwich petit</v>
      </c>
      <c r="Q41" s="54" t="str">
        <f>Migrationsartikel!N40</f>
        <v>Pane per panino picc.</v>
      </c>
      <c r="R41" s="54" t="str">
        <f>_xlfn.TEXTJOIN(" ",TRUE,Migrationsartikel!G40)</f>
        <v>aus der Region</v>
      </c>
      <c r="S41" s="54" t="str">
        <f>_xlfn.TEXTJOIN(" ",TRUE,Migrationsartikel!K40)</f>
        <v>de la région</v>
      </c>
      <c r="T41" s="54" t="str">
        <f>_xlfn.TEXTJOIN(" ",TRUE,Migrationsartikel!O40)</f>
        <v>della regione</v>
      </c>
      <c r="U41" s="54" t="str">
        <f>_xlfn.TEXTJOIN(" ",TRUE,Migrationsartikel!H40)</f>
        <v>1Stk</v>
      </c>
      <c r="V41" s="54" t="str">
        <f>_xlfn.TEXTJOIN(" ",TRUE,Migrationsartikel!L40)</f>
        <v>1pce</v>
      </c>
      <c r="W41" s="54" t="str">
        <f>_xlfn.TEXTJOIN(" ",TRUE,Migrationsartikel!P40)</f>
        <v>1pz</v>
      </c>
      <c r="X41" s="54" t="str">
        <f>Migrationsartikel!I40</f>
        <v>Sandwichbrötli klein</v>
      </c>
      <c r="Y41" s="54" t="str">
        <f>Migrationsartikel!M40</f>
        <v>Pain sandwich petit</v>
      </c>
      <c r="Z41" s="54" t="str">
        <f>Migrationsartikel!Q40</f>
        <v>Pane per panino picc.</v>
      </c>
      <c r="AA41" s="63">
        <f>Migrationsartikel!R40</f>
        <v>1</v>
      </c>
      <c r="AB41" s="54" t="str">
        <f>Migrationsartikel!T40</f>
        <v>Stück</v>
      </c>
      <c r="AC41" s="65">
        <f>Migrationsartikel!S40</f>
        <v>1</v>
      </c>
      <c r="AD41" s="54" t="str">
        <f>Migrationsartikel!U40</f>
        <v>(PCE) Stück</v>
      </c>
      <c r="AE41" s="55" t="s">
        <v>179</v>
      </c>
      <c r="AF41" s="67">
        <f>Migrationsartikel!AA40</f>
        <v>0</v>
      </c>
      <c r="AG41" s="55" t="s">
        <v>192</v>
      </c>
      <c r="AH41" s="54" t="str">
        <f>IF(Migrationsartikel!AB40="ja","true",FALSE)</f>
        <v>true</v>
      </c>
      <c r="AI41" s="54" t="str">
        <f>IF(Migrationsartikel!AC40="ja","true",FALSE)</f>
        <v>true</v>
      </c>
      <c r="AJ41" s="54" t="str">
        <f>IF(Migrationsartikel!AD40="ja","true",FALSE)</f>
        <v>true</v>
      </c>
      <c r="AK41" s="54" t="str">
        <f>IF(Migrationsartikel!AE40="ja","true",FALSE)</f>
        <v>true</v>
      </c>
      <c r="AL41" s="54" t="str">
        <f>IF(Migrationsartikel!AF40="ja","Denner Partner","")</f>
        <v/>
      </c>
      <c r="AM41" s="54" t="str">
        <f>IF(Migrationsartikel!AG40="ja","true","false")</f>
        <v>false</v>
      </c>
      <c r="AN41" s="54" t="str">
        <f t="shared" si="1"/>
        <v>Kassentastenbelegung (ohne GTIN/PLU)</v>
      </c>
      <c r="AO41" s="66" t="s">
        <v>219</v>
      </c>
      <c r="AP41" s="65" t="s">
        <v>1474</v>
      </c>
      <c r="AQ41" s="66" t="s">
        <v>217</v>
      </c>
      <c r="AR41" s="30" t="s">
        <v>219</v>
      </c>
    </row>
    <row r="42" spans="2:44" ht="21.75" customHeight="1" x14ac:dyDescent="0.45">
      <c r="B42" s="54" t="s">
        <v>99</v>
      </c>
      <c r="E42" s="55" t="s">
        <v>87</v>
      </c>
      <c r="F42" s="54" t="str">
        <f>"Warengruppe&gt;&gt;"&amp;_xlfn.TEXTJOIN("&gt;&gt;",TRUE,Migrationsartikel!V41:X41)</f>
        <v>Warengruppe&gt;&gt;Backwaren &amp; Convenience&gt;&gt;Brot und Backwaren&gt;&gt;Backwaren andere</v>
      </c>
      <c r="H42" s="55" t="s">
        <v>109</v>
      </c>
      <c r="J42" s="79">
        <f>Migrationsartikel!B41</f>
        <v>0</v>
      </c>
      <c r="L42" s="54" t="str">
        <f>_xlfn.TEXTJOIN(" ",TRUE,Migrationsartikel!F41:H41)</f>
        <v>Schinkengipfel aus der Region 1Stk</v>
      </c>
      <c r="M42" s="54" t="str">
        <f>_xlfn.TEXTJOIN(" ",TRUE,Migrationsartikel!J41:L41)</f>
        <v>Croissant au jambon de la région 1pce</v>
      </c>
      <c r="N42" s="54" t="str">
        <f>_xlfn.TEXTJOIN(" ",TRUE,Migrationsartikel!N41:P41)</f>
        <v>Cornetto al prosciutto della regione 1pz</v>
      </c>
      <c r="O42" s="54" t="str">
        <f>Migrationsartikel!F41</f>
        <v>Schinkengipfel</v>
      </c>
      <c r="P42" s="54" t="str">
        <f>Migrationsartikel!J41</f>
        <v>Croissant au jambon</v>
      </c>
      <c r="Q42" s="54" t="str">
        <f>Migrationsartikel!N41</f>
        <v>Cornetto al prosciutto</v>
      </c>
      <c r="R42" s="54" t="str">
        <f>_xlfn.TEXTJOIN(" ",TRUE,Migrationsartikel!G41)</f>
        <v>aus der Region</v>
      </c>
      <c r="S42" s="54" t="str">
        <f>_xlfn.TEXTJOIN(" ",TRUE,Migrationsartikel!K41)</f>
        <v>de la région</v>
      </c>
      <c r="T42" s="54" t="str">
        <f>_xlfn.TEXTJOIN(" ",TRUE,Migrationsartikel!O41)</f>
        <v>della regione</v>
      </c>
      <c r="U42" s="54" t="str">
        <f>_xlfn.TEXTJOIN(" ",TRUE,Migrationsartikel!H41)</f>
        <v>1Stk</v>
      </c>
      <c r="V42" s="54" t="str">
        <f>_xlfn.TEXTJOIN(" ",TRUE,Migrationsartikel!L41)</f>
        <v>1pce</v>
      </c>
      <c r="W42" s="54" t="str">
        <f>_xlfn.TEXTJOIN(" ",TRUE,Migrationsartikel!P41)</f>
        <v>1pz</v>
      </c>
      <c r="X42" s="54" t="str">
        <f>Migrationsartikel!I41</f>
        <v>Schinkengipfel</v>
      </c>
      <c r="Y42" s="54" t="str">
        <f>Migrationsartikel!M41</f>
        <v>Croissant au jambon</v>
      </c>
      <c r="Z42" s="54" t="str">
        <f>Migrationsartikel!Q41</f>
        <v>Cornetto al prosciutto</v>
      </c>
      <c r="AA42" s="63">
        <f>Migrationsartikel!R41</f>
        <v>1</v>
      </c>
      <c r="AB42" s="54" t="str">
        <f>Migrationsartikel!T41</f>
        <v>Stück</v>
      </c>
      <c r="AC42" s="65">
        <f>Migrationsartikel!S41</f>
        <v>1</v>
      </c>
      <c r="AD42" s="54" t="str">
        <f>Migrationsartikel!U41</f>
        <v>(PCE) Stück</v>
      </c>
      <c r="AE42" s="55" t="s">
        <v>179</v>
      </c>
      <c r="AF42" s="67">
        <f>Migrationsartikel!AA41</f>
        <v>0</v>
      </c>
      <c r="AG42" s="55" t="s">
        <v>192</v>
      </c>
      <c r="AH42" s="54" t="str">
        <f>IF(Migrationsartikel!AB41="ja","true",FALSE)</f>
        <v>true</v>
      </c>
      <c r="AI42" s="54" t="str">
        <f>IF(Migrationsartikel!AC41="ja","true",FALSE)</f>
        <v>true</v>
      </c>
      <c r="AJ42" s="54" t="str">
        <f>IF(Migrationsartikel!AD41="ja","true",FALSE)</f>
        <v>true</v>
      </c>
      <c r="AK42" s="54" t="str">
        <f>IF(Migrationsartikel!AE41="ja","true",FALSE)</f>
        <v>true</v>
      </c>
      <c r="AL42" s="54" t="str">
        <f>IF(Migrationsartikel!AF41="ja","Denner Partner","")</f>
        <v/>
      </c>
      <c r="AM42" s="54" t="str">
        <f>IF(Migrationsartikel!AG41="ja","true","false")</f>
        <v>false</v>
      </c>
      <c r="AN42" s="54" t="str">
        <f t="shared" si="1"/>
        <v>Kassentastenbelegung (ohne GTIN/PLU)</v>
      </c>
      <c r="AO42" s="66" t="s">
        <v>219</v>
      </c>
      <c r="AP42" s="65" t="s">
        <v>1475</v>
      </c>
      <c r="AQ42" s="66" t="s">
        <v>217</v>
      </c>
      <c r="AR42" s="30" t="s">
        <v>219</v>
      </c>
    </row>
    <row r="43" spans="2:44" ht="21.75" customHeight="1" x14ac:dyDescent="0.45">
      <c r="B43" s="54" t="s">
        <v>99</v>
      </c>
      <c r="E43" s="55" t="s">
        <v>87</v>
      </c>
      <c r="F43" s="54" t="str">
        <f>"Warengruppe&gt;&gt;"&amp;_xlfn.TEXTJOIN("&gt;&gt;",TRUE,Migrationsartikel!V42:X42)</f>
        <v>Warengruppe&gt;&gt;Backwaren &amp; Convenience&gt;&gt;Brot und Backwaren&gt;&gt;Backwaren andere</v>
      </c>
      <c r="H43" s="55" t="s">
        <v>109</v>
      </c>
      <c r="J43" s="79">
        <f>Migrationsartikel!B42</f>
        <v>0</v>
      </c>
      <c r="L43" s="54" t="str">
        <f>_xlfn.TEXTJOIN(" ",TRUE,Migrationsartikel!F42:H42)</f>
        <v>Schoggibrötli aus der Region 1Stk</v>
      </c>
      <c r="M43" s="54" t="str">
        <f>_xlfn.TEXTJOIN(" ",TRUE,Migrationsartikel!J42:L42)</f>
        <v>Pain au chocolat de la région 1pce</v>
      </c>
      <c r="N43" s="54" t="str">
        <f>_xlfn.TEXTJOIN(" ",TRUE,Migrationsartikel!N42:P42)</f>
        <v>Panino al cioccolato della regione 1pz</v>
      </c>
      <c r="O43" s="54" t="str">
        <f>Migrationsartikel!F42</f>
        <v>Schoggibrötli</v>
      </c>
      <c r="P43" s="54" t="str">
        <f>Migrationsartikel!J42</f>
        <v>Pain au chocolat</v>
      </c>
      <c r="Q43" s="54" t="str">
        <f>Migrationsartikel!N42</f>
        <v>Panino al cioccolato</v>
      </c>
      <c r="R43" s="54" t="str">
        <f>_xlfn.TEXTJOIN(" ",TRUE,Migrationsartikel!G42)</f>
        <v>aus der Region</v>
      </c>
      <c r="S43" s="54" t="str">
        <f>_xlfn.TEXTJOIN(" ",TRUE,Migrationsartikel!K42)</f>
        <v>de la région</v>
      </c>
      <c r="T43" s="54" t="str">
        <f>_xlfn.TEXTJOIN(" ",TRUE,Migrationsartikel!O42)</f>
        <v>della regione</v>
      </c>
      <c r="U43" s="54" t="str">
        <f>_xlfn.TEXTJOIN(" ",TRUE,Migrationsartikel!H42)</f>
        <v>1Stk</v>
      </c>
      <c r="V43" s="54" t="str">
        <f>_xlfn.TEXTJOIN(" ",TRUE,Migrationsartikel!L42)</f>
        <v>1pce</v>
      </c>
      <c r="W43" s="54" t="str">
        <f>_xlfn.TEXTJOIN(" ",TRUE,Migrationsartikel!P42)</f>
        <v>1pz</v>
      </c>
      <c r="X43" s="54" t="str">
        <f>Migrationsartikel!I42</f>
        <v>Schoggibrötli</v>
      </c>
      <c r="Y43" s="54" t="str">
        <f>Migrationsartikel!M42</f>
        <v>Pain au chocolat</v>
      </c>
      <c r="Z43" s="54" t="str">
        <f>Migrationsartikel!Q42</f>
        <v>Panino al cioccolato</v>
      </c>
      <c r="AA43" s="63">
        <f>Migrationsartikel!R42</f>
        <v>1</v>
      </c>
      <c r="AB43" s="54" t="str">
        <f>Migrationsartikel!T42</f>
        <v>Stück</v>
      </c>
      <c r="AC43" s="65">
        <f>Migrationsartikel!S42</f>
        <v>1</v>
      </c>
      <c r="AD43" s="54" t="str">
        <f>Migrationsartikel!U42</f>
        <v>(PCE) Stück</v>
      </c>
      <c r="AE43" s="55" t="s">
        <v>179</v>
      </c>
      <c r="AF43" s="67">
        <f>Migrationsartikel!AA42</f>
        <v>0</v>
      </c>
      <c r="AG43" s="55" t="s">
        <v>192</v>
      </c>
      <c r="AH43" s="54" t="str">
        <f>IF(Migrationsartikel!AB42="ja","true",FALSE)</f>
        <v>true</v>
      </c>
      <c r="AI43" s="54" t="str">
        <f>IF(Migrationsartikel!AC42="ja","true",FALSE)</f>
        <v>true</v>
      </c>
      <c r="AJ43" s="54" t="str">
        <f>IF(Migrationsartikel!AD42="ja","true",FALSE)</f>
        <v>true</v>
      </c>
      <c r="AK43" s="54" t="str">
        <f>IF(Migrationsartikel!AE42="ja","true",FALSE)</f>
        <v>true</v>
      </c>
      <c r="AL43" s="54" t="str">
        <f>IF(Migrationsartikel!AF42="ja","Denner Partner","")</f>
        <v/>
      </c>
      <c r="AM43" s="54" t="str">
        <f>IF(Migrationsartikel!AG42="ja","true","false")</f>
        <v>false</v>
      </c>
      <c r="AN43" s="54" t="str">
        <f t="shared" si="1"/>
        <v>Kassentastenbelegung (ohne GTIN/PLU)</v>
      </c>
      <c r="AO43" s="66" t="s">
        <v>219</v>
      </c>
      <c r="AP43" s="65" t="s">
        <v>1476</v>
      </c>
      <c r="AQ43" s="66" t="s">
        <v>217</v>
      </c>
      <c r="AR43" s="30" t="s">
        <v>219</v>
      </c>
    </row>
    <row r="44" spans="2:44" ht="21.75" customHeight="1" x14ac:dyDescent="0.45">
      <c r="B44" s="54" t="s">
        <v>99</v>
      </c>
      <c r="E44" s="55" t="s">
        <v>87</v>
      </c>
      <c r="F44" s="54" t="str">
        <f>"Warengruppe&gt;&gt;"&amp;_xlfn.TEXTJOIN("&gt;&gt;",TRUE,Migrationsartikel!V43:X43)</f>
        <v>Warengruppe&gt;&gt;Backwaren &amp; Convenience&gt;&gt;Brot und Backwaren&gt;&gt;Backwaren andere</v>
      </c>
      <c r="H44" s="55" t="s">
        <v>109</v>
      </c>
      <c r="J44" s="79">
        <f>Migrationsartikel!B43</f>
        <v>0</v>
      </c>
      <c r="L44" s="54" t="str">
        <f>_xlfn.TEXTJOIN(" ",TRUE,Migrationsartikel!F43:H43)</f>
        <v>Schoggigipfel aus der Region 1Stk</v>
      </c>
      <c r="M44" s="54" t="str">
        <f>_xlfn.TEXTJOIN(" ",TRUE,Migrationsartikel!J43:L43)</f>
        <v>Croissant au chocolat de la région 1pce</v>
      </c>
      <c r="N44" s="54" t="str">
        <f>_xlfn.TEXTJOIN(" ",TRUE,Migrationsartikel!N43:P43)</f>
        <v>Cornetto al cioccolato della regione 1pz</v>
      </c>
      <c r="O44" s="54" t="str">
        <f>Migrationsartikel!F43</f>
        <v>Schoggigipfel</v>
      </c>
      <c r="P44" s="54" t="str">
        <f>Migrationsartikel!J43</f>
        <v>Croissant au chocolat</v>
      </c>
      <c r="Q44" s="54" t="str">
        <f>Migrationsartikel!N43</f>
        <v>Cornetto al cioccolato</v>
      </c>
      <c r="R44" s="54" t="str">
        <f>_xlfn.TEXTJOIN(" ",TRUE,Migrationsartikel!G43)</f>
        <v>aus der Region</v>
      </c>
      <c r="S44" s="54" t="str">
        <f>_xlfn.TEXTJOIN(" ",TRUE,Migrationsartikel!K43)</f>
        <v>de la région</v>
      </c>
      <c r="T44" s="54" t="str">
        <f>_xlfn.TEXTJOIN(" ",TRUE,Migrationsartikel!O43)</f>
        <v>della regione</v>
      </c>
      <c r="U44" s="54" t="str">
        <f>_xlfn.TEXTJOIN(" ",TRUE,Migrationsartikel!H43)</f>
        <v>1Stk</v>
      </c>
      <c r="V44" s="54" t="str">
        <f>_xlfn.TEXTJOIN(" ",TRUE,Migrationsartikel!L43)</f>
        <v>1pce</v>
      </c>
      <c r="W44" s="54" t="str">
        <f>_xlfn.TEXTJOIN(" ",TRUE,Migrationsartikel!P43)</f>
        <v>1pz</v>
      </c>
      <c r="X44" s="54" t="str">
        <f>Migrationsartikel!I43</f>
        <v>Schoggigipfel</v>
      </c>
      <c r="Y44" s="54" t="str">
        <f>Migrationsartikel!M43</f>
        <v>Croissant au chocolat</v>
      </c>
      <c r="Z44" s="54" t="str">
        <f>Migrationsartikel!Q43</f>
        <v>Cornetto al cioccolato</v>
      </c>
      <c r="AA44" s="63">
        <f>Migrationsartikel!R43</f>
        <v>1</v>
      </c>
      <c r="AB44" s="54" t="str">
        <f>Migrationsartikel!T43</f>
        <v>Stück</v>
      </c>
      <c r="AC44" s="65">
        <f>Migrationsartikel!S43</f>
        <v>1</v>
      </c>
      <c r="AD44" s="54" t="str">
        <f>Migrationsartikel!U43</f>
        <v>(PCE) Stück</v>
      </c>
      <c r="AE44" s="55" t="s">
        <v>179</v>
      </c>
      <c r="AF44" s="67">
        <f>Migrationsartikel!AA43</f>
        <v>0</v>
      </c>
      <c r="AG44" s="55" t="s">
        <v>192</v>
      </c>
      <c r="AH44" s="54" t="str">
        <f>IF(Migrationsartikel!AB43="ja","true",FALSE)</f>
        <v>true</v>
      </c>
      <c r="AI44" s="54" t="str">
        <f>IF(Migrationsartikel!AC43="ja","true",FALSE)</f>
        <v>true</v>
      </c>
      <c r="AJ44" s="54" t="str">
        <f>IF(Migrationsartikel!AD43="ja","true",FALSE)</f>
        <v>true</v>
      </c>
      <c r="AK44" s="54" t="str">
        <f>IF(Migrationsartikel!AE43="ja","true",FALSE)</f>
        <v>true</v>
      </c>
      <c r="AL44" s="54" t="str">
        <f>IF(Migrationsartikel!AF43="ja","Denner Partner","")</f>
        <v/>
      </c>
      <c r="AM44" s="54" t="str">
        <f>IF(Migrationsartikel!AG43="ja","true","false")</f>
        <v>false</v>
      </c>
      <c r="AN44" s="54" t="str">
        <f t="shared" si="1"/>
        <v>Kassentastenbelegung (ohne GTIN/PLU)</v>
      </c>
      <c r="AO44" s="66" t="s">
        <v>219</v>
      </c>
      <c r="AP44" s="65" t="s">
        <v>1477</v>
      </c>
      <c r="AQ44" s="66" t="s">
        <v>217</v>
      </c>
      <c r="AR44" s="30" t="s">
        <v>219</v>
      </c>
    </row>
    <row r="45" spans="2:44" ht="21.75" customHeight="1" x14ac:dyDescent="0.45">
      <c r="B45" s="54" t="s">
        <v>99</v>
      </c>
      <c r="E45" s="55" t="s">
        <v>87</v>
      </c>
      <c r="F45" s="54" t="str">
        <f>"Warengruppe&gt;&gt;"&amp;_xlfn.TEXTJOIN("&gt;&gt;",TRUE,Migrationsartikel!V44:X44)</f>
        <v>Warengruppe&gt;&gt;Backwaren &amp; Convenience&gt;&gt;Brot und Backwaren&gt;&gt;Backwaren andere</v>
      </c>
      <c r="H45" s="55" t="s">
        <v>109</v>
      </c>
      <c r="J45" s="79">
        <f>Migrationsartikel!B44</f>
        <v>0</v>
      </c>
      <c r="L45" s="54" t="str">
        <f>_xlfn.TEXTJOIN(" ",TRUE,Migrationsartikel!F44:H44)</f>
        <v>Schraubenbrötli aus der Region 1Stk</v>
      </c>
      <c r="M45" s="54" t="str">
        <f>_xlfn.TEXTJOIN(" ",TRUE,Migrationsartikel!J44:L44)</f>
        <v>Petit pain torsadé de la région 1pce</v>
      </c>
      <c r="N45" s="54" t="str">
        <f>_xlfn.TEXTJOIN(" ",TRUE,Migrationsartikel!N44:P44)</f>
        <v>Panino torciglione della regione 1pz</v>
      </c>
      <c r="O45" s="54" t="str">
        <f>Migrationsartikel!F44</f>
        <v>Schraubenbrötli</v>
      </c>
      <c r="P45" s="54" t="str">
        <f>Migrationsartikel!J44</f>
        <v>Petit pain torsadé</v>
      </c>
      <c r="Q45" s="54" t="str">
        <f>Migrationsartikel!N44</f>
        <v>Panino torciglione</v>
      </c>
      <c r="R45" s="54" t="str">
        <f>_xlfn.TEXTJOIN(" ",TRUE,Migrationsartikel!G44)</f>
        <v>aus der Region</v>
      </c>
      <c r="S45" s="54" t="str">
        <f>_xlfn.TEXTJOIN(" ",TRUE,Migrationsartikel!K44)</f>
        <v>de la région</v>
      </c>
      <c r="T45" s="54" t="str">
        <f>_xlfn.TEXTJOIN(" ",TRUE,Migrationsartikel!O44)</f>
        <v>della regione</v>
      </c>
      <c r="U45" s="54" t="str">
        <f>_xlfn.TEXTJOIN(" ",TRUE,Migrationsartikel!H44)</f>
        <v>1Stk</v>
      </c>
      <c r="V45" s="54" t="str">
        <f>_xlfn.TEXTJOIN(" ",TRUE,Migrationsartikel!L44)</f>
        <v>1pce</v>
      </c>
      <c r="W45" s="54" t="str">
        <f>_xlfn.TEXTJOIN(" ",TRUE,Migrationsartikel!P44)</f>
        <v>1pz</v>
      </c>
      <c r="X45" s="54" t="str">
        <f>Migrationsartikel!I44</f>
        <v>Schraubenbrötli</v>
      </c>
      <c r="Y45" s="54" t="str">
        <f>Migrationsartikel!M44</f>
        <v>Petit pain torsadé</v>
      </c>
      <c r="Z45" s="54" t="str">
        <f>Migrationsartikel!Q44</f>
        <v>Panino torciglione</v>
      </c>
      <c r="AA45" s="63">
        <f>Migrationsartikel!R44</f>
        <v>1</v>
      </c>
      <c r="AB45" s="54" t="str">
        <f>Migrationsartikel!T44</f>
        <v>Stück</v>
      </c>
      <c r="AC45" s="65">
        <f>Migrationsartikel!S44</f>
        <v>1</v>
      </c>
      <c r="AD45" s="54" t="str">
        <f>Migrationsartikel!U44</f>
        <v>(PCE) Stück</v>
      </c>
      <c r="AE45" s="55" t="s">
        <v>179</v>
      </c>
      <c r="AF45" s="67">
        <f>Migrationsartikel!AA44</f>
        <v>0</v>
      </c>
      <c r="AG45" s="55" t="s">
        <v>192</v>
      </c>
      <c r="AH45" s="54" t="str">
        <f>IF(Migrationsartikel!AB44="ja","true",FALSE)</f>
        <v>true</v>
      </c>
      <c r="AI45" s="54" t="str">
        <f>IF(Migrationsartikel!AC44="ja","true",FALSE)</f>
        <v>true</v>
      </c>
      <c r="AJ45" s="54" t="str">
        <f>IF(Migrationsartikel!AD44="ja","true",FALSE)</f>
        <v>true</v>
      </c>
      <c r="AK45" s="54" t="str">
        <f>IF(Migrationsartikel!AE44="ja","true",FALSE)</f>
        <v>true</v>
      </c>
      <c r="AL45" s="54" t="str">
        <f>IF(Migrationsartikel!AF44="ja","Denner Partner","")</f>
        <v/>
      </c>
      <c r="AM45" s="54" t="str">
        <f>IF(Migrationsartikel!AG44="ja","true","false")</f>
        <v>false</v>
      </c>
      <c r="AN45" s="54" t="str">
        <f t="shared" si="1"/>
        <v>Kassentastenbelegung (ohne GTIN/PLU)</v>
      </c>
      <c r="AO45" s="66" t="s">
        <v>219</v>
      </c>
      <c r="AP45" s="65" t="s">
        <v>1478</v>
      </c>
      <c r="AQ45" s="66" t="s">
        <v>217</v>
      </c>
      <c r="AR45" s="30" t="s">
        <v>219</v>
      </c>
    </row>
    <row r="46" spans="2:44" ht="21.75" customHeight="1" x14ac:dyDescent="0.45">
      <c r="B46" s="54" t="s">
        <v>99</v>
      </c>
      <c r="E46" s="55" t="s">
        <v>87</v>
      </c>
      <c r="F46" s="54" t="str">
        <f>"Warengruppe&gt;&gt;"&amp;_xlfn.TEXTJOIN("&gt;&gt;",TRUE,Migrationsartikel!V45:X45)</f>
        <v>Warengruppe&gt;&gt;Backwaren &amp; Convenience&gt;&gt;Brot und Backwaren&gt;&gt;Backwaren andere</v>
      </c>
      <c r="H46" s="55" t="s">
        <v>109</v>
      </c>
      <c r="J46" s="79">
        <f>Migrationsartikel!B45</f>
        <v>0</v>
      </c>
      <c r="L46" s="54" t="str">
        <f>_xlfn.TEXTJOIN(" ",TRUE,Migrationsartikel!F45:H45)</f>
        <v>Semmeli aus der Region 1Stk</v>
      </c>
      <c r="M46" s="54" t="str">
        <f>_xlfn.TEXTJOIN(" ",TRUE,Migrationsartikel!J45:L45)</f>
        <v>Ballon régional de la région 1pce</v>
      </c>
      <c r="N46" s="54" t="str">
        <f>_xlfn.TEXTJOIN(" ",TRUE,Migrationsartikel!N45:P45)</f>
        <v>Michetta della regione 1pz</v>
      </c>
      <c r="O46" s="54" t="str">
        <f>Migrationsartikel!F45</f>
        <v>Semmeli</v>
      </c>
      <c r="P46" s="54" t="str">
        <f>Migrationsartikel!J45</f>
        <v>Ballon régional</v>
      </c>
      <c r="Q46" s="54" t="str">
        <f>Migrationsartikel!N45</f>
        <v>Michetta</v>
      </c>
      <c r="R46" s="54" t="str">
        <f>_xlfn.TEXTJOIN(" ",TRUE,Migrationsartikel!G45)</f>
        <v>aus der Region</v>
      </c>
      <c r="S46" s="54" t="str">
        <f>_xlfn.TEXTJOIN(" ",TRUE,Migrationsartikel!K45)</f>
        <v>de la région</v>
      </c>
      <c r="T46" s="54" t="str">
        <f>_xlfn.TEXTJOIN(" ",TRUE,Migrationsartikel!O45)</f>
        <v>della regione</v>
      </c>
      <c r="U46" s="54" t="str">
        <f>_xlfn.TEXTJOIN(" ",TRUE,Migrationsartikel!H45)</f>
        <v>1Stk</v>
      </c>
      <c r="V46" s="54" t="str">
        <f>_xlfn.TEXTJOIN(" ",TRUE,Migrationsartikel!L45)</f>
        <v>1pce</v>
      </c>
      <c r="W46" s="54" t="str">
        <f>_xlfn.TEXTJOIN(" ",TRUE,Migrationsartikel!P45)</f>
        <v>1pz</v>
      </c>
      <c r="X46" s="54" t="str">
        <f>Migrationsartikel!I45</f>
        <v>Semmeli</v>
      </c>
      <c r="Y46" s="54" t="str">
        <f>Migrationsartikel!M45</f>
        <v>Ballon régional</v>
      </c>
      <c r="Z46" s="54" t="str">
        <f>Migrationsartikel!Q45</f>
        <v>Michetta</v>
      </c>
      <c r="AA46" s="63">
        <f>Migrationsartikel!R45</f>
        <v>1</v>
      </c>
      <c r="AB46" s="54" t="str">
        <f>Migrationsartikel!T45</f>
        <v>Stück</v>
      </c>
      <c r="AC46" s="65">
        <f>Migrationsartikel!S45</f>
        <v>1</v>
      </c>
      <c r="AD46" s="54" t="str">
        <f>Migrationsartikel!U45</f>
        <v>(PCE) Stück</v>
      </c>
      <c r="AE46" s="55" t="s">
        <v>179</v>
      </c>
      <c r="AF46" s="67">
        <f>Migrationsartikel!AA45</f>
        <v>0</v>
      </c>
      <c r="AG46" s="55" t="s">
        <v>192</v>
      </c>
      <c r="AH46" s="54" t="str">
        <f>IF(Migrationsartikel!AB45="ja","true",FALSE)</f>
        <v>true</v>
      </c>
      <c r="AI46" s="54" t="str">
        <f>IF(Migrationsartikel!AC45="ja","true",FALSE)</f>
        <v>true</v>
      </c>
      <c r="AJ46" s="54" t="str">
        <f>IF(Migrationsartikel!AD45="ja","true",FALSE)</f>
        <v>true</v>
      </c>
      <c r="AK46" s="54" t="str">
        <f>IF(Migrationsartikel!AE45="ja","true",FALSE)</f>
        <v>true</v>
      </c>
      <c r="AL46" s="54" t="str">
        <f>IF(Migrationsartikel!AF45="ja","Denner Partner","")</f>
        <v/>
      </c>
      <c r="AM46" s="54" t="str">
        <f>IF(Migrationsartikel!AG45="ja","true","false")</f>
        <v>false</v>
      </c>
      <c r="AN46" s="54" t="str">
        <f t="shared" si="1"/>
        <v>Kassentastenbelegung (ohne GTIN/PLU)</v>
      </c>
      <c r="AO46" s="66" t="s">
        <v>219</v>
      </c>
      <c r="AP46" s="65" t="s">
        <v>1479</v>
      </c>
      <c r="AQ46" s="66" t="s">
        <v>217</v>
      </c>
      <c r="AR46" s="30" t="s">
        <v>219</v>
      </c>
    </row>
    <row r="47" spans="2:44" ht="21.75" customHeight="1" x14ac:dyDescent="0.45">
      <c r="B47" s="54" t="s">
        <v>99</v>
      </c>
      <c r="E47" s="55" t="s">
        <v>87</v>
      </c>
      <c r="F47" s="54" t="str">
        <f>"Warengruppe&gt;&gt;"&amp;_xlfn.TEXTJOIN("&gt;&gt;",TRUE,Migrationsartikel!V46:X46)</f>
        <v>Warengruppe&gt;&gt;Backwaren &amp; Convenience&gt;&gt;Brot und Backwaren&gt;&gt;Backwaren andere</v>
      </c>
      <c r="H47" s="55" t="s">
        <v>109</v>
      </c>
      <c r="J47" s="79">
        <f>Migrationsartikel!B46</f>
        <v>0</v>
      </c>
      <c r="L47" s="54" t="str">
        <f>_xlfn.TEXTJOIN(" ",TRUE,Migrationsartikel!F46:H46)</f>
        <v>St. Gallerbrot aus der Region 250g</v>
      </c>
      <c r="M47" s="54" t="str">
        <f>_xlfn.TEXTJOIN(" ",TRUE,Migrationsartikel!J46:L46)</f>
        <v>Pain St-Gall de la région 250g</v>
      </c>
      <c r="N47" s="54" t="str">
        <f>_xlfn.TEXTJOIN(" ",TRUE,Migrationsartikel!N46:P46)</f>
        <v>Pane di San Gallo della regione 250g</v>
      </c>
      <c r="O47" s="54" t="str">
        <f>Migrationsartikel!F46</f>
        <v>St. Gallerbrot</v>
      </c>
      <c r="P47" s="54" t="str">
        <f>Migrationsartikel!J46</f>
        <v>Pain St-Gall</v>
      </c>
      <c r="Q47" s="54" t="str">
        <f>Migrationsartikel!N46</f>
        <v>Pane di San Gallo</v>
      </c>
      <c r="R47" s="54" t="str">
        <f>_xlfn.TEXTJOIN(" ",TRUE,Migrationsartikel!G46)</f>
        <v>aus der Region</v>
      </c>
      <c r="S47" s="54" t="str">
        <f>_xlfn.TEXTJOIN(" ",TRUE,Migrationsartikel!K46)</f>
        <v>de la région</v>
      </c>
      <c r="T47" s="54" t="str">
        <f>_xlfn.TEXTJOIN(" ",TRUE,Migrationsartikel!O46)</f>
        <v>della regione</v>
      </c>
      <c r="U47" s="54" t="str">
        <f>_xlfn.TEXTJOIN(" ",TRUE,Migrationsartikel!H46)</f>
        <v>250g</v>
      </c>
      <c r="V47" s="54" t="str">
        <f>_xlfn.TEXTJOIN(" ",TRUE,Migrationsartikel!L46)</f>
        <v>250g</v>
      </c>
      <c r="W47" s="54" t="str">
        <f>_xlfn.TEXTJOIN(" ",TRUE,Migrationsartikel!P46)</f>
        <v>250g</v>
      </c>
      <c r="X47" s="54" t="str">
        <f>Migrationsartikel!I46</f>
        <v>St. Gallerbrot 250g</v>
      </c>
      <c r="Y47" s="54" t="str">
        <f>Migrationsartikel!M46</f>
        <v>Pain St-Gall 250g</v>
      </c>
      <c r="Z47" s="54" t="str">
        <f>Migrationsartikel!Q46</f>
        <v>Pane di San Gallo 250g</v>
      </c>
      <c r="AA47" s="63">
        <f>Migrationsartikel!R46</f>
        <v>0.25</v>
      </c>
      <c r="AB47" s="54" t="str">
        <f>Migrationsartikel!T46</f>
        <v>Gramm</v>
      </c>
      <c r="AC47" s="65">
        <f>Migrationsartikel!S46</f>
        <v>1</v>
      </c>
      <c r="AD47" s="54" t="str">
        <f>Migrationsartikel!U46</f>
        <v>(PCE) Stück</v>
      </c>
      <c r="AE47" s="55" t="s">
        <v>179</v>
      </c>
      <c r="AF47" s="67">
        <f>Migrationsartikel!AA46</f>
        <v>0</v>
      </c>
      <c r="AG47" s="55" t="s">
        <v>192</v>
      </c>
      <c r="AH47" s="54" t="str">
        <f>IF(Migrationsartikel!AB46="ja","true",FALSE)</f>
        <v>true</v>
      </c>
      <c r="AI47" s="54" t="str">
        <f>IF(Migrationsartikel!AC46="ja","true",FALSE)</f>
        <v>true</v>
      </c>
      <c r="AJ47" s="54" t="str">
        <f>IF(Migrationsartikel!AD46="ja","true",FALSE)</f>
        <v>true</v>
      </c>
      <c r="AK47" s="54" t="str">
        <f>IF(Migrationsartikel!AE46="ja","true",FALSE)</f>
        <v>true</v>
      </c>
      <c r="AL47" s="54" t="str">
        <f>IF(Migrationsartikel!AF46="ja","Denner Partner","")</f>
        <v/>
      </c>
      <c r="AM47" s="54" t="str">
        <f>IF(Migrationsartikel!AG46="ja","true","false")</f>
        <v>false</v>
      </c>
      <c r="AN47" s="54" t="str">
        <f t="shared" si="1"/>
        <v>Kassentastenbelegung (ohne GTIN/PLU)</v>
      </c>
      <c r="AO47" s="66" t="s">
        <v>219</v>
      </c>
      <c r="AP47" s="65" t="s">
        <v>1480</v>
      </c>
      <c r="AQ47" s="66" t="s">
        <v>217</v>
      </c>
      <c r="AR47" s="30" t="s">
        <v>219</v>
      </c>
    </row>
    <row r="48" spans="2:44" ht="21.75" customHeight="1" x14ac:dyDescent="0.45">
      <c r="B48" s="54" t="s">
        <v>99</v>
      </c>
      <c r="E48" s="55" t="s">
        <v>87</v>
      </c>
      <c r="F48" s="54" t="str">
        <f>"Warengruppe&gt;&gt;"&amp;_xlfn.TEXTJOIN("&gt;&gt;",TRUE,Migrationsartikel!V47:X47)</f>
        <v>Warengruppe&gt;&gt;Backwaren &amp; Convenience&gt;&gt;Brot und Backwaren&gt;&gt;Backwaren andere</v>
      </c>
      <c r="H48" s="55" t="s">
        <v>109</v>
      </c>
      <c r="J48" s="79">
        <f>Migrationsartikel!B47</f>
        <v>0</v>
      </c>
      <c r="L48" s="54" t="str">
        <f>_xlfn.TEXTJOIN(" ",TRUE,Migrationsartikel!F47:H47)</f>
        <v>St. Gallerbrot aus der Region 500g</v>
      </c>
      <c r="M48" s="54" t="str">
        <f>_xlfn.TEXTJOIN(" ",TRUE,Migrationsartikel!J47:L47)</f>
        <v>Pain St-Gall de la région 500g</v>
      </c>
      <c r="N48" s="54" t="str">
        <f>_xlfn.TEXTJOIN(" ",TRUE,Migrationsartikel!N47:P47)</f>
        <v>Pane di San Gallo della regione 500g</v>
      </c>
      <c r="O48" s="54" t="str">
        <f>Migrationsartikel!F47</f>
        <v>St. Gallerbrot</v>
      </c>
      <c r="P48" s="54" t="str">
        <f>Migrationsartikel!J47</f>
        <v>Pain St-Gall</v>
      </c>
      <c r="Q48" s="54" t="str">
        <f>Migrationsartikel!N47</f>
        <v>Pane di San Gallo</v>
      </c>
      <c r="R48" s="54" t="str">
        <f>_xlfn.TEXTJOIN(" ",TRUE,Migrationsartikel!G47)</f>
        <v>aus der Region</v>
      </c>
      <c r="S48" s="54" t="str">
        <f>_xlfn.TEXTJOIN(" ",TRUE,Migrationsartikel!K47)</f>
        <v>de la région</v>
      </c>
      <c r="T48" s="54" t="str">
        <f>_xlfn.TEXTJOIN(" ",TRUE,Migrationsartikel!O47)</f>
        <v>della regione</v>
      </c>
      <c r="U48" s="54" t="str">
        <f>_xlfn.TEXTJOIN(" ",TRUE,Migrationsartikel!H47)</f>
        <v>500g</v>
      </c>
      <c r="V48" s="54" t="str">
        <f>_xlfn.TEXTJOIN(" ",TRUE,Migrationsartikel!L47)</f>
        <v>500g</v>
      </c>
      <c r="W48" s="54" t="str">
        <f>_xlfn.TEXTJOIN(" ",TRUE,Migrationsartikel!P47)</f>
        <v>500g</v>
      </c>
      <c r="X48" s="54" t="str">
        <f>Migrationsartikel!I47</f>
        <v>St. Gallerbrot 500g</v>
      </c>
      <c r="Y48" s="54" t="str">
        <f>Migrationsartikel!M47</f>
        <v>Pain St-Gall 500g</v>
      </c>
      <c r="Z48" s="54" t="str">
        <f>Migrationsartikel!Q47</f>
        <v>Pane di San Gallo 500g</v>
      </c>
      <c r="AA48" s="63">
        <f>Migrationsartikel!R47</f>
        <v>0.5</v>
      </c>
      <c r="AB48" s="54" t="str">
        <f>Migrationsartikel!T47</f>
        <v>Gramm</v>
      </c>
      <c r="AC48" s="65">
        <f>Migrationsartikel!S47</f>
        <v>1</v>
      </c>
      <c r="AD48" s="54" t="str">
        <f>Migrationsartikel!U47</f>
        <v>(PCE) Stück</v>
      </c>
      <c r="AE48" s="55" t="s">
        <v>179</v>
      </c>
      <c r="AF48" s="67">
        <f>Migrationsartikel!AA47</f>
        <v>0</v>
      </c>
      <c r="AG48" s="55" t="s">
        <v>192</v>
      </c>
      <c r="AH48" s="54" t="str">
        <f>IF(Migrationsartikel!AB47="ja","true",FALSE)</f>
        <v>true</v>
      </c>
      <c r="AI48" s="54" t="str">
        <f>IF(Migrationsartikel!AC47="ja","true",FALSE)</f>
        <v>true</v>
      </c>
      <c r="AJ48" s="54" t="str">
        <f>IF(Migrationsartikel!AD47="ja","true",FALSE)</f>
        <v>true</v>
      </c>
      <c r="AK48" s="54" t="str">
        <f>IF(Migrationsartikel!AE47="ja","true",FALSE)</f>
        <v>true</v>
      </c>
      <c r="AL48" s="54" t="str">
        <f>IF(Migrationsartikel!AF47="ja","Denner Partner","")</f>
        <v/>
      </c>
      <c r="AM48" s="54" t="str">
        <f>IF(Migrationsartikel!AG47="ja","true","false")</f>
        <v>false</v>
      </c>
      <c r="AN48" s="54" t="str">
        <f t="shared" si="1"/>
        <v>Kassentastenbelegung (ohne GTIN/PLU)</v>
      </c>
      <c r="AO48" s="66" t="s">
        <v>219</v>
      </c>
      <c r="AP48" s="65" t="s">
        <v>1481</v>
      </c>
      <c r="AQ48" s="66" t="s">
        <v>217</v>
      </c>
      <c r="AR48" s="30" t="s">
        <v>219</v>
      </c>
    </row>
    <row r="49" spans="2:44" ht="21.75" customHeight="1" x14ac:dyDescent="0.45">
      <c r="B49" s="54" t="s">
        <v>99</v>
      </c>
      <c r="E49" s="55" t="s">
        <v>87</v>
      </c>
      <c r="F49" s="54" t="str">
        <f>"Warengruppe&gt;&gt;"&amp;_xlfn.TEXTJOIN("&gt;&gt;",TRUE,Migrationsartikel!V48:X48)</f>
        <v>Warengruppe&gt;&gt;Backwaren &amp; Convenience&gt;&gt;Brot und Backwaren&gt;&gt;Backwaren andere</v>
      </c>
      <c r="H49" s="55" t="s">
        <v>109</v>
      </c>
      <c r="J49" s="79">
        <f>Migrationsartikel!B48</f>
        <v>0</v>
      </c>
      <c r="L49" s="54" t="str">
        <f>_xlfn.TEXTJOIN(" ",TRUE,Migrationsartikel!F48:H48)</f>
        <v>Tessinerbrot aus der Region 400g</v>
      </c>
      <c r="M49" s="54" t="str">
        <f>_xlfn.TEXTJOIN(" ",TRUE,Migrationsartikel!J48:L48)</f>
        <v>Pain tessinois de la région 400g</v>
      </c>
      <c r="N49" s="54" t="str">
        <f>_xlfn.TEXTJOIN(" ",TRUE,Migrationsartikel!N48:P48)</f>
        <v>Pane ticinese della regione 400g</v>
      </c>
      <c r="O49" s="54" t="str">
        <f>Migrationsartikel!F48</f>
        <v>Tessinerbrot</v>
      </c>
      <c r="P49" s="54" t="str">
        <f>Migrationsartikel!J48</f>
        <v>Pain tessinois</v>
      </c>
      <c r="Q49" s="54" t="str">
        <f>Migrationsartikel!N48</f>
        <v>Pane ticinese</v>
      </c>
      <c r="R49" s="54" t="str">
        <f>_xlfn.TEXTJOIN(" ",TRUE,Migrationsartikel!G48)</f>
        <v>aus der Region</v>
      </c>
      <c r="S49" s="54" t="str">
        <f>_xlfn.TEXTJOIN(" ",TRUE,Migrationsartikel!K48)</f>
        <v>de la région</v>
      </c>
      <c r="T49" s="54" t="str">
        <f>_xlfn.TEXTJOIN(" ",TRUE,Migrationsartikel!O48)</f>
        <v>della regione</v>
      </c>
      <c r="U49" s="54" t="str">
        <f>_xlfn.TEXTJOIN(" ",TRUE,Migrationsartikel!H48)</f>
        <v>400g</v>
      </c>
      <c r="V49" s="54" t="str">
        <f>_xlfn.TEXTJOIN(" ",TRUE,Migrationsartikel!L48)</f>
        <v>400g</v>
      </c>
      <c r="W49" s="54" t="str">
        <f>_xlfn.TEXTJOIN(" ",TRUE,Migrationsartikel!P48)</f>
        <v>400g</v>
      </c>
      <c r="X49" s="54" t="str">
        <f>Migrationsartikel!I48</f>
        <v>Tessinerbrot 400g</v>
      </c>
      <c r="Y49" s="54" t="str">
        <f>Migrationsartikel!M48</f>
        <v>Pain tessinois 400g</v>
      </c>
      <c r="Z49" s="54" t="str">
        <f>Migrationsartikel!Q48</f>
        <v>Pane ticinese 400g</v>
      </c>
      <c r="AA49" s="63">
        <f>Migrationsartikel!R48</f>
        <v>0.4</v>
      </c>
      <c r="AB49" s="54" t="str">
        <f>Migrationsartikel!T48</f>
        <v>Gramm</v>
      </c>
      <c r="AC49" s="65">
        <f>Migrationsartikel!S48</f>
        <v>1</v>
      </c>
      <c r="AD49" s="54" t="str">
        <f>Migrationsartikel!U48</f>
        <v>(PCE) Stück</v>
      </c>
      <c r="AE49" s="55" t="s">
        <v>179</v>
      </c>
      <c r="AF49" s="67">
        <f>Migrationsartikel!AA48</f>
        <v>0</v>
      </c>
      <c r="AG49" s="55" t="s">
        <v>192</v>
      </c>
      <c r="AH49" s="54" t="str">
        <f>IF(Migrationsartikel!AB48="ja","true",FALSE)</f>
        <v>true</v>
      </c>
      <c r="AI49" s="54" t="str">
        <f>IF(Migrationsartikel!AC48="ja","true",FALSE)</f>
        <v>true</v>
      </c>
      <c r="AJ49" s="54" t="str">
        <f>IF(Migrationsartikel!AD48="ja","true",FALSE)</f>
        <v>true</v>
      </c>
      <c r="AK49" s="54" t="str">
        <f>IF(Migrationsartikel!AE48="ja","true",FALSE)</f>
        <v>true</v>
      </c>
      <c r="AL49" s="54" t="str">
        <f>IF(Migrationsartikel!AF48="ja","Denner Partner","")</f>
        <v/>
      </c>
      <c r="AM49" s="54" t="str">
        <f>IF(Migrationsartikel!AG48="ja","true","false")</f>
        <v>false</v>
      </c>
      <c r="AN49" s="54" t="str">
        <f t="shared" si="1"/>
        <v>Kassentastenbelegung (ohne GTIN/PLU)</v>
      </c>
      <c r="AO49" s="66" t="s">
        <v>219</v>
      </c>
      <c r="AP49" s="65" t="s">
        <v>1482</v>
      </c>
      <c r="AQ49" s="66" t="s">
        <v>217</v>
      </c>
      <c r="AR49" s="30" t="s">
        <v>219</v>
      </c>
    </row>
    <row r="50" spans="2:44" ht="21.75" customHeight="1" x14ac:dyDescent="0.45">
      <c r="B50" s="54" t="s">
        <v>99</v>
      </c>
      <c r="E50" s="55" t="s">
        <v>87</v>
      </c>
      <c r="F50" s="54" t="str">
        <f>"Warengruppe&gt;&gt;"&amp;_xlfn.TEXTJOIN("&gt;&gt;",TRUE,Migrationsartikel!V49:X49)</f>
        <v>Warengruppe&gt;&gt;Backwaren &amp; Convenience&gt;&gt;Brot und Backwaren&gt;&gt;Backwaren andere</v>
      </c>
      <c r="H50" s="55" t="s">
        <v>109</v>
      </c>
      <c r="J50" s="79">
        <f>Migrationsartikel!B49</f>
        <v>0</v>
      </c>
      <c r="L50" s="54" t="str">
        <f>_xlfn.TEXTJOIN(" ",TRUE,Migrationsartikel!F49:H49)</f>
        <v>Vanillebrötli aus der Region 1Stk</v>
      </c>
      <c r="M50" s="54" t="str">
        <f>_xlfn.TEXTJOIN(" ",TRUE,Migrationsartikel!J49:L49)</f>
        <v>Petit pain vanille de la région 1pce</v>
      </c>
      <c r="N50" s="54" t="str">
        <f>_xlfn.TEXTJOIN(" ",TRUE,Migrationsartikel!N49:P49)</f>
        <v>Panino alla vaniglia della regione 1pz</v>
      </c>
      <c r="O50" s="54" t="str">
        <f>Migrationsartikel!F49</f>
        <v>Vanillebrötli</v>
      </c>
      <c r="P50" s="54" t="str">
        <f>Migrationsartikel!J49</f>
        <v>Petit pain vanille</v>
      </c>
      <c r="Q50" s="54" t="str">
        <f>Migrationsartikel!N49</f>
        <v>Panino alla vaniglia</v>
      </c>
      <c r="R50" s="54" t="str">
        <f>_xlfn.TEXTJOIN(" ",TRUE,Migrationsartikel!G49)</f>
        <v>aus der Region</v>
      </c>
      <c r="S50" s="54" t="str">
        <f>_xlfn.TEXTJOIN(" ",TRUE,Migrationsartikel!K49)</f>
        <v>de la région</v>
      </c>
      <c r="T50" s="54" t="str">
        <f>_xlfn.TEXTJOIN(" ",TRUE,Migrationsartikel!O49)</f>
        <v>della regione</v>
      </c>
      <c r="U50" s="54" t="str">
        <f>_xlfn.TEXTJOIN(" ",TRUE,Migrationsartikel!H49)</f>
        <v>1Stk</v>
      </c>
      <c r="V50" s="54" t="str">
        <f>_xlfn.TEXTJOIN(" ",TRUE,Migrationsartikel!L49)</f>
        <v>1pce</v>
      </c>
      <c r="W50" s="54" t="str">
        <f>_xlfn.TEXTJOIN(" ",TRUE,Migrationsartikel!P49)</f>
        <v>1pz</v>
      </c>
      <c r="X50" s="54" t="str">
        <f>Migrationsartikel!I49</f>
        <v>Vanillebrötli</v>
      </c>
      <c r="Y50" s="54" t="str">
        <f>Migrationsartikel!M49</f>
        <v>Petit pain vanille</v>
      </c>
      <c r="Z50" s="54" t="str">
        <f>Migrationsartikel!Q49</f>
        <v>Panino alla vaniglia</v>
      </c>
      <c r="AA50" s="63">
        <f>Migrationsartikel!R49</f>
        <v>1</v>
      </c>
      <c r="AB50" s="54" t="str">
        <f>Migrationsartikel!T49</f>
        <v>Stück</v>
      </c>
      <c r="AC50" s="65">
        <f>Migrationsartikel!S49</f>
        <v>1</v>
      </c>
      <c r="AD50" s="54" t="str">
        <f>Migrationsartikel!U49</f>
        <v>(PCE) Stück</v>
      </c>
      <c r="AE50" s="55" t="s">
        <v>179</v>
      </c>
      <c r="AF50" s="67">
        <f>Migrationsartikel!AA49</f>
        <v>0</v>
      </c>
      <c r="AG50" s="55" t="s">
        <v>192</v>
      </c>
      <c r="AH50" s="54" t="str">
        <f>IF(Migrationsartikel!AB49="ja","true",FALSE)</f>
        <v>true</v>
      </c>
      <c r="AI50" s="54" t="str">
        <f>IF(Migrationsartikel!AC49="ja","true",FALSE)</f>
        <v>true</v>
      </c>
      <c r="AJ50" s="54" t="str">
        <f>IF(Migrationsartikel!AD49="ja","true",FALSE)</f>
        <v>true</v>
      </c>
      <c r="AK50" s="54" t="str">
        <f>IF(Migrationsartikel!AE49="ja","true",FALSE)</f>
        <v>true</v>
      </c>
      <c r="AL50" s="54" t="str">
        <f>IF(Migrationsartikel!AF49="ja","Denner Partner","")</f>
        <v/>
      </c>
      <c r="AM50" s="54" t="str">
        <f>IF(Migrationsartikel!AG49="ja","true","false")</f>
        <v>false</v>
      </c>
      <c r="AN50" s="54" t="str">
        <f t="shared" si="1"/>
        <v>Kassentastenbelegung (ohne GTIN/PLU)</v>
      </c>
      <c r="AO50" s="66" t="s">
        <v>219</v>
      </c>
      <c r="AP50" s="65" t="s">
        <v>1483</v>
      </c>
      <c r="AQ50" s="66" t="s">
        <v>217</v>
      </c>
      <c r="AR50" s="30" t="s">
        <v>219</v>
      </c>
    </row>
    <row r="51" spans="2:44" ht="21.75" customHeight="1" x14ac:dyDescent="0.45">
      <c r="B51" s="54" t="s">
        <v>99</v>
      </c>
      <c r="E51" s="55" t="s">
        <v>87</v>
      </c>
      <c r="F51" s="54" t="str">
        <f>"Warengruppe&gt;&gt;"&amp;_xlfn.TEXTJOIN("&gt;&gt;",TRUE,Migrationsartikel!V50:X50)</f>
        <v>Warengruppe&gt;&gt;Backwaren &amp; Convenience&gt;&gt;Brot und Backwaren&gt;&gt;Backwaren andere</v>
      </c>
      <c r="H51" s="55" t="s">
        <v>109</v>
      </c>
      <c r="J51" s="79">
        <f>Migrationsartikel!B50</f>
        <v>0</v>
      </c>
      <c r="L51" s="54" t="str">
        <f>_xlfn.TEXTJOIN(" ",TRUE,Migrationsartikel!F50:H50)</f>
        <v>Vanillegipfel aus der Region 1Stk</v>
      </c>
      <c r="M51" s="54" t="str">
        <f>_xlfn.TEXTJOIN(" ",TRUE,Migrationsartikel!J50:L50)</f>
        <v>Croissant vanille de la région 1pce</v>
      </c>
      <c r="N51" s="54" t="str">
        <f>_xlfn.TEXTJOIN(" ",TRUE,Migrationsartikel!N50:P50)</f>
        <v>Cornetto alla vaniglia della regione 1pz</v>
      </c>
      <c r="O51" s="54" t="str">
        <f>Migrationsartikel!F50</f>
        <v>Vanillegipfel</v>
      </c>
      <c r="P51" s="54" t="str">
        <f>Migrationsartikel!J50</f>
        <v>Croissant vanille</v>
      </c>
      <c r="Q51" s="54" t="str">
        <f>Migrationsartikel!N50</f>
        <v>Cornetto alla vaniglia</v>
      </c>
      <c r="R51" s="54" t="str">
        <f>_xlfn.TEXTJOIN(" ",TRUE,Migrationsartikel!G50)</f>
        <v>aus der Region</v>
      </c>
      <c r="S51" s="54" t="str">
        <f>_xlfn.TEXTJOIN(" ",TRUE,Migrationsartikel!K50)</f>
        <v>de la région</v>
      </c>
      <c r="T51" s="54" t="str">
        <f>_xlfn.TEXTJOIN(" ",TRUE,Migrationsartikel!O50)</f>
        <v>della regione</v>
      </c>
      <c r="U51" s="54" t="str">
        <f>_xlfn.TEXTJOIN(" ",TRUE,Migrationsartikel!H50)</f>
        <v>1Stk</v>
      </c>
      <c r="V51" s="54" t="str">
        <f>_xlfn.TEXTJOIN(" ",TRUE,Migrationsartikel!L50)</f>
        <v>1pce</v>
      </c>
      <c r="W51" s="54" t="str">
        <f>_xlfn.TEXTJOIN(" ",TRUE,Migrationsartikel!P50)</f>
        <v>1pz</v>
      </c>
      <c r="X51" s="54" t="str">
        <f>Migrationsartikel!I50</f>
        <v>Vanillegipfel</v>
      </c>
      <c r="Y51" s="54" t="str">
        <f>Migrationsartikel!M50</f>
        <v>Croissant vanille</v>
      </c>
      <c r="Z51" s="54" t="str">
        <f>Migrationsartikel!Q50</f>
        <v>Cornetto alla vaniglia</v>
      </c>
      <c r="AA51" s="63">
        <f>Migrationsartikel!R50</f>
        <v>1</v>
      </c>
      <c r="AB51" s="54" t="str">
        <f>Migrationsartikel!T50</f>
        <v>Stück</v>
      </c>
      <c r="AC51" s="65">
        <f>Migrationsartikel!S50</f>
        <v>1</v>
      </c>
      <c r="AD51" s="54" t="str">
        <f>Migrationsartikel!U50</f>
        <v>(PCE) Stück</v>
      </c>
      <c r="AE51" s="55" t="s">
        <v>179</v>
      </c>
      <c r="AF51" s="67">
        <f>Migrationsartikel!AA50</f>
        <v>0</v>
      </c>
      <c r="AG51" s="55" t="s">
        <v>192</v>
      </c>
      <c r="AH51" s="54" t="str">
        <f>IF(Migrationsartikel!AB50="ja","true",FALSE)</f>
        <v>true</v>
      </c>
      <c r="AI51" s="54" t="str">
        <f>IF(Migrationsartikel!AC50="ja","true",FALSE)</f>
        <v>true</v>
      </c>
      <c r="AJ51" s="54" t="str">
        <f>IF(Migrationsartikel!AD50="ja","true",FALSE)</f>
        <v>true</v>
      </c>
      <c r="AK51" s="54" t="str">
        <f>IF(Migrationsartikel!AE50="ja","true",FALSE)</f>
        <v>true</v>
      </c>
      <c r="AL51" s="54" t="str">
        <f>IF(Migrationsartikel!AF50="ja","Denner Partner","")</f>
        <v/>
      </c>
      <c r="AM51" s="54" t="str">
        <f>IF(Migrationsartikel!AG50="ja","true","false")</f>
        <v>false</v>
      </c>
      <c r="AN51" s="54" t="str">
        <f t="shared" si="1"/>
        <v>Kassentastenbelegung (ohne GTIN/PLU)</v>
      </c>
      <c r="AO51" s="66" t="s">
        <v>219</v>
      </c>
      <c r="AP51" s="65" t="s">
        <v>1484</v>
      </c>
      <c r="AQ51" s="66" t="s">
        <v>217</v>
      </c>
      <c r="AR51" s="30" t="s">
        <v>219</v>
      </c>
    </row>
    <row r="52" spans="2:44" ht="21.75" customHeight="1" x14ac:dyDescent="0.45">
      <c r="B52" s="54" t="s">
        <v>99</v>
      </c>
      <c r="E52" s="55" t="s">
        <v>87</v>
      </c>
      <c r="F52" s="54" t="str">
        <f>"Warengruppe&gt;&gt;"&amp;_xlfn.TEXTJOIN("&gt;&gt;",TRUE,Migrationsartikel!V51:X51)</f>
        <v>Warengruppe&gt;&gt;Backwaren &amp; Convenience&gt;&gt;Brot und Backwaren&gt;&gt;Backwaren andere</v>
      </c>
      <c r="H52" s="55" t="s">
        <v>109</v>
      </c>
      <c r="J52" s="79">
        <f>Migrationsartikel!B51</f>
        <v>0</v>
      </c>
      <c r="L52" s="54" t="str">
        <f>_xlfn.TEXTJOIN(" ",TRUE,Migrationsartikel!F51:H51)</f>
        <v>Vanille-Himb. Plunder aus der Region 1Stk</v>
      </c>
      <c r="M52" s="54" t="str">
        <f>_xlfn.TEXTJOIN(" ",TRUE,Migrationsartikel!J51:L51)</f>
        <v>Friv. vanille-framb. de la région 1pce</v>
      </c>
      <c r="N52" s="54" t="str">
        <f>_xlfn.TEXTJOIN(" ",TRUE,Migrationsartikel!N51:P51)</f>
        <v>Sfoglia vanigl.-lamp. della regione 1pz</v>
      </c>
      <c r="O52" s="54" t="str">
        <f>Migrationsartikel!F51</f>
        <v>Vanille-Himb. Plunder</v>
      </c>
      <c r="P52" s="54" t="str">
        <f>Migrationsartikel!J51</f>
        <v>Friv. vanille-framb.</v>
      </c>
      <c r="Q52" s="54" t="str">
        <f>Migrationsartikel!N51</f>
        <v>Sfoglia vanigl.-lamp.</v>
      </c>
      <c r="R52" s="54" t="str">
        <f>_xlfn.TEXTJOIN(" ",TRUE,Migrationsartikel!G51)</f>
        <v>aus der Region</v>
      </c>
      <c r="S52" s="54" t="str">
        <f>_xlfn.TEXTJOIN(" ",TRUE,Migrationsartikel!K51)</f>
        <v>de la région</v>
      </c>
      <c r="T52" s="54" t="str">
        <f>_xlfn.TEXTJOIN(" ",TRUE,Migrationsartikel!O51)</f>
        <v>della regione</v>
      </c>
      <c r="U52" s="54" t="str">
        <f>_xlfn.TEXTJOIN(" ",TRUE,Migrationsartikel!H51)</f>
        <v>1Stk</v>
      </c>
      <c r="V52" s="54" t="str">
        <f>_xlfn.TEXTJOIN(" ",TRUE,Migrationsartikel!L51)</f>
        <v>1pce</v>
      </c>
      <c r="W52" s="54" t="str">
        <f>_xlfn.TEXTJOIN(" ",TRUE,Migrationsartikel!P51)</f>
        <v>1pz</v>
      </c>
      <c r="X52" s="54" t="str">
        <f>Migrationsartikel!I51</f>
        <v>Vanille-Himb. Plunder</v>
      </c>
      <c r="Y52" s="54" t="str">
        <f>Migrationsartikel!M51</f>
        <v>Friv. vanille-framb.</v>
      </c>
      <c r="Z52" s="54" t="str">
        <f>Migrationsartikel!Q51</f>
        <v>Sfoglia vanigl.-lamp.</v>
      </c>
      <c r="AA52" s="63">
        <f>Migrationsartikel!R51</f>
        <v>1</v>
      </c>
      <c r="AB52" s="54" t="str">
        <f>Migrationsartikel!T51</f>
        <v>Stück</v>
      </c>
      <c r="AC52" s="65">
        <f>Migrationsartikel!S51</f>
        <v>1</v>
      </c>
      <c r="AD52" s="54" t="str">
        <f>Migrationsartikel!U51</f>
        <v>(PCE) Stück</v>
      </c>
      <c r="AE52" s="55" t="s">
        <v>179</v>
      </c>
      <c r="AF52" s="67">
        <f>Migrationsartikel!AA51</f>
        <v>0</v>
      </c>
      <c r="AG52" s="55" t="s">
        <v>192</v>
      </c>
      <c r="AH52" s="54" t="str">
        <f>IF(Migrationsartikel!AB51="ja","true",FALSE)</f>
        <v>true</v>
      </c>
      <c r="AI52" s="54" t="str">
        <f>IF(Migrationsartikel!AC51="ja","true",FALSE)</f>
        <v>true</v>
      </c>
      <c r="AJ52" s="54" t="str">
        <f>IF(Migrationsartikel!AD51="ja","true",FALSE)</f>
        <v>true</v>
      </c>
      <c r="AK52" s="54" t="str">
        <f>IF(Migrationsartikel!AE51="ja","true",FALSE)</f>
        <v>true</v>
      </c>
      <c r="AL52" s="54" t="str">
        <f>IF(Migrationsartikel!AF51="ja","Denner Partner","")</f>
        <v/>
      </c>
      <c r="AM52" s="54" t="str">
        <f>IF(Migrationsartikel!AG51="ja","true","false")</f>
        <v>false</v>
      </c>
      <c r="AN52" s="54" t="str">
        <f t="shared" si="1"/>
        <v>Kassentastenbelegung (ohne GTIN/PLU)</v>
      </c>
      <c r="AO52" s="66" t="s">
        <v>219</v>
      </c>
      <c r="AP52" s="65" t="s">
        <v>1485</v>
      </c>
      <c r="AQ52" s="66" t="s">
        <v>217</v>
      </c>
      <c r="AR52" s="30" t="s">
        <v>219</v>
      </c>
    </row>
    <row r="53" spans="2:44" ht="21.75" customHeight="1" x14ac:dyDescent="0.45">
      <c r="B53" s="54" t="s">
        <v>99</v>
      </c>
      <c r="E53" s="55" t="s">
        <v>87</v>
      </c>
      <c r="F53" s="54" t="str">
        <f>"Warengruppe&gt;&gt;"&amp;_xlfn.TEXTJOIN("&gt;&gt;",TRUE,Migrationsartikel!V52:X52)</f>
        <v>Warengruppe&gt;&gt;Backwaren &amp; Convenience&gt;&gt;Brot und Backwaren&gt;&gt;Backwaren andere</v>
      </c>
      <c r="H53" s="55" t="s">
        <v>109</v>
      </c>
      <c r="J53" s="79">
        <f>Migrationsartikel!B52</f>
        <v>0</v>
      </c>
      <c r="L53" s="54" t="str">
        <f>_xlfn.TEXTJOIN(" ",TRUE,Migrationsartikel!F52:H52)</f>
        <v>Vanille-Stange aus der Region 1Stk</v>
      </c>
      <c r="M53" s="54" t="str">
        <f>_xlfn.TEXTJOIN(" ",TRUE,Migrationsartikel!J52:L52)</f>
        <v>Bâton à la vanille de la région 1pce</v>
      </c>
      <c r="N53" s="54" t="str">
        <f>_xlfn.TEXTJOIN(" ",TRUE,Migrationsartikel!N52:P52)</f>
        <v>Bastoncino vaniglia della regione 1pz</v>
      </c>
      <c r="O53" s="54" t="str">
        <f>Migrationsartikel!F52</f>
        <v>Vanille-Stange</v>
      </c>
      <c r="P53" s="54" t="str">
        <f>Migrationsartikel!J52</f>
        <v>Bâton à la vanille</v>
      </c>
      <c r="Q53" s="54" t="str">
        <f>Migrationsartikel!N52</f>
        <v>Bastoncino vaniglia</v>
      </c>
      <c r="R53" s="54" t="str">
        <f>_xlfn.TEXTJOIN(" ",TRUE,Migrationsartikel!G52)</f>
        <v>aus der Region</v>
      </c>
      <c r="S53" s="54" t="str">
        <f>_xlfn.TEXTJOIN(" ",TRUE,Migrationsartikel!K52)</f>
        <v>de la région</v>
      </c>
      <c r="T53" s="54" t="str">
        <f>_xlfn.TEXTJOIN(" ",TRUE,Migrationsartikel!O52)</f>
        <v>della regione</v>
      </c>
      <c r="U53" s="54" t="str">
        <f>_xlfn.TEXTJOIN(" ",TRUE,Migrationsartikel!H52)</f>
        <v>1Stk</v>
      </c>
      <c r="V53" s="54" t="str">
        <f>_xlfn.TEXTJOIN(" ",TRUE,Migrationsartikel!L52)</f>
        <v>1pce</v>
      </c>
      <c r="W53" s="54" t="str">
        <f>_xlfn.TEXTJOIN(" ",TRUE,Migrationsartikel!P52)</f>
        <v>1pz</v>
      </c>
      <c r="X53" s="54" t="str">
        <f>Migrationsartikel!I52</f>
        <v>Vanille-Stange</v>
      </c>
      <c r="Y53" s="54" t="str">
        <f>Migrationsartikel!M52</f>
        <v>Bâton à la vanille</v>
      </c>
      <c r="Z53" s="54" t="str">
        <f>Migrationsartikel!Q52</f>
        <v>Bastoncino vaniglia</v>
      </c>
      <c r="AA53" s="63">
        <f>Migrationsartikel!R52</f>
        <v>1</v>
      </c>
      <c r="AB53" s="54" t="str">
        <f>Migrationsartikel!T52</f>
        <v>Stück</v>
      </c>
      <c r="AC53" s="65">
        <f>Migrationsartikel!S52</f>
        <v>1</v>
      </c>
      <c r="AD53" s="54" t="str">
        <f>Migrationsartikel!U52</f>
        <v>(PCE) Stück</v>
      </c>
      <c r="AE53" s="55" t="s">
        <v>179</v>
      </c>
      <c r="AF53" s="67">
        <f>Migrationsartikel!AA52</f>
        <v>0</v>
      </c>
      <c r="AG53" s="55" t="s">
        <v>192</v>
      </c>
      <c r="AH53" s="54" t="str">
        <f>IF(Migrationsartikel!AB52="ja","true",FALSE)</f>
        <v>true</v>
      </c>
      <c r="AI53" s="54" t="str">
        <f>IF(Migrationsartikel!AC52="ja","true",FALSE)</f>
        <v>true</v>
      </c>
      <c r="AJ53" s="54" t="str">
        <f>IF(Migrationsartikel!AD52="ja","true",FALSE)</f>
        <v>true</v>
      </c>
      <c r="AK53" s="54" t="str">
        <f>IF(Migrationsartikel!AE52="ja","true",FALSE)</f>
        <v>true</v>
      </c>
      <c r="AL53" s="54" t="str">
        <f>IF(Migrationsartikel!AF52="ja","Denner Partner","")</f>
        <v/>
      </c>
      <c r="AM53" s="54" t="str">
        <f>IF(Migrationsartikel!AG52="ja","true","false")</f>
        <v>false</v>
      </c>
      <c r="AN53" s="54" t="str">
        <f t="shared" si="1"/>
        <v>Kassentastenbelegung (ohne GTIN/PLU)</v>
      </c>
      <c r="AO53" s="66" t="s">
        <v>219</v>
      </c>
      <c r="AP53" s="65" t="s">
        <v>1486</v>
      </c>
      <c r="AQ53" s="66" t="s">
        <v>217</v>
      </c>
      <c r="AR53" s="30" t="s">
        <v>219</v>
      </c>
    </row>
    <row r="54" spans="2:44" ht="21.75" customHeight="1" x14ac:dyDescent="0.45">
      <c r="B54" s="54" t="s">
        <v>99</v>
      </c>
      <c r="E54" s="55" t="s">
        <v>87</v>
      </c>
      <c r="F54" s="54" t="str">
        <f>"Warengruppe&gt;&gt;"&amp;_xlfn.TEXTJOIN("&gt;&gt;",TRUE,Migrationsartikel!V53:X53)</f>
        <v>Warengruppe&gt;&gt;Backwaren &amp; Convenience&gt;&gt;Brot und Backwaren&gt;&gt;Backwaren andere</v>
      </c>
      <c r="H54" s="55" t="s">
        <v>109</v>
      </c>
      <c r="J54" s="79">
        <f>Migrationsartikel!B53</f>
        <v>0</v>
      </c>
      <c r="L54" s="54" t="str">
        <f>_xlfn.TEXTJOIN(" ",TRUE,Migrationsartikel!F53:H53)</f>
        <v>Vollkorngipfel aus der Region 1Stk</v>
      </c>
      <c r="M54" s="54" t="str">
        <f>_xlfn.TEXTJOIN(" ",TRUE,Migrationsartikel!J53:L53)</f>
        <v>Croissant complet de la région 1pce</v>
      </c>
      <c r="N54" s="54" t="str">
        <f>_xlfn.TEXTJOIN(" ",TRUE,Migrationsartikel!N53:P53)</f>
        <v>Cornetto integrale della regione 1pz</v>
      </c>
      <c r="O54" s="54" t="str">
        <f>Migrationsartikel!F53</f>
        <v>Vollkorngipfel</v>
      </c>
      <c r="P54" s="54" t="str">
        <f>Migrationsartikel!J53</f>
        <v>Croissant complet</v>
      </c>
      <c r="Q54" s="54" t="str">
        <f>Migrationsartikel!N53</f>
        <v>Cornetto integrale</v>
      </c>
      <c r="R54" s="54" t="str">
        <f>_xlfn.TEXTJOIN(" ",TRUE,Migrationsartikel!G53)</f>
        <v>aus der Region</v>
      </c>
      <c r="S54" s="54" t="str">
        <f>_xlfn.TEXTJOIN(" ",TRUE,Migrationsartikel!K53)</f>
        <v>de la région</v>
      </c>
      <c r="T54" s="54" t="str">
        <f>_xlfn.TEXTJOIN(" ",TRUE,Migrationsartikel!O53)</f>
        <v>della regione</v>
      </c>
      <c r="U54" s="54" t="str">
        <f>_xlfn.TEXTJOIN(" ",TRUE,Migrationsartikel!H53)</f>
        <v>1Stk</v>
      </c>
      <c r="V54" s="54" t="str">
        <f>_xlfn.TEXTJOIN(" ",TRUE,Migrationsartikel!L53)</f>
        <v>1pce</v>
      </c>
      <c r="W54" s="54" t="str">
        <f>_xlfn.TEXTJOIN(" ",TRUE,Migrationsartikel!P53)</f>
        <v>1pz</v>
      </c>
      <c r="X54" s="54" t="str">
        <f>Migrationsartikel!I53</f>
        <v>Vollkorngipfel</v>
      </c>
      <c r="Y54" s="54" t="str">
        <f>Migrationsartikel!M53</f>
        <v>Croissant complet</v>
      </c>
      <c r="Z54" s="54" t="str">
        <f>Migrationsartikel!Q53</f>
        <v>Cornetto integrale</v>
      </c>
      <c r="AA54" s="63">
        <f>Migrationsartikel!R53</f>
        <v>1</v>
      </c>
      <c r="AB54" s="54" t="str">
        <f>Migrationsartikel!T53</f>
        <v>Stück</v>
      </c>
      <c r="AC54" s="65">
        <f>Migrationsartikel!S53</f>
        <v>1</v>
      </c>
      <c r="AD54" s="54" t="str">
        <f>Migrationsartikel!U53</f>
        <v>(PCE) Stück</v>
      </c>
      <c r="AE54" s="55" t="s">
        <v>179</v>
      </c>
      <c r="AF54" s="67">
        <f>Migrationsartikel!AA53</f>
        <v>0</v>
      </c>
      <c r="AG54" s="55" t="s">
        <v>192</v>
      </c>
      <c r="AH54" s="54" t="str">
        <f>IF(Migrationsartikel!AB53="ja","true",FALSE)</f>
        <v>true</v>
      </c>
      <c r="AI54" s="54" t="str">
        <f>IF(Migrationsartikel!AC53="ja","true",FALSE)</f>
        <v>true</v>
      </c>
      <c r="AJ54" s="54" t="str">
        <f>IF(Migrationsartikel!AD53="ja","true",FALSE)</f>
        <v>true</v>
      </c>
      <c r="AK54" s="54" t="str">
        <f>IF(Migrationsartikel!AE53="ja","true",FALSE)</f>
        <v>true</v>
      </c>
      <c r="AL54" s="54" t="str">
        <f>IF(Migrationsartikel!AF53="ja","Denner Partner","")</f>
        <v/>
      </c>
      <c r="AM54" s="54" t="str">
        <f>IF(Migrationsartikel!AG53="ja","true","false")</f>
        <v>false</v>
      </c>
      <c r="AN54" s="54" t="str">
        <f t="shared" si="1"/>
        <v>Kassentastenbelegung (ohne GTIN/PLU)</v>
      </c>
      <c r="AO54" s="66" t="s">
        <v>219</v>
      </c>
      <c r="AP54" s="65" t="s">
        <v>1487</v>
      </c>
      <c r="AQ54" s="66" t="s">
        <v>217</v>
      </c>
      <c r="AR54" s="30" t="s">
        <v>219</v>
      </c>
    </row>
    <row r="55" spans="2:44" ht="21.75" customHeight="1" x14ac:dyDescent="0.45">
      <c r="B55" s="54" t="s">
        <v>99</v>
      </c>
      <c r="E55" s="55" t="s">
        <v>87</v>
      </c>
      <c r="F55" s="54" t="str">
        <f>"Warengruppe&gt;&gt;"&amp;_xlfn.TEXTJOIN("&gt;&gt;",TRUE,Migrationsartikel!V54:X54)</f>
        <v>Warengruppe&gt;&gt;Backwaren &amp; Convenience&gt;&gt;Brot und Backwaren&gt;&gt;Backwaren andere</v>
      </c>
      <c r="H55" s="55" t="s">
        <v>109</v>
      </c>
      <c r="J55" s="79">
        <f>Migrationsartikel!B54</f>
        <v>0</v>
      </c>
      <c r="L55" s="54" t="str">
        <f>_xlfn.TEXTJOIN(" ",TRUE,Migrationsartikel!F54:H54)</f>
        <v>Weggli aus der Region 1Stk</v>
      </c>
      <c r="M55" s="54" t="str">
        <f>_xlfn.TEXTJOIN(" ",TRUE,Migrationsartikel!J54:L54)</f>
        <v>Pain au lait de la région 1pce</v>
      </c>
      <c r="N55" s="54" t="str">
        <f>_xlfn.TEXTJOIN(" ",TRUE,Migrationsartikel!N54:P54)</f>
        <v>Michetta al latte della regione 1pz</v>
      </c>
      <c r="O55" s="54" t="str">
        <f>Migrationsartikel!F54</f>
        <v>Weggli</v>
      </c>
      <c r="P55" s="54" t="str">
        <f>Migrationsartikel!J54</f>
        <v>Pain au lait</v>
      </c>
      <c r="Q55" s="54" t="str">
        <f>Migrationsartikel!N54</f>
        <v>Michetta al latte</v>
      </c>
      <c r="R55" s="54" t="str">
        <f>_xlfn.TEXTJOIN(" ",TRUE,Migrationsartikel!G54)</f>
        <v>aus der Region</v>
      </c>
      <c r="S55" s="54" t="str">
        <f>_xlfn.TEXTJOIN(" ",TRUE,Migrationsartikel!K54)</f>
        <v>de la région</v>
      </c>
      <c r="T55" s="54" t="str">
        <f>_xlfn.TEXTJOIN(" ",TRUE,Migrationsartikel!O54)</f>
        <v>della regione</v>
      </c>
      <c r="U55" s="54" t="str">
        <f>_xlfn.TEXTJOIN(" ",TRUE,Migrationsartikel!H54)</f>
        <v>1Stk</v>
      </c>
      <c r="V55" s="54" t="str">
        <f>_xlfn.TEXTJOIN(" ",TRUE,Migrationsartikel!L54)</f>
        <v>1pce</v>
      </c>
      <c r="W55" s="54" t="str">
        <f>_xlfn.TEXTJOIN(" ",TRUE,Migrationsartikel!P54)</f>
        <v>1pz</v>
      </c>
      <c r="X55" s="54" t="str">
        <f>Migrationsartikel!I54</f>
        <v>Weggli</v>
      </c>
      <c r="Y55" s="54" t="str">
        <f>Migrationsartikel!M54</f>
        <v>Pain au lait</v>
      </c>
      <c r="Z55" s="54" t="str">
        <f>Migrationsartikel!Q54</f>
        <v>Michetta al latte</v>
      </c>
      <c r="AA55" s="63">
        <f>Migrationsartikel!R54</f>
        <v>1</v>
      </c>
      <c r="AB55" s="54" t="str">
        <f>Migrationsartikel!T54</f>
        <v>Stück</v>
      </c>
      <c r="AC55" s="65">
        <f>Migrationsartikel!S54</f>
        <v>1</v>
      </c>
      <c r="AD55" s="54" t="str">
        <f>Migrationsartikel!U54</f>
        <v>(PCE) Stück</v>
      </c>
      <c r="AE55" s="55" t="s">
        <v>179</v>
      </c>
      <c r="AF55" s="67">
        <f>Migrationsartikel!AA54</f>
        <v>0</v>
      </c>
      <c r="AG55" s="55" t="s">
        <v>192</v>
      </c>
      <c r="AH55" s="54" t="str">
        <f>IF(Migrationsartikel!AB54="ja","true",FALSE)</f>
        <v>true</v>
      </c>
      <c r="AI55" s="54" t="str">
        <f>IF(Migrationsartikel!AC54="ja","true",FALSE)</f>
        <v>true</v>
      </c>
      <c r="AJ55" s="54" t="str">
        <f>IF(Migrationsartikel!AD54="ja","true",FALSE)</f>
        <v>true</v>
      </c>
      <c r="AK55" s="54" t="str">
        <f>IF(Migrationsartikel!AE54="ja","true",FALSE)</f>
        <v>true</v>
      </c>
      <c r="AL55" s="54" t="str">
        <f>IF(Migrationsartikel!AF54="ja","Denner Partner","")</f>
        <v/>
      </c>
      <c r="AM55" s="54" t="str">
        <f>IF(Migrationsartikel!AG54="ja","true","false")</f>
        <v>false</v>
      </c>
      <c r="AN55" s="54" t="str">
        <f t="shared" si="1"/>
        <v>Kassentastenbelegung (ohne GTIN/PLU)</v>
      </c>
      <c r="AO55" s="66" t="s">
        <v>219</v>
      </c>
      <c r="AP55" s="65" t="s">
        <v>1488</v>
      </c>
      <c r="AQ55" s="66" t="s">
        <v>217</v>
      </c>
      <c r="AR55" s="30" t="s">
        <v>219</v>
      </c>
    </row>
    <row r="56" spans="2:44" ht="21.75" customHeight="1" x14ac:dyDescent="0.45">
      <c r="B56" s="54" t="s">
        <v>99</v>
      </c>
      <c r="E56" s="55" t="s">
        <v>87</v>
      </c>
      <c r="F56" s="54" t="str">
        <f>"Warengruppe&gt;&gt;"&amp;_xlfn.TEXTJOIN("&gt;&gt;",TRUE,Migrationsartikel!V55:X55)</f>
        <v>Warengruppe&gt;&gt;Food&gt;&gt;Sonstige Nahrungsmittel&gt;&gt;Sonstige Nahrungsmittel</v>
      </c>
      <c r="H56" s="55" t="s">
        <v>109</v>
      </c>
      <c r="J56" s="79">
        <f>Migrationsartikel!B55</f>
        <v>0</v>
      </c>
      <c r="L56" s="54" t="str">
        <f>_xlfn.TEXTJOIN(" ",TRUE,Migrationsartikel!F55:H55)</f>
        <v>Bénichon-Senf aus der Region 100g</v>
      </c>
      <c r="M56" s="54" t="str">
        <f>_xlfn.TEXTJOIN(" ",TRUE,Migrationsartikel!J55:L55)</f>
        <v>Moutarde de Bénichon de la région 100g</v>
      </c>
      <c r="N56" s="54" t="str">
        <f>_xlfn.TEXTJOIN(" ",TRUE,Migrationsartikel!N55:P55)</f>
        <v>Senape di Bénichon della regione 100g</v>
      </c>
      <c r="O56" s="54" t="str">
        <f>Migrationsartikel!F55</f>
        <v>Bénichon-Senf</v>
      </c>
      <c r="P56" s="54" t="str">
        <f>Migrationsartikel!J55</f>
        <v>Moutarde de Bénichon</v>
      </c>
      <c r="Q56" s="54" t="str">
        <f>Migrationsartikel!N55</f>
        <v>Senape di Bénichon</v>
      </c>
      <c r="R56" s="54" t="str">
        <f>_xlfn.TEXTJOIN(" ",TRUE,Migrationsartikel!G55)</f>
        <v>aus der Region</v>
      </c>
      <c r="S56" s="54" t="str">
        <f>_xlfn.TEXTJOIN(" ",TRUE,Migrationsartikel!K55)</f>
        <v>de la région</v>
      </c>
      <c r="T56" s="54" t="str">
        <f>_xlfn.TEXTJOIN(" ",TRUE,Migrationsartikel!O55)</f>
        <v>della regione</v>
      </c>
      <c r="U56" s="54" t="str">
        <f>_xlfn.TEXTJOIN(" ",TRUE,Migrationsartikel!H55)</f>
        <v>100g</v>
      </c>
      <c r="V56" s="54" t="str">
        <f>_xlfn.TEXTJOIN(" ",TRUE,Migrationsartikel!L55)</f>
        <v>100g</v>
      </c>
      <c r="W56" s="54" t="str">
        <f>_xlfn.TEXTJOIN(" ",TRUE,Migrationsartikel!P55)</f>
        <v>100g</v>
      </c>
      <c r="X56" s="54" t="str">
        <f>Migrationsartikel!I55</f>
        <v>Bénichon-Senf 100g</v>
      </c>
      <c r="Y56" s="54" t="str">
        <f>Migrationsartikel!M55</f>
        <v>Moutarde de Bénichon 100g</v>
      </c>
      <c r="Z56" s="54" t="str">
        <f>Migrationsartikel!Q55</f>
        <v>Senape di Bénichon 100g</v>
      </c>
      <c r="AA56" s="63">
        <f>Migrationsartikel!R55</f>
        <v>0.1</v>
      </c>
      <c r="AB56" s="54" t="str">
        <f>Migrationsartikel!T55</f>
        <v>Gramm</v>
      </c>
      <c r="AC56" s="65">
        <f>Migrationsartikel!S55</f>
        <v>1</v>
      </c>
      <c r="AD56" s="54" t="str">
        <f>Migrationsartikel!U55</f>
        <v>(PCE) Stück</v>
      </c>
      <c r="AE56" s="55" t="s">
        <v>179</v>
      </c>
      <c r="AF56" s="67">
        <f>Migrationsartikel!AA55</f>
        <v>0</v>
      </c>
      <c r="AG56" s="55" t="s">
        <v>192</v>
      </c>
      <c r="AH56" s="54" t="str">
        <f>IF(Migrationsartikel!AB55="ja","true",FALSE)</f>
        <v>true</v>
      </c>
      <c r="AI56" s="54" t="str">
        <f>IF(Migrationsartikel!AC55="ja","true",FALSE)</f>
        <v>true</v>
      </c>
      <c r="AJ56" s="54" t="str">
        <f>IF(Migrationsartikel!AD55="ja","true",FALSE)</f>
        <v>true</v>
      </c>
      <c r="AK56" s="54" t="str">
        <f>IF(Migrationsartikel!AE55="ja","true",FALSE)</f>
        <v>true</v>
      </c>
      <c r="AL56" s="54" t="str">
        <f>IF(Migrationsartikel!AF55="ja","Denner Partner","")</f>
        <v/>
      </c>
      <c r="AM56" s="54" t="str">
        <f>IF(Migrationsartikel!AG55="ja","true","false")</f>
        <v>false</v>
      </c>
      <c r="AN56" s="54" t="str">
        <f t="shared" si="1"/>
        <v>Kassentastenbelegung (ohne GTIN/PLU)</v>
      </c>
      <c r="AO56" s="66" t="s">
        <v>219</v>
      </c>
      <c r="AP56" s="65" t="s">
        <v>1489</v>
      </c>
      <c r="AQ56" s="66" t="s">
        <v>217</v>
      </c>
      <c r="AR56" s="30" t="s">
        <v>219</v>
      </c>
    </row>
    <row r="57" spans="2:44" ht="21.75" customHeight="1" x14ac:dyDescent="0.45">
      <c r="B57" s="54" t="s">
        <v>99</v>
      </c>
      <c r="E57" s="55" t="s">
        <v>87</v>
      </c>
      <c r="F57" s="54" t="str">
        <f>"Warengruppe&gt;&gt;"&amp;_xlfn.TEXTJOIN("&gt;&gt;",TRUE,Migrationsartikel!V56:X56)</f>
        <v>Warengruppe&gt;&gt;Food&gt;&gt;Sonstige Nahrungsmittel&gt;&gt;Sonstige Nahrungsmittel</v>
      </c>
      <c r="H57" s="55" t="s">
        <v>109</v>
      </c>
      <c r="J57" s="79">
        <f>Migrationsartikel!B56</f>
        <v>0</v>
      </c>
      <c r="L57" s="54" t="str">
        <f>_xlfn.TEXTJOIN(" ",TRUE,Migrationsartikel!F56:H56)</f>
        <v>Bénichon-Senf aus der Region 250g</v>
      </c>
      <c r="M57" s="54" t="str">
        <f>_xlfn.TEXTJOIN(" ",TRUE,Migrationsartikel!J56:L56)</f>
        <v>Moutarde de Bénichon de la région 250g</v>
      </c>
      <c r="N57" s="54" t="str">
        <f>_xlfn.TEXTJOIN(" ",TRUE,Migrationsartikel!N56:P56)</f>
        <v>Senape di Bénichon della regione 250g</v>
      </c>
      <c r="O57" s="54" t="str">
        <f>Migrationsartikel!F56</f>
        <v>Bénichon-Senf</v>
      </c>
      <c r="P57" s="54" t="str">
        <f>Migrationsartikel!J56</f>
        <v>Moutarde de Bénichon</v>
      </c>
      <c r="Q57" s="54" t="str">
        <f>Migrationsartikel!N56</f>
        <v>Senape di Bénichon</v>
      </c>
      <c r="R57" s="54" t="str">
        <f>_xlfn.TEXTJOIN(" ",TRUE,Migrationsartikel!G56)</f>
        <v>aus der Region</v>
      </c>
      <c r="S57" s="54" t="str">
        <f>_xlfn.TEXTJOIN(" ",TRUE,Migrationsartikel!K56)</f>
        <v>de la région</v>
      </c>
      <c r="T57" s="54" t="str">
        <f>_xlfn.TEXTJOIN(" ",TRUE,Migrationsartikel!O56)</f>
        <v>della regione</v>
      </c>
      <c r="U57" s="54" t="str">
        <f>_xlfn.TEXTJOIN(" ",TRUE,Migrationsartikel!H56)</f>
        <v>250g</v>
      </c>
      <c r="V57" s="54" t="str">
        <f>_xlfn.TEXTJOIN(" ",TRUE,Migrationsartikel!L56)</f>
        <v>250g</v>
      </c>
      <c r="W57" s="54" t="str">
        <f>_xlfn.TEXTJOIN(" ",TRUE,Migrationsartikel!P56)</f>
        <v>250g</v>
      </c>
      <c r="X57" s="54" t="str">
        <f>Migrationsartikel!I56</f>
        <v>Bénichon-Senf 250g</v>
      </c>
      <c r="Y57" s="54" t="str">
        <f>Migrationsartikel!M56</f>
        <v>Moutarde de Bénichon 250</v>
      </c>
      <c r="Z57" s="54" t="str">
        <f>Migrationsartikel!Q56</f>
        <v>Senape di Bénichon 250</v>
      </c>
      <c r="AA57" s="63">
        <f>Migrationsartikel!R56</f>
        <v>0.25</v>
      </c>
      <c r="AB57" s="54" t="str">
        <f>Migrationsartikel!T56</f>
        <v>Gramm</v>
      </c>
      <c r="AC57" s="65">
        <f>Migrationsartikel!S56</f>
        <v>1</v>
      </c>
      <c r="AD57" s="54" t="str">
        <f>Migrationsartikel!U56</f>
        <v>(PCE) Stück</v>
      </c>
      <c r="AE57" s="55" t="s">
        <v>179</v>
      </c>
      <c r="AF57" s="67">
        <f>Migrationsartikel!AA56</f>
        <v>0</v>
      </c>
      <c r="AG57" s="55" t="s">
        <v>192</v>
      </c>
      <c r="AH57" s="54" t="str">
        <f>IF(Migrationsartikel!AB56="ja","true",FALSE)</f>
        <v>true</v>
      </c>
      <c r="AI57" s="54" t="str">
        <f>IF(Migrationsartikel!AC56="ja","true",FALSE)</f>
        <v>true</v>
      </c>
      <c r="AJ57" s="54" t="str">
        <f>IF(Migrationsartikel!AD56="ja","true",FALSE)</f>
        <v>true</v>
      </c>
      <c r="AK57" s="54" t="str">
        <f>IF(Migrationsartikel!AE56="ja","true",FALSE)</f>
        <v>true</v>
      </c>
      <c r="AL57" s="54" t="str">
        <f>IF(Migrationsartikel!AF56="ja","Denner Partner","")</f>
        <v/>
      </c>
      <c r="AM57" s="54" t="str">
        <f>IF(Migrationsartikel!AG56="ja","true","false")</f>
        <v>false</v>
      </c>
      <c r="AN57" s="54" t="str">
        <f t="shared" si="1"/>
        <v>Kassentastenbelegung (ohne GTIN/PLU)</v>
      </c>
      <c r="AO57" s="66" t="s">
        <v>219</v>
      </c>
      <c r="AP57" s="65" t="s">
        <v>1490</v>
      </c>
      <c r="AQ57" s="66" t="s">
        <v>217</v>
      </c>
      <c r="AR57" s="30" t="s">
        <v>219</v>
      </c>
    </row>
    <row r="58" spans="2:44" ht="21.75" customHeight="1" x14ac:dyDescent="0.45">
      <c r="B58" s="54" t="s">
        <v>99</v>
      </c>
      <c r="E58" s="55" t="s">
        <v>87</v>
      </c>
      <c r="F58" s="54" t="str">
        <f>"Warengruppe&gt;&gt;"&amp;_xlfn.TEXTJOIN("&gt;&gt;",TRUE,Migrationsartikel!V57:X57)</f>
        <v>Warengruppe&gt;&gt;Food&gt;&gt;Sonstige Nahrungsmittel&gt;&gt;Sonstige Nahrungsmittel</v>
      </c>
      <c r="H58" s="55" t="s">
        <v>109</v>
      </c>
      <c r="J58" s="79">
        <f>Migrationsartikel!B57</f>
        <v>0</v>
      </c>
      <c r="L58" s="54" t="str">
        <f>_xlfn.TEXTJOIN(" ",TRUE,Migrationsartikel!F57:H57)</f>
        <v>Geschenkkorb aus der Region 1Stk</v>
      </c>
      <c r="M58" s="54" t="str">
        <f>_xlfn.TEXTJOIN(" ",TRUE,Migrationsartikel!J57:L57)</f>
        <v>Panier cadeau de la région 1pce</v>
      </c>
      <c r="N58" s="54" t="str">
        <f>_xlfn.TEXTJOIN(" ",TRUE,Migrationsartikel!N57:P57)</f>
        <v>Cesto regalo della regione 1pz</v>
      </c>
      <c r="O58" s="54" t="str">
        <f>Migrationsartikel!F57</f>
        <v>Geschenkkorb</v>
      </c>
      <c r="P58" s="54" t="str">
        <f>Migrationsartikel!J57</f>
        <v>Panier cadeau</v>
      </c>
      <c r="Q58" s="54" t="str">
        <f>Migrationsartikel!N57</f>
        <v>Cesto regalo</v>
      </c>
      <c r="R58" s="54" t="str">
        <f>_xlfn.TEXTJOIN(" ",TRUE,Migrationsartikel!G57)</f>
        <v>aus der Region</v>
      </c>
      <c r="S58" s="54" t="str">
        <f>_xlfn.TEXTJOIN(" ",TRUE,Migrationsartikel!K57)</f>
        <v>de la région</v>
      </c>
      <c r="T58" s="54" t="str">
        <f>_xlfn.TEXTJOIN(" ",TRUE,Migrationsartikel!O57)</f>
        <v>della regione</v>
      </c>
      <c r="U58" s="54" t="str">
        <f>_xlfn.TEXTJOIN(" ",TRUE,Migrationsartikel!H57)</f>
        <v>1Stk</v>
      </c>
      <c r="V58" s="54" t="str">
        <f>_xlfn.TEXTJOIN(" ",TRUE,Migrationsartikel!L57)</f>
        <v>1pce</v>
      </c>
      <c r="W58" s="54" t="str">
        <f>_xlfn.TEXTJOIN(" ",TRUE,Migrationsartikel!P57)</f>
        <v>1pz</v>
      </c>
      <c r="X58" s="54" t="str">
        <f>Migrationsartikel!I57</f>
        <v>Geschenkkorb</v>
      </c>
      <c r="Y58" s="54" t="str">
        <f>Migrationsartikel!M57</f>
        <v>Panier cadeau</v>
      </c>
      <c r="Z58" s="54" t="str">
        <f>Migrationsartikel!Q57</f>
        <v>Cesto regalo</v>
      </c>
      <c r="AA58" s="63">
        <f>Migrationsartikel!R57</f>
        <v>1</v>
      </c>
      <c r="AB58" s="54" t="str">
        <f>Migrationsartikel!T57</f>
        <v>Stück</v>
      </c>
      <c r="AC58" s="65">
        <f>Migrationsartikel!S57</f>
        <v>1</v>
      </c>
      <c r="AD58" s="54" t="str">
        <f>Migrationsartikel!U57</f>
        <v>(PCE) Stück</v>
      </c>
      <c r="AE58" s="55" t="s">
        <v>179</v>
      </c>
      <c r="AF58" s="67">
        <f>Migrationsartikel!AA57</f>
        <v>0</v>
      </c>
      <c r="AG58" s="55" t="s">
        <v>192</v>
      </c>
      <c r="AH58" s="54" t="str">
        <f>IF(Migrationsartikel!AB57="ja","true",FALSE)</f>
        <v>true</v>
      </c>
      <c r="AI58" s="54" t="str">
        <f>IF(Migrationsartikel!AC57="ja","true",FALSE)</f>
        <v>true</v>
      </c>
      <c r="AJ58" s="54" t="str">
        <f>IF(Migrationsartikel!AD57="ja","true",FALSE)</f>
        <v>true</v>
      </c>
      <c r="AK58" s="54" t="str">
        <f>IF(Migrationsartikel!AE57="ja","true",FALSE)</f>
        <v>true</v>
      </c>
      <c r="AL58" s="54" t="str">
        <f>IF(Migrationsartikel!AF57="ja","Denner Partner","")</f>
        <v/>
      </c>
      <c r="AM58" s="54" t="str">
        <f>IF(Migrationsartikel!AG57="ja","true","false")</f>
        <v>false</v>
      </c>
      <c r="AN58" s="54" t="str">
        <f t="shared" si="1"/>
        <v>Kassentastenbelegung (ohne GTIN/PLU)</v>
      </c>
      <c r="AO58" s="66" t="s">
        <v>219</v>
      </c>
      <c r="AP58" s="65" t="s">
        <v>1491</v>
      </c>
      <c r="AQ58" s="66" t="s">
        <v>217</v>
      </c>
      <c r="AR58" s="30" t="s">
        <v>219</v>
      </c>
    </row>
    <row r="59" spans="2:44" ht="21.75" customHeight="1" x14ac:dyDescent="0.45">
      <c r="B59" s="54" t="s">
        <v>99</v>
      </c>
      <c r="E59" s="55" t="s">
        <v>87</v>
      </c>
      <c r="F59" s="54" t="str">
        <f>"Warengruppe&gt;&gt;"&amp;_xlfn.TEXTJOIN("&gt;&gt;",TRUE,Migrationsartikel!V58:X58)</f>
        <v>Warengruppe&gt;&gt;Food&gt;&gt;Sonstige Nahrungsmittel&gt;&gt;Sonstige Nahrungsmittel</v>
      </c>
      <c r="H59" s="55" t="s">
        <v>109</v>
      </c>
      <c r="J59" s="79">
        <f>Migrationsartikel!B58</f>
        <v>0</v>
      </c>
      <c r="L59" s="54" t="str">
        <f>_xlfn.TEXTJOIN(" ",TRUE,Migrationsartikel!F58:H58)</f>
        <v>Honig aus der Region 250g</v>
      </c>
      <c r="M59" s="54" t="str">
        <f>_xlfn.TEXTJOIN(" ",TRUE,Migrationsartikel!J58:L58)</f>
        <v>Miel de la région 250g</v>
      </c>
      <c r="N59" s="54" t="str">
        <f>_xlfn.TEXTJOIN(" ",TRUE,Migrationsartikel!N58:P58)</f>
        <v>Miele della regione 250g</v>
      </c>
      <c r="O59" s="54" t="str">
        <f>Migrationsartikel!F58</f>
        <v>Honig</v>
      </c>
      <c r="P59" s="54" t="str">
        <f>Migrationsartikel!J58</f>
        <v>Miel</v>
      </c>
      <c r="Q59" s="54" t="str">
        <f>Migrationsartikel!N58</f>
        <v>Miele</v>
      </c>
      <c r="R59" s="54" t="str">
        <f>_xlfn.TEXTJOIN(" ",TRUE,Migrationsartikel!G58)</f>
        <v>aus der Region</v>
      </c>
      <c r="S59" s="54" t="str">
        <f>_xlfn.TEXTJOIN(" ",TRUE,Migrationsartikel!K58)</f>
        <v>de la région</v>
      </c>
      <c r="T59" s="54" t="str">
        <f>_xlfn.TEXTJOIN(" ",TRUE,Migrationsartikel!O58)</f>
        <v>della regione</v>
      </c>
      <c r="U59" s="54" t="str">
        <f>_xlfn.TEXTJOIN(" ",TRUE,Migrationsartikel!H58)</f>
        <v>250g</v>
      </c>
      <c r="V59" s="54" t="str">
        <f>_xlfn.TEXTJOIN(" ",TRUE,Migrationsartikel!L58)</f>
        <v>250g</v>
      </c>
      <c r="W59" s="54" t="str">
        <f>_xlfn.TEXTJOIN(" ",TRUE,Migrationsartikel!P58)</f>
        <v>250g</v>
      </c>
      <c r="X59" s="54" t="str">
        <f>Migrationsartikel!I58</f>
        <v>Honig 250g</v>
      </c>
      <c r="Y59" s="54" t="str">
        <f>Migrationsartikel!M58</f>
        <v>Miel 250g</v>
      </c>
      <c r="Z59" s="54" t="str">
        <f>Migrationsartikel!Q58</f>
        <v>Miele 250g</v>
      </c>
      <c r="AA59" s="63">
        <f>Migrationsartikel!R58</f>
        <v>0.25</v>
      </c>
      <c r="AB59" s="54" t="str">
        <f>Migrationsartikel!T58</f>
        <v>Gramm</v>
      </c>
      <c r="AC59" s="65">
        <f>Migrationsartikel!S58</f>
        <v>1</v>
      </c>
      <c r="AD59" s="54" t="str">
        <f>Migrationsartikel!U58</f>
        <v>(PCE) Stück</v>
      </c>
      <c r="AE59" s="55" t="s">
        <v>179</v>
      </c>
      <c r="AF59" s="67">
        <f>Migrationsartikel!AA58</f>
        <v>0</v>
      </c>
      <c r="AG59" s="55" t="s">
        <v>192</v>
      </c>
      <c r="AH59" s="54" t="str">
        <f>IF(Migrationsartikel!AB58="ja","true",FALSE)</f>
        <v>true</v>
      </c>
      <c r="AI59" s="54" t="str">
        <f>IF(Migrationsartikel!AC58="ja","true",FALSE)</f>
        <v>true</v>
      </c>
      <c r="AJ59" s="54" t="str">
        <f>IF(Migrationsartikel!AD58="ja","true",FALSE)</f>
        <v>true</v>
      </c>
      <c r="AK59" s="54" t="str">
        <f>IF(Migrationsartikel!AE58="ja","true",FALSE)</f>
        <v>true</v>
      </c>
      <c r="AL59" s="54" t="str">
        <f>IF(Migrationsartikel!AF58="ja","Denner Partner","")</f>
        <v/>
      </c>
      <c r="AM59" s="54" t="str">
        <f>IF(Migrationsartikel!AG58="ja","true","false")</f>
        <v>false</v>
      </c>
      <c r="AN59" s="54" t="str">
        <f t="shared" si="1"/>
        <v>Kassentastenbelegung (ohne GTIN/PLU)</v>
      </c>
      <c r="AO59" s="66" t="s">
        <v>219</v>
      </c>
      <c r="AP59" s="65" t="s">
        <v>1492</v>
      </c>
      <c r="AQ59" s="66" t="s">
        <v>217</v>
      </c>
      <c r="AR59" s="30" t="s">
        <v>219</v>
      </c>
    </row>
    <row r="60" spans="2:44" ht="21.75" customHeight="1" x14ac:dyDescent="0.45">
      <c r="B60" s="54" t="s">
        <v>99</v>
      </c>
      <c r="E60" s="55" t="s">
        <v>87</v>
      </c>
      <c r="F60" s="54" t="str">
        <f>"Warengruppe&gt;&gt;"&amp;_xlfn.TEXTJOIN("&gt;&gt;",TRUE,Migrationsartikel!V59:X59)</f>
        <v>Warengruppe&gt;&gt;Food&gt;&gt;Sonstige Nahrungsmittel&gt;&gt;Sonstige Nahrungsmittel</v>
      </c>
      <c r="H60" s="55" t="s">
        <v>109</v>
      </c>
      <c r="J60" s="79">
        <f>Migrationsartikel!B59</f>
        <v>0</v>
      </c>
      <c r="L60" s="54" t="str">
        <f>_xlfn.TEXTJOIN(" ",TRUE,Migrationsartikel!F59:H59)</f>
        <v>Honig aus der Region 500g</v>
      </c>
      <c r="M60" s="54" t="str">
        <f>_xlfn.TEXTJOIN(" ",TRUE,Migrationsartikel!J59:L59)</f>
        <v>Miel de la région 500g</v>
      </c>
      <c r="N60" s="54" t="str">
        <f>_xlfn.TEXTJOIN(" ",TRUE,Migrationsartikel!N59:P59)</f>
        <v>Miele della regione 500g</v>
      </c>
      <c r="O60" s="54" t="str">
        <f>Migrationsartikel!F59</f>
        <v>Honig</v>
      </c>
      <c r="P60" s="54" t="str">
        <f>Migrationsartikel!J59</f>
        <v>Miel</v>
      </c>
      <c r="Q60" s="54" t="str">
        <f>Migrationsartikel!N59</f>
        <v>Miele</v>
      </c>
      <c r="R60" s="54" t="str">
        <f>_xlfn.TEXTJOIN(" ",TRUE,Migrationsartikel!G59)</f>
        <v>aus der Region</v>
      </c>
      <c r="S60" s="54" t="str">
        <f>_xlfn.TEXTJOIN(" ",TRUE,Migrationsartikel!K59)</f>
        <v>de la région</v>
      </c>
      <c r="T60" s="54" t="str">
        <f>_xlfn.TEXTJOIN(" ",TRUE,Migrationsartikel!O59)</f>
        <v>della regione</v>
      </c>
      <c r="U60" s="54" t="str">
        <f>_xlfn.TEXTJOIN(" ",TRUE,Migrationsartikel!H59)</f>
        <v>500g</v>
      </c>
      <c r="V60" s="54" t="str">
        <f>_xlfn.TEXTJOIN(" ",TRUE,Migrationsartikel!L59)</f>
        <v>500g</v>
      </c>
      <c r="W60" s="54" t="str">
        <f>_xlfn.TEXTJOIN(" ",TRUE,Migrationsartikel!P59)</f>
        <v>500g</v>
      </c>
      <c r="X60" s="54" t="str">
        <f>Migrationsartikel!I59</f>
        <v>Honig 500g</v>
      </c>
      <c r="Y60" s="54" t="str">
        <f>Migrationsartikel!M59</f>
        <v>Miel 500g</v>
      </c>
      <c r="Z60" s="54" t="str">
        <f>Migrationsartikel!Q59</f>
        <v>Miele 500g</v>
      </c>
      <c r="AA60" s="63">
        <f>Migrationsartikel!R59</f>
        <v>0.5</v>
      </c>
      <c r="AB60" s="54" t="str">
        <f>Migrationsartikel!T59</f>
        <v>Gramm</v>
      </c>
      <c r="AC60" s="65">
        <f>Migrationsartikel!S59</f>
        <v>1</v>
      </c>
      <c r="AD60" s="54" t="str">
        <f>Migrationsartikel!U59</f>
        <v>(PCE) Stück</v>
      </c>
      <c r="AE60" s="55" t="s">
        <v>179</v>
      </c>
      <c r="AF60" s="67">
        <f>Migrationsartikel!AA59</f>
        <v>0</v>
      </c>
      <c r="AG60" s="55" t="s">
        <v>192</v>
      </c>
      <c r="AH60" s="54" t="str">
        <f>IF(Migrationsartikel!AB59="ja","true",FALSE)</f>
        <v>true</v>
      </c>
      <c r="AI60" s="54" t="str">
        <f>IF(Migrationsartikel!AC59="ja","true",FALSE)</f>
        <v>true</v>
      </c>
      <c r="AJ60" s="54" t="str">
        <f>IF(Migrationsartikel!AD59="ja","true",FALSE)</f>
        <v>true</v>
      </c>
      <c r="AK60" s="54" t="str">
        <f>IF(Migrationsartikel!AE59="ja","true",FALSE)</f>
        <v>true</v>
      </c>
      <c r="AL60" s="54" t="str">
        <f>IF(Migrationsartikel!AF59="ja","Denner Partner","")</f>
        <v/>
      </c>
      <c r="AM60" s="54" t="str">
        <f>IF(Migrationsartikel!AG59="ja","true","false")</f>
        <v>false</v>
      </c>
      <c r="AN60" s="54" t="str">
        <f t="shared" si="1"/>
        <v>Kassentastenbelegung (ohne GTIN/PLU)</v>
      </c>
      <c r="AO60" s="66" t="s">
        <v>219</v>
      </c>
      <c r="AP60" s="65" t="s">
        <v>1493</v>
      </c>
      <c r="AQ60" s="66" t="s">
        <v>217</v>
      </c>
      <c r="AR60" s="30" t="s">
        <v>219</v>
      </c>
    </row>
    <row r="61" spans="2:44" ht="21.75" customHeight="1" x14ac:dyDescent="0.45">
      <c r="B61" s="54" t="s">
        <v>99</v>
      </c>
      <c r="E61" s="55" t="s">
        <v>87</v>
      </c>
      <c r="F61" s="54" t="str">
        <f>"Warengruppe&gt;&gt;"&amp;_xlfn.TEXTJOIN("&gt;&gt;",TRUE,Migrationsartikel!V60:X60)</f>
        <v>Warengruppe&gt;&gt;Food&gt;&gt;Zuckerconfiserie&gt;&gt;Zuckerconfiserie</v>
      </c>
      <c r="H61" s="55" t="s">
        <v>109</v>
      </c>
      <c r="J61" s="79">
        <f>Migrationsartikel!B60</f>
        <v>0</v>
      </c>
      <c r="L61" s="54" t="str">
        <f>_xlfn.TEXTJOIN(" ",TRUE,Migrationsartikel!F60:H60)</f>
        <v>Karamell aus der Region 1Stk</v>
      </c>
      <c r="M61" s="54" t="str">
        <f>_xlfn.TEXTJOIN(" ",TRUE,Migrationsartikel!J60:L60)</f>
        <v>Caramel de la région 1pce</v>
      </c>
      <c r="N61" s="54" t="str">
        <f>_xlfn.TEXTJOIN(" ",TRUE,Migrationsartikel!N60:P60)</f>
        <v>Caramello della regione 1pz</v>
      </c>
      <c r="O61" s="54" t="str">
        <f>Migrationsartikel!F60</f>
        <v>Karamell</v>
      </c>
      <c r="P61" s="54" t="str">
        <f>Migrationsartikel!J60</f>
        <v>Caramel</v>
      </c>
      <c r="Q61" s="54" t="str">
        <f>Migrationsartikel!N60</f>
        <v>Caramello</v>
      </c>
      <c r="R61" s="54" t="str">
        <f>_xlfn.TEXTJOIN(" ",TRUE,Migrationsartikel!G60)</f>
        <v>aus der Region</v>
      </c>
      <c r="S61" s="54" t="str">
        <f>_xlfn.TEXTJOIN(" ",TRUE,Migrationsartikel!K60)</f>
        <v>de la région</v>
      </c>
      <c r="T61" s="54" t="str">
        <f>_xlfn.TEXTJOIN(" ",TRUE,Migrationsartikel!O60)</f>
        <v>della regione</v>
      </c>
      <c r="U61" s="54" t="str">
        <f>_xlfn.TEXTJOIN(" ",TRUE,Migrationsartikel!H60)</f>
        <v>1Stk</v>
      </c>
      <c r="V61" s="54" t="str">
        <f>_xlfn.TEXTJOIN(" ",TRUE,Migrationsartikel!L60)</f>
        <v>1pce</v>
      </c>
      <c r="W61" s="54" t="str">
        <f>_xlfn.TEXTJOIN(" ",TRUE,Migrationsartikel!P60)</f>
        <v>1pz</v>
      </c>
      <c r="X61" s="54" t="str">
        <f>Migrationsartikel!I60</f>
        <v>Karamell</v>
      </c>
      <c r="Y61" s="54" t="str">
        <f>Migrationsartikel!M60</f>
        <v>Caramel</v>
      </c>
      <c r="Z61" s="54" t="str">
        <f>Migrationsartikel!Q60</f>
        <v>Caramello</v>
      </c>
      <c r="AA61" s="63">
        <f>Migrationsartikel!R60</f>
        <v>1</v>
      </c>
      <c r="AB61" s="54" t="str">
        <f>Migrationsartikel!T60</f>
        <v>Stück</v>
      </c>
      <c r="AC61" s="65">
        <f>Migrationsartikel!S60</f>
        <v>1</v>
      </c>
      <c r="AD61" s="54" t="str">
        <f>Migrationsartikel!U60</f>
        <v>(PCE) Stück</v>
      </c>
      <c r="AE61" s="55" t="s">
        <v>179</v>
      </c>
      <c r="AF61" s="67">
        <f>Migrationsartikel!AA60</f>
        <v>0</v>
      </c>
      <c r="AG61" s="55" t="s">
        <v>192</v>
      </c>
      <c r="AH61" s="54" t="str">
        <f>IF(Migrationsartikel!AB60="ja","true",FALSE)</f>
        <v>true</v>
      </c>
      <c r="AI61" s="54" t="str">
        <f>IF(Migrationsartikel!AC60="ja","true",FALSE)</f>
        <v>true</v>
      </c>
      <c r="AJ61" s="54" t="str">
        <f>IF(Migrationsartikel!AD60="ja","true",FALSE)</f>
        <v>true</v>
      </c>
      <c r="AK61" s="54" t="str">
        <f>IF(Migrationsartikel!AE60="ja","true",FALSE)</f>
        <v>true</v>
      </c>
      <c r="AL61" s="54" t="str">
        <f>IF(Migrationsartikel!AF60="ja","Denner Partner","")</f>
        <v/>
      </c>
      <c r="AM61" s="54" t="str">
        <f>IF(Migrationsartikel!AG60="ja","true","false")</f>
        <v>false</v>
      </c>
      <c r="AN61" s="54" t="str">
        <f t="shared" si="1"/>
        <v>Kassentastenbelegung (ohne GTIN/PLU)</v>
      </c>
      <c r="AO61" s="66" t="s">
        <v>219</v>
      </c>
      <c r="AP61" s="65" t="s">
        <v>1494</v>
      </c>
      <c r="AQ61" s="66" t="s">
        <v>217</v>
      </c>
      <c r="AR61" s="30" t="s">
        <v>219</v>
      </c>
    </row>
    <row r="62" spans="2:44" ht="21.75" customHeight="1" x14ac:dyDescent="0.45">
      <c r="B62" s="54" t="s">
        <v>99</v>
      </c>
      <c r="E62" s="55" t="s">
        <v>87</v>
      </c>
      <c r="F62" s="54" t="str">
        <f>"Warengruppe&gt;&gt;"&amp;_xlfn.TEXTJOIN("&gt;&gt;",TRUE,Migrationsartikel!V61:X61)</f>
        <v>Warengruppe&gt;&gt;Food&gt;&gt;Sonstige Nahrungsmittel&gt;&gt;Sonstige Nahrungsmittel</v>
      </c>
      <c r="H62" s="55" t="s">
        <v>109</v>
      </c>
      <c r="J62" s="79">
        <f>Migrationsartikel!B61</f>
        <v>0</v>
      </c>
      <c r="L62" s="54" t="str">
        <f>_xlfn.TEXTJOIN(" ",TRUE,Migrationsartikel!F61:H61)</f>
        <v>Konfitüre aus der Region 150g</v>
      </c>
      <c r="M62" s="54" t="str">
        <f>_xlfn.TEXTJOIN(" ",TRUE,Migrationsartikel!J61:L61)</f>
        <v>Confiture de la région 150g</v>
      </c>
      <c r="N62" s="54" t="str">
        <f>_xlfn.TEXTJOIN(" ",TRUE,Migrationsartikel!N61:P61)</f>
        <v>Confettura della regione 150g</v>
      </c>
      <c r="O62" s="54" t="str">
        <f>Migrationsartikel!F61</f>
        <v>Konfitüre</v>
      </c>
      <c r="P62" s="54" t="str">
        <f>Migrationsartikel!J61</f>
        <v>Confiture</v>
      </c>
      <c r="Q62" s="54" t="str">
        <f>Migrationsartikel!N61</f>
        <v>Confettura</v>
      </c>
      <c r="R62" s="54" t="str">
        <f>_xlfn.TEXTJOIN(" ",TRUE,Migrationsartikel!G61)</f>
        <v>aus der Region</v>
      </c>
      <c r="S62" s="54" t="str">
        <f>_xlfn.TEXTJOIN(" ",TRUE,Migrationsartikel!K61)</f>
        <v>de la région</v>
      </c>
      <c r="T62" s="54" t="str">
        <f>_xlfn.TEXTJOIN(" ",TRUE,Migrationsartikel!O61)</f>
        <v>della regione</v>
      </c>
      <c r="U62" s="54" t="str">
        <f>_xlfn.TEXTJOIN(" ",TRUE,Migrationsartikel!H61)</f>
        <v>150g</v>
      </c>
      <c r="V62" s="54" t="str">
        <f>_xlfn.TEXTJOIN(" ",TRUE,Migrationsartikel!L61)</f>
        <v>150g</v>
      </c>
      <c r="W62" s="54" t="str">
        <f>_xlfn.TEXTJOIN(" ",TRUE,Migrationsartikel!P61)</f>
        <v>150g</v>
      </c>
      <c r="X62" s="54" t="str">
        <f>Migrationsartikel!I61</f>
        <v>Konfitüre 150g</v>
      </c>
      <c r="Y62" s="54" t="str">
        <f>Migrationsartikel!M61</f>
        <v>Confiture 150g</v>
      </c>
      <c r="Z62" s="54" t="str">
        <f>Migrationsartikel!Q61</f>
        <v>Confettura 150g</v>
      </c>
      <c r="AA62" s="63">
        <f>Migrationsartikel!R61</f>
        <v>0.15</v>
      </c>
      <c r="AB62" s="54" t="str">
        <f>Migrationsartikel!T61</f>
        <v>Gramm</v>
      </c>
      <c r="AC62" s="65">
        <f>Migrationsartikel!S61</f>
        <v>1</v>
      </c>
      <c r="AD62" s="54" t="str">
        <f>Migrationsartikel!U61</f>
        <v>(PCE) Stück</v>
      </c>
      <c r="AE62" s="55" t="s">
        <v>179</v>
      </c>
      <c r="AF62" s="67">
        <f>Migrationsartikel!AA61</f>
        <v>0</v>
      </c>
      <c r="AG62" s="55" t="s">
        <v>192</v>
      </c>
      <c r="AH62" s="54" t="str">
        <f>IF(Migrationsartikel!AB61="ja","true",FALSE)</f>
        <v>true</v>
      </c>
      <c r="AI62" s="54" t="str">
        <f>IF(Migrationsartikel!AC61="ja","true",FALSE)</f>
        <v>true</v>
      </c>
      <c r="AJ62" s="54" t="str">
        <f>IF(Migrationsartikel!AD61="ja","true",FALSE)</f>
        <v>true</v>
      </c>
      <c r="AK62" s="54" t="str">
        <f>IF(Migrationsartikel!AE61="ja","true",FALSE)</f>
        <v>true</v>
      </c>
      <c r="AL62" s="54" t="str">
        <f>IF(Migrationsartikel!AF61="ja","Denner Partner","")</f>
        <v/>
      </c>
      <c r="AM62" s="54" t="str">
        <f>IF(Migrationsartikel!AG61="ja","true","false")</f>
        <v>false</v>
      </c>
      <c r="AN62" s="54" t="str">
        <f t="shared" si="1"/>
        <v>Kassentastenbelegung (ohne GTIN/PLU)</v>
      </c>
      <c r="AO62" s="66" t="s">
        <v>219</v>
      </c>
      <c r="AP62" s="65" t="s">
        <v>1495</v>
      </c>
      <c r="AQ62" s="66" t="s">
        <v>217</v>
      </c>
      <c r="AR62" s="30" t="s">
        <v>219</v>
      </c>
    </row>
    <row r="63" spans="2:44" ht="21.75" customHeight="1" x14ac:dyDescent="0.45">
      <c r="B63" s="54" t="s">
        <v>99</v>
      </c>
      <c r="E63" s="55" t="s">
        <v>87</v>
      </c>
      <c r="F63" s="54" t="str">
        <f>"Warengruppe&gt;&gt;"&amp;_xlfn.TEXTJOIN("&gt;&gt;",TRUE,Migrationsartikel!V62:X62)</f>
        <v>Warengruppe&gt;&gt;Food&gt;&gt;Sonstige Nahrungsmittel&gt;&gt;Sonstige Nahrungsmittel</v>
      </c>
      <c r="H63" s="55" t="s">
        <v>109</v>
      </c>
      <c r="J63" s="79">
        <f>Migrationsartikel!B62</f>
        <v>0</v>
      </c>
      <c r="L63" s="54" t="str">
        <f>_xlfn.TEXTJOIN(" ",TRUE,Migrationsartikel!F62:H62)</f>
        <v>Konfitüre aus der Region 250g</v>
      </c>
      <c r="M63" s="54" t="str">
        <f>_xlfn.TEXTJOIN(" ",TRUE,Migrationsartikel!J62:L62)</f>
        <v>Confiture de la région 250g</v>
      </c>
      <c r="N63" s="54" t="str">
        <f>_xlfn.TEXTJOIN(" ",TRUE,Migrationsartikel!N62:P62)</f>
        <v>Confettura della regione 250g</v>
      </c>
      <c r="O63" s="54" t="str">
        <f>Migrationsartikel!F62</f>
        <v>Konfitüre</v>
      </c>
      <c r="P63" s="54" t="str">
        <f>Migrationsartikel!J62</f>
        <v>Confiture</v>
      </c>
      <c r="Q63" s="54" t="str">
        <f>Migrationsartikel!N62</f>
        <v>Confettura</v>
      </c>
      <c r="R63" s="54" t="str">
        <f>_xlfn.TEXTJOIN(" ",TRUE,Migrationsartikel!G62)</f>
        <v>aus der Region</v>
      </c>
      <c r="S63" s="54" t="str">
        <f>_xlfn.TEXTJOIN(" ",TRUE,Migrationsartikel!K62)</f>
        <v>de la région</v>
      </c>
      <c r="T63" s="54" t="str">
        <f>_xlfn.TEXTJOIN(" ",TRUE,Migrationsartikel!O62)</f>
        <v>della regione</v>
      </c>
      <c r="U63" s="54" t="str">
        <f>_xlfn.TEXTJOIN(" ",TRUE,Migrationsartikel!H62)</f>
        <v>250g</v>
      </c>
      <c r="V63" s="54" t="str">
        <f>_xlfn.TEXTJOIN(" ",TRUE,Migrationsartikel!L62)</f>
        <v>250g</v>
      </c>
      <c r="W63" s="54" t="str">
        <f>_xlfn.TEXTJOIN(" ",TRUE,Migrationsartikel!P62)</f>
        <v>250g</v>
      </c>
      <c r="X63" s="54" t="str">
        <f>Migrationsartikel!I62</f>
        <v>Konfitüre 250g</v>
      </c>
      <c r="Y63" s="54" t="str">
        <f>Migrationsartikel!M62</f>
        <v>Confiture 250g</v>
      </c>
      <c r="Z63" s="54" t="str">
        <f>Migrationsartikel!Q62</f>
        <v>Confettura 250g</v>
      </c>
      <c r="AA63" s="63">
        <f>Migrationsartikel!R62</f>
        <v>0.25</v>
      </c>
      <c r="AB63" s="54" t="str">
        <f>Migrationsartikel!T62</f>
        <v>Gramm</v>
      </c>
      <c r="AC63" s="65">
        <f>Migrationsartikel!S62</f>
        <v>1</v>
      </c>
      <c r="AD63" s="54" t="str">
        <f>Migrationsartikel!U62</f>
        <v>(PCE) Stück</v>
      </c>
      <c r="AE63" s="55" t="s">
        <v>179</v>
      </c>
      <c r="AF63" s="67">
        <f>Migrationsartikel!AA62</f>
        <v>0</v>
      </c>
      <c r="AG63" s="55" t="s">
        <v>192</v>
      </c>
      <c r="AH63" s="54" t="str">
        <f>IF(Migrationsartikel!AB62="ja","true",FALSE)</f>
        <v>true</v>
      </c>
      <c r="AI63" s="54" t="str">
        <f>IF(Migrationsartikel!AC62="ja","true",FALSE)</f>
        <v>true</v>
      </c>
      <c r="AJ63" s="54" t="str">
        <f>IF(Migrationsartikel!AD62="ja","true",FALSE)</f>
        <v>true</v>
      </c>
      <c r="AK63" s="54" t="str">
        <f>IF(Migrationsartikel!AE62="ja","true",FALSE)</f>
        <v>true</v>
      </c>
      <c r="AL63" s="54" t="str">
        <f>IF(Migrationsartikel!AF62="ja","Denner Partner","")</f>
        <v/>
      </c>
      <c r="AM63" s="54" t="str">
        <f>IF(Migrationsartikel!AG62="ja","true","false")</f>
        <v>false</v>
      </c>
      <c r="AN63" s="54" t="str">
        <f t="shared" si="1"/>
        <v>Kassentastenbelegung (ohne GTIN/PLU)</v>
      </c>
      <c r="AO63" s="66" t="s">
        <v>219</v>
      </c>
      <c r="AP63" s="65" t="s">
        <v>1496</v>
      </c>
      <c r="AQ63" s="66" t="s">
        <v>217</v>
      </c>
      <c r="AR63" s="30" t="s">
        <v>219</v>
      </c>
    </row>
    <row r="64" spans="2:44" ht="21.75" customHeight="1" x14ac:dyDescent="0.45">
      <c r="B64" s="54" t="s">
        <v>99</v>
      </c>
      <c r="E64" s="55" t="s">
        <v>87</v>
      </c>
      <c r="F64" s="54" t="str">
        <f>"Warengruppe&gt;&gt;"&amp;_xlfn.TEXTJOIN("&gt;&gt;",TRUE,Migrationsartikel!V63:X63)</f>
        <v>Warengruppe&gt;&gt;Food&gt;&gt;Sonstige Nahrungsmittel&gt;&gt;Sonstige Nahrungsmittel</v>
      </c>
      <c r="H64" s="55" t="s">
        <v>109</v>
      </c>
      <c r="J64" s="79">
        <f>Migrationsartikel!B63</f>
        <v>0</v>
      </c>
      <c r="L64" s="54" t="str">
        <f>_xlfn.TEXTJOIN(" ",TRUE,Migrationsartikel!F63:H63)</f>
        <v>Konfitüre aus der Region 350g</v>
      </c>
      <c r="M64" s="54" t="str">
        <f>_xlfn.TEXTJOIN(" ",TRUE,Migrationsartikel!J63:L63)</f>
        <v>Confiture de la région 350g</v>
      </c>
      <c r="N64" s="54" t="str">
        <f>_xlfn.TEXTJOIN(" ",TRUE,Migrationsartikel!N63:P63)</f>
        <v>Confettura della regione 350g</v>
      </c>
      <c r="O64" s="54" t="str">
        <f>Migrationsartikel!F63</f>
        <v>Konfitüre</v>
      </c>
      <c r="P64" s="54" t="str">
        <f>Migrationsartikel!J63</f>
        <v>Confiture</v>
      </c>
      <c r="Q64" s="54" t="str">
        <f>Migrationsartikel!N63</f>
        <v>Confettura</v>
      </c>
      <c r="R64" s="54" t="str">
        <f>_xlfn.TEXTJOIN(" ",TRUE,Migrationsartikel!G63)</f>
        <v>aus der Region</v>
      </c>
      <c r="S64" s="54" t="str">
        <f>_xlfn.TEXTJOIN(" ",TRUE,Migrationsartikel!K63)</f>
        <v>de la région</v>
      </c>
      <c r="T64" s="54" t="str">
        <f>_xlfn.TEXTJOIN(" ",TRUE,Migrationsartikel!O63)</f>
        <v>della regione</v>
      </c>
      <c r="U64" s="54" t="str">
        <f>_xlfn.TEXTJOIN(" ",TRUE,Migrationsartikel!H63)</f>
        <v>350g</v>
      </c>
      <c r="V64" s="54" t="str">
        <f>_xlfn.TEXTJOIN(" ",TRUE,Migrationsartikel!L63)</f>
        <v>350g</v>
      </c>
      <c r="W64" s="54" t="str">
        <f>_xlfn.TEXTJOIN(" ",TRUE,Migrationsartikel!P63)</f>
        <v>350g</v>
      </c>
      <c r="X64" s="54" t="str">
        <f>Migrationsartikel!I63</f>
        <v>Konfitüre 350g</v>
      </c>
      <c r="Y64" s="54" t="str">
        <f>Migrationsartikel!M63</f>
        <v>Confiture 350g</v>
      </c>
      <c r="Z64" s="54" t="str">
        <f>Migrationsartikel!Q63</f>
        <v>Confettura 350g</v>
      </c>
      <c r="AA64" s="63">
        <f>Migrationsartikel!R63</f>
        <v>0.35</v>
      </c>
      <c r="AB64" s="54" t="str">
        <f>Migrationsartikel!T63</f>
        <v>Gramm</v>
      </c>
      <c r="AC64" s="65">
        <f>Migrationsartikel!S63</f>
        <v>1</v>
      </c>
      <c r="AD64" s="54" t="str">
        <f>Migrationsartikel!U63</f>
        <v>(PCE) Stück</v>
      </c>
      <c r="AE64" s="55" t="s">
        <v>179</v>
      </c>
      <c r="AF64" s="67">
        <f>Migrationsartikel!AA63</f>
        <v>0</v>
      </c>
      <c r="AG64" s="55" t="s">
        <v>192</v>
      </c>
      <c r="AH64" s="54" t="str">
        <f>IF(Migrationsartikel!AB63="ja","true",FALSE)</f>
        <v>true</v>
      </c>
      <c r="AI64" s="54" t="str">
        <f>IF(Migrationsartikel!AC63="ja","true",FALSE)</f>
        <v>true</v>
      </c>
      <c r="AJ64" s="54" t="str">
        <f>IF(Migrationsartikel!AD63="ja","true",FALSE)</f>
        <v>true</v>
      </c>
      <c r="AK64" s="54" t="str">
        <f>IF(Migrationsartikel!AE63="ja","true",FALSE)</f>
        <v>true</v>
      </c>
      <c r="AL64" s="54" t="str">
        <f>IF(Migrationsartikel!AF63="ja","Denner Partner","")</f>
        <v/>
      </c>
      <c r="AM64" s="54" t="str">
        <f>IF(Migrationsartikel!AG63="ja","true","false")</f>
        <v>false</v>
      </c>
      <c r="AN64" s="54" t="str">
        <f t="shared" si="1"/>
        <v>Kassentastenbelegung (ohne GTIN/PLU)</v>
      </c>
      <c r="AO64" s="66" t="s">
        <v>219</v>
      </c>
      <c r="AP64" s="65" t="s">
        <v>1497</v>
      </c>
      <c r="AQ64" s="66" t="s">
        <v>217</v>
      </c>
      <c r="AR64" s="30" t="s">
        <v>219</v>
      </c>
    </row>
    <row r="65" spans="2:44" ht="21.75" customHeight="1" x14ac:dyDescent="0.45">
      <c r="B65" s="54" t="s">
        <v>99</v>
      </c>
      <c r="E65" s="55" t="s">
        <v>87</v>
      </c>
      <c r="F65" s="54" t="str">
        <f>"Warengruppe&gt;&gt;"&amp;_xlfn.TEXTJOIN("&gt;&gt;",TRUE,Migrationsartikel!V64:X64)</f>
        <v>Warengruppe&gt;&gt;Food&gt;&gt;Sonstige Nahrungsmittel&gt;&gt;Sonstige Nahrungsmittel</v>
      </c>
      <c r="H65" s="55" t="s">
        <v>109</v>
      </c>
      <c r="J65" s="79">
        <f>Migrationsartikel!B64</f>
        <v>0</v>
      </c>
      <c r="L65" s="54" t="str">
        <f>_xlfn.TEXTJOIN(" ",TRUE,Migrationsartikel!F64:H64)</f>
        <v>Konfitüre aus der Region 450g</v>
      </c>
      <c r="M65" s="54" t="str">
        <f>_xlfn.TEXTJOIN(" ",TRUE,Migrationsartikel!J64:L64)</f>
        <v>Confiture de la région 450g</v>
      </c>
      <c r="N65" s="54" t="str">
        <f>_xlfn.TEXTJOIN(" ",TRUE,Migrationsartikel!N64:P64)</f>
        <v>Confettura della regione 450g</v>
      </c>
      <c r="O65" s="54" t="str">
        <f>Migrationsartikel!F64</f>
        <v>Konfitüre</v>
      </c>
      <c r="P65" s="54" t="str">
        <f>Migrationsartikel!J64</f>
        <v>Confiture</v>
      </c>
      <c r="Q65" s="54" t="str">
        <f>Migrationsartikel!N64</f>
        <v>Confettura</v>
      </c>
      <c r="R65" s="54" t="str">
        <f>_xlfn.TEXTJOIN(" ",TRUE,Migrationsartikel!G64)</f>
        <v>aus der Region</v>
      </c>
      <c r="S65" s="54" t="str">
        <f>_xlfn.TEXTJOIN(" ",TRUE,Migrationsartikel!K64)</f>
        <v>de la région</v>
      </c>
      <c r="T65" s="54" t="str">
        <f>_xlfn.TEXTJOIN(" ",TRUE,Migrationsartikel!O64)</f>
        <v>della regione</v>
      </c>
      <c r="U65" s="54" t="str">
        <f>_xlfn.TEXTJOIN(" ",TRUE,Migrationsartikel!H64)</f>
        <v>450g</v>
      </c>
      <c r="V65" s="54" t="str">
        <f>_xlfn.TEXTJOIN(" ",TRUE,Migrationsartikel!L64)</f>
        <v>450g</v>
      </c>
      <c r="W65" s="54" t="str">
        <f>_xlfn.TEXTJOIN(" ",TRUE,Migrationsartikel!P64)</f>
        <v>450g</v>
      </c>
      <c r="X65" s="54" t="str">
        <f>Migrationsartikel!I64</f>
        <v>Konfitüre 450g</v>
      </c>
      <c r="Y65" s="54" t="str">
        <f>Migrationsartikel!M64</f>
        <v>Confiture 450g</v>
      </c>
      <c r="Z65" s="54" t="str">
        <f>Migrationsartikel!Q64</f>
        <v>Confettura 450g</v>
      </c>
      <c r="AA65" s="63">
        <f>Migrationsartikel!R64</f>
        <v>0.45</v>
      </c>
      <c r="AB65" s="54" t="str">
        <f>Migrationsartikel!T64</f>
        <v>Gramm</v>
      </c>
      <c r="AC65" s="65">
        <f>Migrationsartikel!S64</f>
        <v>1</v>
      </c>
      <c r="AD65" s="54" t="str">
        <f>Migrationsartikel!U64</f>
        <v>(PCE) Stück</v>
      </c>
      <c r="AE65" s="55" t="s">
        <v>179</v>
      </c>
      <c r="AF65" s="67">
        <f>Migrationsartikel!AA64</f>
        <v>0</v>
      </c>
      <c r="AG65" s="55" t="s">
        <v>192</v>
      </c>
      <c r="AH65" s="54" t="str">
        <f>IF(Migrationsartikel!AB64="ja","true",FALSE)</f>
        <v>true</v>
      </c>
      <c r="AI65" s="54" t="str">
        <f>IF(Migrationsartikel!AC64="ja","true",FALSE)</f>
        <v>true</v>
      </c>
      <c r="AJ65" s="54" t="str">
        <f>IF(Migrationsartikel!AD64="ja","true",FALSE)</f>
        <v>true</v>
      </c>
      <c r="AK65" s="54" t="str">
        <f>IF(Migrationsartikel!AE64="ja","true",FALSE)</f>
        <v>true</v>
      </c>
      <c r="AL65" s="54" t="str">
        <f>IF(Migrationsartikel!AF64="ja","Denner Partner","")</f>
        <v/>
      </c>
      <c r="AM65" s="54" t="str">
        <f>IF(Migrationsartikel!AG64="ja","true","false")</f>
        <v>false</v>
      </c>
      <c r="AN65" s="54" t="str">
        <f t="shared" si="1"/>
        <v>Kassentastenbelegung (ohne GTIN/PLU)</v>
      </c>
      <c r="AO65" s="66" t="s">
        <v>219</v>
      </c>
      <c r="AP65" s="65" t="s">
        <v>1498</v>
      </c>
      <c r="AQ65" s="66" t="s">
        <v>217</v>
      </c>
      <c r="AR65" s="30" t="s">
        <v>219</v>
      </c>
    </row>
    <row r="66" spans="2:44" ht="21.75" customHeight="1" x14ac:dyDescent="0.45">
      <c r="B66" s="54" t="s">
        <v>99</v>
      </c>
      <c r="E66" s="55" t="s">
        <v>87</v>
      </c>
      <c r="F66" s="54" t="str">
        <f>"Warengruppe&gt;&gt;"&amp;_xlfn.TEXTJOIN("&gt;&gt;",TRUE,Migrationsartikel!V65:X65)</f>
        <v>Warengruppe&gt;&gt;Food&gt;&gt;Grundnahrungsmittel&gt;&gt;Grundnahrungsmittel</v>
      </c>
      <c r="H66" s="55" t="s">
        <v>109</v>
      </c>
      <c r="J66" s="79">
        <f>Migrationsartikel!B65</f>
        <v>0</v>
      </c>
      <c r="L66" s="54" t="str">
        <f>_xlfn.TEXTJOIN(" ",TRUE,Migrationsartikel!F65:H65)</f>
        <v>Mehl aus der Region 500g</v>
      </c>
      <c r="M66" s="54" t="str">
        <f>_xlfn.TEXTJOIN(" ",TRUE,Migrationsartikel!J65:L65)</f>
        <v>Farine de la région 500g</v>
      </c>
      <c r="N66" s="54" t="str">
        <f>_xlfn.TEXTJOIN(" ",TRUE,Migrationsartikel!N65:P65)</f>
        <v>Farina della regione 500g</v>
      </c>
      <c r="O66" s="54" t="str">
        <f>Migrationsartikel!F65</f>
        <v>Mehl</v>
      </c>
      <c r="P66" s="54" t="str">
        <f>Migrationsartikel!J65</f>
        <v>Farine</v>
      </c>
      <c r="Q66" s="54" t="str">
        <f>Migrationsartikel!N65</f>
        <v>Farina</v>
      </c>
      <c r="R66" s="54" t="str">
        <f>_xlfn.TEXTJOIN(" ",TRUE,Migrationsartikel!G65)</f>
        <v>aus der Region</v>
      </c>
      <c r="S66" s="54" t="str">
        <f>_xlfn.TEXTJOIN(" ",TRUE,Migrationsartikel!K65)</f>
        <v>de la région</v>
      </c>
      <c r="T66" s="54" t="str">
        <f>_xlfn.TEXTJOIN(" ",TRUE,Migrationsartikel!O65)</f>
        <v>della regione</v>
      </c>
      <c r="U66" s="54" t="str">
        <f>_xlfn.TEXTJOIN(" ",TRUE,Migrationsartikel!H65)</f>
        <v>500g</v>
      </c>
      <c r="V66" s="54" t="str">
        <f>_xlfn.TEXTJOIN(" ",TRUE,Migrationsartikel!L65)</f>
        <v>500g</v>
      </c>
      <c r="W66" s="54" t="str">
        <f>_xlfn.TEXTJOIN(" ",TRUE,Migrationsartikel!P65)</f>
        <v>500g</v>
      </c>
      <c r="X66" s="54" t="str">
        <f>Migrationsartikel!I65</f>
        <v>Mehl 500g</v>
      </c>
      <c r="Y66" s="54" t="str">
        <f>Migrationsartikel!M65</f>
        <v>Farine 500g</v>
      </c>
      <c r="Z66" s="54" t="str">
        <f>Migrationsartikel!Q65</f>
        <v>Farina 500g</v>
      </c>
      <c r="AA66" s="63">
        <f>Migrationsartikel!R65</f>
        <v>0.5</v>
      </c>
      <c r="AB66" s="54" t="str">
        <f>Migrationsartikel!T65</f>
        <v>Kilogramm</v>
      </c>
      <c r="AC66" s="65">
        <f>Migrationsartikel!S65</f>
        <v>1</v>
      </c>
      <c r="AD66" s="54" t="str">
        <f>Migrationsartikel!U65</f>
        <v>(PCE) Stück</v>
      </c>
      <c r="AE66" s="55" t="s">
        <v>179</v>
      </c>
      <c r="AF66" s="67">
        <f>Migrationsartikel!AA65</f>
        <v>0</v>
      </c>
      <c r="AG66" s="55" t="s">
        <v>192</v>
      </c>
      <c r="AH66" s="54" t="str">
        <f>IF(Migrationsartikel!AB65="ja","true",FALSE)</f>
        <v>true</v>
      </c>
      <c r="AI66" s="54" t="str">
        <f>IF(Migrationsartikel!AC65="ja","true",FALSE)</f>
        <v>true</v>
      </c>
      <c r="AJ66" s="54" t="str">
        <f>IF(Migrationsartikel!AD65="ja","true",FALSE)</f>
        <v>true</v>
      </c>
      <c r="AK66" s="54" t="str">
        <f>IF(Migrationsartikel!AE65="ja","true",FALSE)</f>
        <v>true</v>
      </c>
      <c r="AL66" s="54" t="str">
        <f>IF(Migrationsartikel!AF65="ja","Denner Partner","")</f>
        <v/>
      </c>
      <c r="AM66" s="54" t="str">
        <f>IF(Migrationsartikel!AG65="ja","true","false")</f>
        <v>false</v>
      </c>
      <c r="AN66" s="54" t="str">
        <f t="shared" si="1"/>
        <v>Kassentastenbelegung (ohne GTIN/PLU)</v>
      </c>
      <c r="AO66" s="66" t="s">
        <v>219</v>
      </c>
      <c r="AP66" s="65" t="s">
        <v>1499</v>
      </c>
      <c r="AQ66" s="66" t="s">
        <v>217</v>
      </c>
      <c r="AR66" s="30" t="s">
        <v>219</v>
      </c>
    </row>
    <row r="67" spans="2:44" ht="21.75" customHeight="1" x14ac:dyDescent="0.45">
      <c r="B67" s="54" t="s">
        <v>99</v>
      </c>
      <c r="E67" s="55" t="s">
        <v>87</v>
      </c>
      <c r="F67" s="54" t="str">
        <f>"Warengruppe&gt;&gt;"&amp;_xlfn.TEXTJOIN("&gt;&gt;",TRUE,Migrationsartikel!V66:X66)</f>
        <v>Warengruppe&gt;&gt;Food&gt;&gt;Grundnahrungsmittel&gt;&gt;Grundnahrungsmittel</v>
      </c>
      <c r="H67" s="55" t="s">
        <v>109</v>
      </c>
      <c r="J67" s="79">
        <f>Migrationsartikel!B66</f>
        <v>0</v>
      </c>
      <c r="L67" s="54" t="str">
        <f>_xlfn.TEXTJOIN(" ",TRUE,Migrationsartikel!F66:H66)</f>
        <v>Mehl aus der Region 1kg</v>
      </c>
      <c r="M67" s="54" t="str">
        <f>_xlfn.TEXTJOIN(" ",TRUE,Migrationsartikel!J66:L66)</f>
        <v>Farine de la région 1kg</v>
      </c>
      <c r="N67" s="54" t="str">
        <f>_xlfn.TEXTJOIN(" ",TRUE,Migrationsartikel!N66:P66)</f>
        <v>Farina della regione 1kg</v>
      </c>
      <c r="O67" s="54" t="str">
        <f>Migrationsartikel!F66</f>
        <v>Mehl</v>
      </c>
      <c r="P67" s="54" t="str">
        <f>Migrationsartikel!J66</f>
        <v>Farine</v>
      </c>
      <c r="Q67" s="54" t="str">
        <f>Migrationsartikel!N66</f>
        <v>Farina</v>
      </c>
      <c r="R67" s="54" t="str">
        <f>_xlfn.TEXTJOIN(" ",TRUE,Migrationsartikel!G66)</f>
        <v>aus der Region</v>
      </c>
      <c r="S67" s="54" t="str">
        <f>_xlfn.TEXTJOIN(" ",TRUE,Migrationsartikel!K66)</f>
        <v>de la région</v>
      </c>
      <c r="T67" s="54" t="str">
        <f>_xlfn.TEXTJOIN(" ",TRUE,Migrationsartikel!O66)</f>
        <v>della regione</v>
      </c>
      <c r="U67" s="54" t="str">
        <f>_xlfn.TEXTJOIN(" ",TRUE,Migrationsartikel!H66)</f>
        <v>1kg</v>
      </c>
      <c r="V67" s="54" t="str">
        <f>_xlfn.TEXTJOIN(" ",TRUE,Migrationsartikel!L66)</f>
        <v>1kg</v>
      </c>
      <c r="W67" s="54" t="str">
        <f>_xlfn.TEXTJOIN(" ",TRUE,Migrationsartikel!P66)</f>
        <v>1kg</v>
      </c>
      <c r="X67" s="54" t="str">
        <f>Migrationsartikel!I66</f>
        <v>Mehl 1kg</v>
      </c>
      <c r="Y67" s="54" t="str">
        <f>Migrationsartikel!M66</f>
        <v>Farine 1kg</v>
      </c>
      <c r="Z67" s="54" t="str">
        <f>Migrationsartikel!Q66</f>
        <v>Farina 1kg</v>
      </c>
      <c r="AA67" s="63">
        <f>Migrationsartikel!R66</f>
        <v>1</v>
      </c>
      <c r="AB67" s="54" t="str">
        <f>Migrationsartikel!T66</f>
        <v>Kilogramm</v>
      </c>
      <c r="AC67" s="65">
        <f>Migrationsartikel!S66</f>
        <v>1</v>
      </c>
      <c r="AD67" s="54" t="str">
        <f>Migrationsartikel!U66</f>
        <v>(PCE) Stück</v>
      </c>
      <c r="AE67" s="55" t="s">
        <v>179</v>
      </c>
      <c r="AF67" s="67">
        <f>Migrationsartikel!AA66</f>
        <v>0</v>
      </c>
      <c r="AG67" s="55" t="s">
        <v>192</v>
      </c>
      <c r="AH67" s="54" t="str">
        <f>IF(Migrationsartikel!AB66="ja","true",FALSE)</f>
        <v>true</v>
      </c>
      <c r="AI67" s="54" t="str">
        <f>IF(Migrationsartikel!AC66="ja","true",FALSE)</f>
        <v>true</v>
      </c>
      <c r="AJ67" s="54" t="str">
        <f>IF(Migrationsartikel!AD66="ja","true",FALSE)</f>
        <v>true</v>
      </c>
      <c r="AK67" s="54" t="str">
        <f>IF(Migrationsartikel!AE66="ja","true",FALSE)</f>
        <v>true</v>
      </c>
      <c r="AL67" s="54" t="str">
        <f>IF(Migrationsartikel!AF66="ja","Denner Partner","")</f>
        <v/>
      </c>
      <c r="AM67" s="54" t="str">
        <f>IF(Migrationsartikel!AG66="ja","true","false")</f>
        <v>false</v>
      </c>
      <c r="AN67" s="54" t="str">
        <f t="shared" si="1"/>
        <v>Kassentastenbelegung (ohne GTIN/PLU)</v>
      </c>
      <c r="AO67" s="66" t="s">
        <v>219</v>
      </c>
      <c r="AP67" s="65" t="s">
        <v>1500</v>
      </c>
      <c r="AQ67" s="66" t="s">
        <v>217</v>
      </c>
      <c r="AR67" s="30" t="s">
        <v>219</v>
      </c>
    </row>
    <row r="68" spans="2:44" ht="21.75" customHeight="1" x14ac:dyDescent="0.45">
      <c r="B68" s="54" t="s">
        <v>99</v>
      </c>
      <c r="E68" s="55" t="s">
        <v>87</v>
      </c>
      <c r="F68" s="54" t="str">
        <f>"Warengruppe&gt;&gt;"&amp;_xlfn.TEXTJOIN("&gt;&gt;",TRUE,Migrationsartikel!V67:X67)</f>
        <v>Warengruppe&gt;&gt;Food&gt;&gt;Schokolade&gt;&gt;Schokolade</v>
      </c>
      <c r="H68" s="55" t="s">
        <v>109</v>
      </c>
      <c r="J68" s="79">
        <f>Migrationsartikel!B67</f>
        <v>0</v>
      </c>
      <c r="L68" s="54" t="str">
        <f>_xlfn.TEXTJOIN(" ",TRUE,Migrationsartikel!F67:H67)</f>
        <v>Mohrenkopf aus der Region 1Stk</v>
      </c>
      <c r="M68" s="54" t="str">
        <f>_xlfn.TEXTJOIN(" ",TRUE,Migrationsartikel!J67:L67)</f>
        <v>Tête de choco de la région 1pce</v>
      </c>
      <c r="N68" s="54" t="str">
        <f>_xlfn.TEXTJOIN(" ",TRUE,Migrationsartikel!N67:P67)</f>
        <v>Moretti della regione 1pz</v>
      </c>
      <c r="O68" s="54" t="str">
        <f>Migrationsartikel!F67</f>
        <v>Mohrenkopf</v>
      </c>
      <c r="P68" s="54" t="str">
        <f>Migrationsartikel!J67</f>
        <v>Tête de choco</v>
      </c>
      <c r="Q68" s="54" t="str">
        <f>Migrationsartikel!N67</f>
        <v>Moretti</v>
      </c>
      <c r="R68" s="54" t="str">
        <f>_xlfn.TEXTJOIN(" ",TRUE,Migrationsartikel!G67)</f>
        <v>aus der Region</v>
      </c>
      <c r="S68" s="54" t="str">
        <f>_xlfn.TEXTJOIN(" ",TRUE,Migrationsartikel!K67)</f>
        <v>de la région</v>
      </c>
      <c r="T68" s="54" t="str">
        <f>_xlfn.TEXTJOIN(" ",TRUE,Migrationsartikel!O67)</f>
        <v>della regione</v>
      </c>
      <c r="U68" s="54" t="str">
        <f>_xlfn.TEXTJOIN(" ",TRUE,Migrationsartikel!H67)</f>
        <v>1Stk</v>
      </c>
      <c r="V68" s="54" t="str">
        <f>_xlfn.TEXTJOIN(" ",TRUE,Migrationsartikel!L67)</f>
        <v>1pce</v>
      </c>
      <c r="W68" s="54" t="str">
        <f>_xlfn.TEXTJOIN(" ",TRUE,Migrationsartikel!P67)</f>
        <v>1pz</v>
      </c>
      <c r="X68" s="54" t="str">
        <f>Migrationsartikel!I67</f>
        <v>Mohrenkopf</v>
      </c>
      <c r="Y68" s="54" t="str">
        <f>Migrationsartikel!M67</f>
        <v>Tête de choco</v>
      </c>
      <c r="Z68" s="54" t="str">
        <f>Migrationsartikel!Q67</f>
        <v>Moretti</v>
      </c>
      <c r="AA68" s="63">
        <f>Migrationsartikel!R67</f>
        <v>1</v>
      </c>
      <c r="AB68" s="54" t="str">
        <f>Migrationsartikel!T67</f>
        <v>Stück</v>
      </c>
      <c r="AC68" s="65">
        <f>Migrationsartikel!S67</f>
        <v>1</v>
      </c>
      <c r="AD68" s="54" t="str">
        <f>Migrationsartikel!U67</f>
        <v>(PCE) Stück</v>
      </c>
      <c r="AE68" s="55" t="s">
        <v>179</v>
      </c>
      <c r="AF68" s="67">
        <f>Migrationsartikel!AA67</f>
        <v>0</v>
      </c>
      <c r="AG68" s="55" t="s">
        <v>192</v>
      </c>
      <c r="AH68" s="54" t="str">
        <f>IF(Migrationsartikel!AB67="ja","true",FALSE)</f>
        <v>true</v>
      </c>
      <c r="AI68" s="54" t="str">
        <f>IF(Migrationsartikel!AC67="ja","true",FALSE)</f>
        <v>true</v>
      </c>
      <c r="AJ68" s="54" t="str">
        <f>IF(Migrationsartikel!AD67="ja","true",FALSE)</f>
        <v>true</v>
      </c>
      <c r="AK68" s="54" t="str">
        <f>IF(Migrationsartikel!AE67="ja","true",FALSE)</f>
        <v>true</v>
      </c>
      <c r="AL68" s="54" t="str">
        <f>IF(Migrationsartikel!AF67="ja","Denner Partner","")</f>
        <v/>
      </c>
      <c r="AM68" s="54" t="str">
        <f>IF(Migrationsartikel!AG67="ja","true","false")</f>
        <v>false</v>
      </c>
      <c r="AN68" s="54" t="str">
        <f t="shared" ref="AN68:AN131" si="2">IF(AND(ISNUMBER(J68),J68&gt;=100,J68&lt;=999),"PLU",IF(AND(ISNUMBER(J68),J68&gt;999),"GTIN","Kassentastenbelegung (ohne GTIN/PLU)"))</f>
        <v>Kassentastenbelegung (ohne GTIN/PLU)</v>
      </c>
      <c r="AO68" s="66" t="s">
        <v>219</v>
      </c>
      <c r="AP68" s="65" t="s">
        <v>1501</v>
      </c>
      <c r="AQ68" s="66" t="s">
        <v>217</v>
      </c>
      <c r="AR68" s="30" t="s">
        <v>219</v>
      </c>
    </row>
    <row r="69" spans="2:44" ht="21.75" customHeight="1" x14ac:dyDescent="0.45">
      <c r="B69" s="54" t="s">
        <v>99</v>
      </c>
      <c r="E69" s="55" t="s">
        <v>87</v>
      </c>
      <c r="F69" s="54" t="str">
        <f>"Warengruppe&gt;&gt;"&amp;_xlfn.TEXTJOIN("&gt;&gt;",TRUE,Migrationsartikel!V68:X68)</f>
        <v>Warengruppe&gt;&gt;Food&gt;&gt;Öl/Essig/Salatsaucen&gt;&gt;Öl/Essig/Salatsaucen</v>
      </c>
      <c r="H69" s="55" t="s">
        <v>109</v>
      </c>
      <c r="J69" s="79">
        <f>Migrationsartikel!B68</f>
        <v>0</v>
      </c>
      <c r="L69" s="54" t="str">
        <f>_xlfn.TEXTJOIN(" ",TRUE,Migrationsartikel!F68:H68)</f>
        <v>Salatsauce aus der Region 500ml</v>
      </c>
      <c r="M69" s="54" t="str">
        <f>_xlfn.TEXTJOIN(" ",TRUE,Migrationsartikel!J68:L68)</f>
        <v>Sauce à salade de la région 500ml</v>
      </c>
      <c r="N69" s="54" t="str">
        <f>_xlfn.TEXTJOIN(" ",TRUE,Migrationsartikel!N68:P68)</f>
        <v>Salsa per insalata della regione 500ml</v>
      </c>
      <c r="O69" s="54" t="str">
        <f>Migrationsartikel!F68</f>
        <v>Salatsauce</v>
      </c>
      <c r="P69" s="54" t="str">
        <f>Migrationsartikel!J68</f>
        <v>Sauce à salade</v>
      </c>
      <c r="Q69" s="54" t="str">
        <f>Migrationsartikel!N68</f>
        <v>Salsa per insalata</v>
      </c>
      <c r="R69" s="54" t="str">
        <f>_xlfn.TEXTJOIN(" ",TRUE,Migrationsartikel!G68)</f>
        <v>aus der Region</v>
      </c>
      <c r="S69" s="54" t="str">
        <f>_xlfn.TEXTJOIN(" ",TRUE,Migrationsartikel!K68)</f>
        <v>de la région</v>
      </c>
      <c r="T69" s="54" t="str">
        <f>_xlfn.TEXTJOIN(" ",TRUE,Migrationsartikel!O68)</f>
        <v>della regione</v>
      </c>
      <c r="U69" s="54" t="str">
        <f>_xlfn.TEXTJOIN(" ",TRUE,Migrationsartikel!H68)</f>
        <v>500ml</v>
      </c>
      <c r="V69" s="54" t="str">
        <f>_xlfn.TEXTJOIN(" ",TRUE,Migrationsartikel!L68)</f>
        <v>500ml</v>
      </c>
      <c r="W69" s="54" t="str">
        <f>_xlfn.TEXTJOIN(" ",TRUE,Migrationsartikel!P68)</f>
        <v>500ml</v>
      </c>
      <c r="X69" s="54" t="str">
        <f>Migrationsartikel!I68</f>
        <v>Salatsauce 500ml</v>
      </c>
      <c r="Y69" s="54" t="str">
        <f>Migrationsartikel!M68</f>
        <v>Sauce à salade 500ml</v>
      </c>
      <c r="Z69" s="54" t="str">
        <f>Migrationsartikel!Q68</f>
        <v>Salsa per insalata 500ml</v>
      </c>
      <c r="AA69" s="63">
        <f>Migrationsartikel!R68</f>
        <v>0.5</v>
      </c>
      <c r="AB69" s="54" t="str">
        <f>Migrationsartikel!T68</f>
        <v>Liter</v>
      </c>
      <c r="AC69" s="65">
        <f>Migrationsartikel!S68</f>
        <v>1</v>
      </c>
      <c r="AD69" s="54" t="str">
        <f>Migrationsartikel!U68</f>
        <v>(PCE) Stück</v>
      </c>
      <c r="AE69" s="55" t="s">
        <v>179</v>
      </c>
      <c r="AF69" s="67">
        <f>Migrationsartikel!AA68</f>
        <v>0</v>
      </c>
      <c r="AG69" s="55" t="s">
        <v>192</v>
      </c>
      <c r="AH69" s="54" t="str">
        <f>IF(Migrationsartikel!AB68="ja","true",FALSE)</f>
        <v>true</v>
      </c>
      <c r="AI69" s="54" t="str">
        <f>IF(Migrationsartikel!AC68="ja","true",FALSE)</f>
        <v>true</v>
      </c>
      <c r="AJ69" s="54" t="str">
        <f>IF(Migrationsartikel!AD68="ja","true",FALSE)</f>
        <v>true</v>
      </c>
      <c r="AK69" s="54" t="str">
        <f>IF(Migrationsartikel!AE68="ja","true",FALSE)</f>
        <v>true</v>
      </c>
      <c r="AL69" s="54" t="str">
        <f>IF(Migrationsartikel!AF68="ja","Denner Partner","")</f>
        <v/>
      </c>
      <c r="AM69" s="54" t="str">
        <f>IF(Migrationsartikel!AG68="ja","true","false")</f>
        <v>false</v>
      </c>
      <c r="AN69" s="54" t="str">
        <f t="shared" si="2"/>
        <v>Kassentastenbelegung (ohne GTIN/PLU)</v>
      </c>
      <c r="AO69" s="66" t="s">
        <v>219</v>
      </c>
      <c r="AP69" s="65" t="s">
        <v>1502</v>
      </c>
      <c r="AQ69" s="66" t="s">
        <v>217</v>
      </c>
      <c r="AR69" s="30" t="s">
        <v>219</v>
      </c>
    </row>
    <row r="70" spans="2:44" ht="21.75" customHeight="1" x14ac:dyDescent="0.45">
      <c r="B70" s="54" t="s">
        <v>99</v>
      </c>
      <c r="E70" s="55" t="s">
        <v>87</v>
      </c>
      <c r="F70" s="54" t="str">
        <f>"Warengruppe&gt;&gt;"&amp;_xlfn.TEXTJOIN("&gt;&gt;",TRUE,Migrationsartikel!V69:X69)</f>
        <v>Warengruppe&gt;&gt;Food&gt;&gt;Öl/Essig/Salatsaucen&gt;&gt;Öl/Essig/Salatsaucen</v>
      </c>
      <c r="H70" s="55" t="s">
        <v>109</v>
      </c>
      <c r="J70" s="79">
        <f>Migrationsartikel!B69</f>
        <v>0</v>
      </c>
      <c r="L70" s="54" t="str">
        <f>_xlfn.TEXTJOIN(" ",TRUE,Migrationsartikel!F69:H69)</f>
        <v>Salatsauce aus der Region 1l</v>
      </c>
      <c r="M70" s="54" t="str">
        <f>_xlfn.TEXTJOIN(" ",TRUE,Migrationsartikel!J69:L69)</f>
        <v>Sauce à salade de la région 1l</v>
      </c>
      <c r="N70" s="54" t="str">
        <f>_xlfn.TEXTJOIN(" ",TRUE,Migrationsartikel!N69:P69)</f>
        <v>Salsa per insalata della regione 1l</v>
      </c>
      <c r="O70" s="54" t="str">
        <f>Migrationsartikel!F69</f>
        <v>Salatsauce</v>
      </c>
      <c r="P70" s="54" t="str">
        <f>Migrationsartikel!J69</f>
        <v>Sauce à salade</v>
      </c>
      <c r="Q70" s="54" t="str">
        <f>Migrationsartikel!N69</f>
        <v>Salsa per insalata</v>
      </c>
      <c r="R70" s="54" t="str">
        <f>_xlfn.TEXTJOIN(" ",TRUE,Migrationsartikel!G69)</f>
        <v>aus der Region</v>
      </c>
      <c r="S70" s="54" t="str">
        <f>_xlfn.TEXTJOIN(" ",TRUE,Migrationsartikel!K69)</f>
        <v>de la région</v>
      </c>
      <c r="T70" s="54" t="str">
        <f>_xlfn.TEXTJOIN(" ",TRUE,Migrationsartikel!O69)</f>
        <v>della regione</v>
      </c>
      <c r="U70" s="54" t="str">
        <f>_xlfn.TEXTJOIN(" ",TRUE,Migrationsartikel!H69)</f>
        <v>1l</v>
      </c>
      <c r="V70" s="54" t="str">
        <f>_xlfn.TEXTJOIN(" ",TRUE,Migrationsartikel!L69)</f>
        <v>1l</v>
      </c>
      <c r="W70" s="54" t="str">
        <f>_xlfn.TEXTJOIN(" ",TRUE,Migrationsartikel!P69)</f>
        <v>1l</v>
      </c>
      <c r="X70" s="54" t="str">
        <f>Migrationsartikel!I69</f>
        <v>Salatsauce 1l</v>
      </c>
      <c r="Y70" s="54" t="str">
        <f>Migrationsartikel!M69</f>
        <v>Sauce à salade 1l</v>
      </c>
      <c r="Z70" s="54" t="str">
        <f>Migrationsartikel!Q69</f>
        <v>Salsa per insalata 1l</v>
      </c>
      <c r="AA70" s="63">
        <f>Migrationsartikel!R69</f>
        <v>1</v>
      </c>
      <c r="AB70" s="54" t="str">
        <f>Migrationsartikel!T69</f>
        <v>Liter</v>
      </c>
      <c r="AC70" s="65">
        <f>Migrationsartikel!S69</f>
        <v>1</v>
      </c>
      <c r="AD70" s="54" t="str">
        <f>Migrationsartikel!U69</f>
        <v>(PCE) Stück</v>
      </c>
      <c r="AE70" s="55" t="s">
        <v>179</v>
      </c>
      <c r="AF70" s="67">
        <f>Migrationsartikel!AA69</f>
        <v>0</v>
      </c>
      <c r="AG70" s="55" t="s">
        <v>192</v>
      </c>
      <c r="AH70" s="54" t="str">
        <f>IF(Migrationsartikel!AB69="ja","true",FALSE)</f>
        <v>true</v>
      </c>
      <c r="AI70" s="54" t="str">
        <f>IF(Migrationsartikel!AC69="ja","true",FALSE)</f>
        <v>true</v>
      </c>
      <c r="AJ70" s="54" t="str">
        <f>IF(Migrationsartikel!AD69="ja","true",FALSE)</f>
        <v>true</v>
      </c>
      <c r="AK70" s="54" t="str">
        <f>IF(Migrationsartikel!AE69="ja","true",FALSE)</f>
        <v>true</v>
      </c>
      <c r="AL70" s="54" t="str">
        <f>IF(Migrationsartikel!AF69="ja","Denner Partner","")</f>
        <v/>
      </c>
      <c r="AM70" s="54" t="str">
        <f>IF(Migrationsartikel!AG69="ja","true","false")</f>
        <v>false</v>
      </c>
      <c r="AN70" s="54" t="str">
        <f t="shared" si="2"/>
        <v>Kassentastenbelegung (ohne GTIN/PLU)</v>
      </c>
      <c r="AO70" s="66" t="s">
        <v>219</v>
      </c>
      <c r="AP70" s="65" t="s">
        <v>1503</v>
      </c>
      <c r="AQ70" s="66" t="s">
        <v>217</v>
      </c>
      <c r="AR70" s="30" t="s">
        <v>219</v>
      </c>
    </row>
    <row r="71" spans="2:44" ht="21.75" customHeight="1" x14ac:dyDescent="0.45">
      <c r="B71" s="54" t="s">
        <v>99</v>
      </c>
      <c r="E71" s="55" t="s">
        <v>87</v>
      </c>
      <c r="F71" s="54" t="str">
        <f>"Warengruppe&gt;&gt;"&amp;_xlfn.TEXTJOIN("&gt;&gt;",TRUE,Migrationsartikel!V70:X70)</f>
        <v>Warengruppe&gt;&gt;Frische&gt;&gt;Fleisch- und Wurstwaren&gt;&gt;Wurstwaren</v>
      </c>
      <c r="H71" s="55" t="s">
        <v>109</v>
      </c>
      <c r="J71" s="79">
        <f>Migrationsartikel!B70</f>
        <v>861</v>
      </c>
      <c r="L71" s="54" t="str">
        <f>_xlfn.TEXTJOIN(" ",TRUE,Migrationsartikel!F70:H70)</f>
        <v>Bauernschüblig aus der Region 2Stk</v>
      </c>
      <c r="M71" s="54" t="str">
        <f>_xlfn.TEXTJOIN(" ",TRUE,Migrationsartikel!J70:L70)</f>
        <v>Schüblig de la région 2pces</v>
      </c>
      <c r="N71" s="54" t="str">
        <f>_xlfn.TEXTJOIN(" ",TRUE,Migrationsartikel!N70:P70)</f>
        <v>Schüblig contadino della regione 2pz</v>
      </c>
      <c r="O71" s="54" t="str">
        <f>Migrationsartikel!F70</f>
        <v>Bauernschüblig</v>
      </c>
      <c r="P71" s="54" t="str">
        <f>Migrationsartikel!J70</f>
        <v>Schüblig</v>
      </c>
      <c r="Q71" s="54" t="str">
        <f>Migrationsartikel!N70</f>
        <v>Schüblig contadino</v>
      </c>
      <c r="R71" s="54" t="str">
        <f>_xlfn.TEXTJOIN(" ",TRUE,Migrationsartikel!G70)</f>
        <v>aus der Region</v>
      </c>
      <c r="S71" s="54" t="str">
        <f>_xlfn.TEXTJOIN(" ",TRUE,Migrationsartikel!K70)</f>
        <v>de la région</v>
      </c>
      <c r="T71" s="54" t="str">
        <f>_xlfn.TEXTJOIN(" ",TRUE,Migrationsartikel!O70)</f>
        <v>della regione</v>
      </c>
      <c r="U71" s="54" t="str">
        <f>_xlfn.TEXTJOIN(" ",TRUE,Migrationsartikel!H70)</f>
        <v>2Stk</v>
      </c>
      <c r="V71" s="54" t="str">
        <f>_xlfn.TEXTJOIN(" ",TRUE,Migrationsartikel!L70)</f>
        <v>2pces</v>
      </c>
      <c r="W71" s="54" t="str">
        <f>_xlfn.TEXTJOIN(" ",TRUE,Migrationsartikel!P70)</f>
        <v>2pz</v>
      </c>
      <c r="X71" s="54" t="str">
        <f>Migrationsartikel!I70</f>
        <v>Bauernschüblig 2Stk</v>
      </c>
      <c r="Y71" s="54" t="str">
        <f>Migrationsartikel!M70</f>
        <v>Schüblig 2pces</v>
      </c>
      <c r="Z71" s="54" t="str">
        <f>Migrationsartikel!Q70</f>
        <v>Schüblig contadino 2pz</v>
      </c>
      <c r="AA71" s="63">
        <f>Migrationsartikel!R70</f>
        <v>2</v>
      </c>
      <c r="AB71" s="54" t="str">
        <f>Migrationsartikel!T70</f>
        <v>Gramm</v>
      </c>
      <c r="AC71" s="65">
        <f>Migrationsartikel!S70</f>
        <v>100</v>
      </c>
      <c r="AD71" s="54" t="str">
        <f>Migrationsartikel!U70</f>
        <v>(PCE) Stück</v>
      </c>
      <c r="AE71" s="55" t="s">
        <v>179</v>
      </c>
      <c r="AF71" s="67">
        <f>Migrationsartikel!AA70</f>
        <v>0</v>
      </c>
      <c r="AG71" s="55" t="s">
        <v>192</v>
      </c>
      <c r="AH71" s="54" t="str">
        <f>IF(Migrationsartikel!AB70="ja","true",FALSE)</f>
        <v>true</v>
      </c>
      <c r="AI71" s="54" t="str">
        <f>IF(Migrationsartikel!AC70="ja","true",FALSE)</f>
        <v>true</v>
      </c>
      <c r="AJ71" s="54" t="str">
        <f>IF(Migrationsartikel!AD70="ja","true",FALSE)</f>
        <v>true</v>
      </c>
      <c r="AK71" s="54" t="str">
        <f>IF(Migrationsartikel!AE70="ja","true",FALSE)</f>
        <v>true</v>
      </c>
      <c r="AL71" s="54" t="str">
        <f>IF(Migrationsartikel!AF70="ja","Denner Partner","")</f>
        <v/>
      </c>
      <c r="AM71" s="54" t="str">
        <f>IF(Migrationsartikel!AG70="ja","true","false")</f>
        <v>false</v>
      </c>
      <c r="AN71" s="54" t="str">
        <f t="shared" si="2"/>
        <v>PLU</v>
      </c>
      <c r="AO71" s="66" t="s">
        <v>219</v>
      </c>
      <c r="AP71" s="65" t="s">
        <v>1504</v>
      </c>
      <c r="AQ71" s="66" t="s">
        <v>217</v>
      </c>
      <c r="AR71" s="30" t="s">
        <v>219</v>
      </c>
    </row>
    <row r="72" spans="2:44" ht="21.75" customHeight="1" x14ac:dyDescent="0.45">
      <c r="B72" s="54" t="s">
        <v>99</v>
      </c>
      <c r="E72" s="55" t="s">
        <v>87</v>
      </c>
      <c r="F72" s="54" t="str">
        <f>"Warengruppe&gt;&gt;"&amp;_xlfn.TEXTJOIN("&gt;&gt;",TRUE,Migrationsartikel!V71:X71)</f>
        <v>Warengruppe&gt;&gt;Frische&gt;&gt;Käse&gt;&gt;Käse</v>
      </c>
      <c r="H72" s="55" t="s">
        <v>109</v>
      </c>
      <c r="J72" s="79">
        <f>Migrationsartikel!B71</f>
        <v>0</v>
      </c>
      <c r="L72" s="54" t="str">
        <f>_xlfn.TEXTJOIN(" ",TRUE,Migrationsartikel!F71:H71)</f>
        <v>Büscion aus der Region 2Stk</v>
      </c>
      <c r="M72" s="54" t="str">
        <f>_xlfn.TEXTJOIN(" ",TRUE,Migrationsartikel!J71:L71)</f>
        <v>Büscion 2pces de la région 2pces</v>
      </c>
      <c r="N72" s="54" t="str">
        <f>_xlfn.TEXTJOIN(" ",TRUE,Migrationsartikel!N71:P71)</f>
        <v>Büscion della regione 2pz</v>
      </c>
      <c r="O72" s="54" t="str">
        <f>Migrationsartikel!F71</f>
        <v>Büscion</v>
      </c>
      <c r="P72" s="54" t="str">
        <f>Migrationsartikel!J71</f>
        <v>Büscion 2pces</v>
      </c>
      <c r="Q72" s="54" t="str">
        <f>Migrationsartikel!N71</f>
        <v>Büscion</v>
      </c>
      <c r="R72" s="54" t="str">
        <f>_xlfn.TEXTJOIN(" ",TRUE,Migrationsartikel!G71)</f>
        <v>aus der Region</v>
      </c>
      <c r="S72" s="54" t="str">
        <f>_xlfn.TEXTJOIN(" ",TRUE,Migrationsartikel!K71)</f>
        <v>de la région</v>
      </c>
      <c r="T72" s="54" t="str">
        <f>_xlfn.TEXTJOIN(" ",TRUE,Migrationsartikel!O71)</f>
        <v>della regione</v>
      </c>
      <c r="U72" s="54" t="str">
        <f>_xlfn.TEXTJOIN(" ",TRUE,Migrationsartikel!H71)</f>
        <v>2Stk</v>
      </c>
      <c r="V72" s="54" t="str">
        <f>_xlfn.TEXTJOIN(" ",TRUE,Migrationsartikel!L71)</f>
        <v>2pces</v>
      </c>
      <c r="W72" s="54" t="str">
        <f>_xlfn.TEXTJOIN(" ",TRUE,Migrationsartikel!P71)</f>
        <v>2pz</v>
      </c>
      <c r="X72" s="54" t="str">
        <f>Migrationsartikel!I71</f>
        <v>Büscion 2Stk</v>
      </c>
      <c r="Y72" s="54" t="str">
        <f>Migrationsartikel!M71</f>
        <v>Büscion</v>
      </c>
      <c r="Z72" s="54" t="str">
        <f>Migrationsartikel!Q71</f>
        <v>Büscion 2pz</v>
      </c>
      <c r="AA72" s="63">
        <f>Migrationsartikel!R71</f>
        <v>2</v>
      </c>
      <c r="AB72" s="54" t="str">
        <f>Migrationsartikel!T71</f>
        <v>Stück</v>
      </c>
      <c r="AC72" s="65">
        <f>Migrationsartikel!S71</f>
        <v>1</v>
      </c>
      <c r="AD72" s="54" t="str">
        <f>Migrationsartikel!U71</f>
        <v>(PCE) Stück</v>
      </c>
      <c r="AE72" s="55" t="s">
        <v>179</v>
      </c>
      <c r="AF72" s="67">
        <f>Migrationsartikel!AA71</f>
        <v>0</v>
      </c>
      <c r="AG72" s="55" t="s">
        <v>192</v>
      </c>
      <c r="AH72" s="54" t="str">
        <f>IF(Migrationsartikel!AB71="ja","true",FALSE)</f>
        <v>true</v>
      </c>
      <c r="AI72" s="54" t="str">
        <f>IF(Migrationsartikel!AC71="ja","true",FALSE)</f>
        <v>true</v>
      </c>
      <c r="AJ72" s="54" t="str">
        <f>IF(Migrationsartikel!AD71="ja","true",FALSE)</f>
        <v>true</v>
      </c>
      <c r="AK72" s="54" t="str">
        <f>IF(Migrationsartikel!AE71="ja","true",FALSE)</f>
        <v>true</v>
      </c>
      <c r="AL72" s="54" t="str">
        <f>IF(Migrationsartikel!AF71="ja","Denner Partner","")</f>
        <v/>
      </c>
      <c r="AM72" s="54" t="str">
        <f>IF(Migrationsartikel!AG71="ja","true","false")</f>
        <v>false</v>
      </c>
      <c r="AN72" s="54" t="str">
        <f t="shared" si="2"/>
        <v>Kassentastenbelegung (ohne GTIN/PLU)</v>
      </c>
      <c r="AO72" s="66" t="s">
        <v>219</v>
      </c>
      <c r="AP72" s="65" t="s">
        <v>1505</v>
      </c>
      <c r="AQ72" s="66" t="s">
        <v>217</v>
      </c>
      <c r="AR72" s="30" t="s">
        <v>219</v>
      </c>
    </row>
    <row r="73" spans="2:44" ht="21.75" customHeight="1" x14ac:dyDescent="0.45">
      <c r="B73" s="54" t="s">
        <v>99</v>
      </c>
      <c r="E73" s="55" t="s">
        <v>87</v>
      </c>
      <c r="F73" s="54" t="str">
        <f>"Warengruppe&gt;&gt;"&amp;_xlfn.TEXTJOIN("&gt;&gt;",TRUE,Migrationsartikel!V72:X72)</f>
        <v>Warengruppe&gt;&gt;Frische&gt;&gt;Molkereiprodukte &amp; Eier&gt;&gt;Milchprodukte</v>
      </c>
      <c r="H73" s="55" t="s">
        <v>109</v>
      </c>
      <c r="J73" s="79">
        <f>Migrationsartikel!B72</f>
        <v>0</v>
      </c>
      <c r="L73" s="54" t="str">
        <f>_xlfn.TEXTJOIN(" ",TRUE,Migrationsartikel!F72:H72)</f>
        <v>Butter aus der Region 100g</v>
      </c>
      <c r="M73" s="54" t="str">
        <f>_xlfn.TEXTJOIN(" ",TRUE,Migrationsartikel!J72:L72)</f>
        <v>Beurre de la région 100g</v>
      </c>
      <c r="N73" s="54" t="str">
        <f>_xlfn.TEXTJOIN(" ",TRUE,Migrationsartikel!N72:P72)</f>
        <v>Burro della regione 100g</v>
      </c>
      <c r="O73" s="54" t="str">
        <f>Migrationsartikel!F72</f>
        <v>Butter</v>
      </c>
      <c r="P73" s="54" t="str">
        <f>Migrationsartikel!J72</f>
        <v>Beurre</v>
      </c>
      <c r="Q73" s="54" t="str">
        <f>Migrationsartikel!N72</f>
        <v>Burro</v>
      </c>
      <c r="R73" s="54" t="str">
        <f>_xlfn.TEXTJOIN(" ",TRUE,Migrationsartikel!G72)</f>
        <v>aus der Region</v>
      </c>
      <c r="S73" s="54" t="str">
        <f>_xlfn.TEXTJOIN(" ",TRUE,Migrationsartikel!K72)</f>
        <v>de la région</v>
      </c>
      <c r="T73" s="54" t="str">
        <f>_xlfn.TEXTJOIN(" ",TRUE,Migrationsartikel!O72)</f>
        <v>della regione</v>
      </c>
      <c r="U73" s="54" t="str">
        <f>_xlfn.TEXTJOIN(" ",TRUE,Migrationsartikel!H72)</f>
        <v>100g</v>
      </c>
      <c r="V73" s="54" t="str">
        <f>_xlfn.TEXTJOIN(" ",TRUE,Migrationsartikel!L72)</f>
        <v>100g</v>
      </c>
      <c r="W73" s="54" t="str">
        <f>_xlfn.TEXTJOIN(" ",TRUE,Migrationsartikel!P72)</f>
        <v>100g</v>
      </c>
      <c r="X73" s="54" t="str">
        <f>Migrationsartikel!I72</f>
        <v>Butter 100g</v>
      </c>
      <c r="Y73" s="54" t="str">
        <f>Migrationsartikel!M72</f>
        <v>Beurre 100g</v>
      </c>
      <c r="Z73" s="54" t="str">
        <f>Migrationsartikel!Q72</f>
        <v>Burro 100g</v>
      </c>
      <c r="AA73" s="63">
        <f>Migrationsartikel!R72</f>
        <v>0.1</v>
      </c>
      <c r="AB73" s="54" t="str">
        <f>Migrationsartikel!T72</f>
        <v>Gramm</v>
      </c>
      <c r="AC73" s="65">
        <f>Migrationsartikel!S72</f>
        <v>100</v>
      </c>
      <c r="AD73" s="54" t="str">
        <f>Migrationsartikel!U72</f>
        <v>(PCE) Stück</v>
      </c>
      <c r="AE73" s="55" t="s">
        <v>179</v>
      </c>
      <c r="AF73" s="67">
        <f>Migrationsartikel!AA72</f>
        <v>0</v>
      </c>
      <c r="AG73" s="55" t="s">
        <v>192</v>
      </c>
      <c r="AH73" s="54" t="str">
        <f>IF(Migrationsartikel!AB72="ja","true",FALSE)</f>
        <v>true</v>
      </c>
      <c r="AI73" s="54" t="str">
        <f>IF(Migrationsartikel!AC72="ja","true",FALSE)</f>
        <v>true</v>
      </c>
      <c r="AJ73" s="54" t="str">
        <f>IF(Migrationsartikel!AD72="ja","true",FALSE)</f>
        <v>true</v>
      </c>
      <c r="AK73" s="54" t="str">
        <f>IF(Migrationsartikel!AE72="ja","true",FALSE)</f>
        <v>true</v>
      </c>
      <c r="AL73" s="54" t="str">
        <f>IF(Migrationsartikel!AF72="ja","Denner Partner","")</f>
        <v/>
      </c>
      <c r="AM73" s="54" t="str">
        <f>IF(Migrationsartikel!AG72="ja","true","false")</f>
        <v>false</v>
      </c>
      <c r="AN73" s="54" t="str">
        <f t="shared" si="2"/>
        <v>Kassentastenbelegung (ohne GTIN/PLU)</v>
      </c>
      <c r="AO73" s="66" t="s">
        <v>219</v>
      </c>
      <c r="AP73" s="65" t="s">
        <v>1506</v>
      </c>
      <c r="AQ73" s="66" t="s">
        <v>217</v>
      </c>
      <c r="AR73" s="30" t="s">
        <v>219</v>
      </c>
    </row>
    <row r="74" spans="2:44" ht="21.75" customHeight="1" x14ac:dyDescent="0.45">
      <c r="B74" s="54" t="s">
        <v>99</v>
      </c>
      <c r="E74" s="55" t="s">
        <v>87</v>
      </c>
      <c r="F74" s="54" t="str">
        <f>"Warengruppe&gt;&gt;"&amp;_xlfn.TEXTJOIN("&gt;&gt;",TRUE,Migrationsartikel!V73:X73)</f>
        <v>Warengruppe&gt;&gt;Frische&gt;&gt;Molkereiprodukte &amp; Eier&gt;&gt;Milchprodukte</v>
      </c>
      <c r="H74" s="55" t="s">
        <v>109</v>
      </c>
      <c r="J74" s="79">
        <f>Migrationsartikel!B73</f>
        <v>0</v>
      </c>
      <c r="L74" s="54" t="str">
        <f>_xlfn.TEXTJOIN(" ",TRUE,Migrationsartikel!F73:H73)</f>
        <v>Butter aus der Region 200g</v>
      </c>
      <c r="M74" s="54" t="str">
        <f>_xlfn.TEXTJOIN(" ",TRUE,Migrationsartikel!J73:L73)</f>
        <v>Beurre de la région 200g</v>
      </c>
      <c r="N74" s="54" t="str">
        <f>_xlfn.TEXTJOIN(" ",TRUE,Migrationsartikel!N73:P73)</f>
        <v>Burro della regione 200g</v>
      </c>
      <c r="O74" s="54" t="str">
        <f>Migrationsartikel!F73</f>
        <v>Butter</v>
      </c>
      <c r="P74" s="54" t="str">
        <f>Migrationsartikel!J73</f>
        <v>Beurre</v>
      </c>
      <c r="Q74" s="54" t="str">
        <f>Migrationsartikel!N73</f>
        <v>Burro</v>
      </c>
      <c r="R74" s="54" t="str">
        <f>_xlfn.TEXTJOIN(" ",TRUE,Migrationsartikel!G73)</f>
        <v>aus der Region</v>
      </c>
      <c r="S74" s="54" t="str">
        <f>_xlfn.TEXTJOIN(" ",TRUE,Migrationsartikel!K73)</f>
        <v>de la région</v>
      </c>
      <c r="T74" s="54" t="str">
        <f>_xlfn.TEXTJOIN(" ",TRUE,Migrationsartikel!O73)</f>
        <v>della regione</v>
      </c>
      <c r="U74" s="54" t="str">
        <f>_xlfn.TEXTJOIN(" ",TRUE,Migrationsartikel!H73)</f>
        <v>200g</v>
      </c>
      <c r="V74" s="54" t="str">
        <f>_xlfn.TEXTJOIN(" ",TRUE,Migrationsartikel!L73)</f>
        <v>200g</v>
      </c>
      <c r="W74" s="54" t="str">
        <f>_xlfn.TEXTJOIN(" ",TRUE,Migrationsartikel!P73)</f>
        <v>200g</v>
      </c>
      <c r="X74" s="54" t="str">
        <f>Migrationsartikel!I73</f>
        <v>Butter 200g</v>
      </c>
      <c r="Y74" s="54" t="str">
        <f>Migrationsartikel!M73</f>
        <v>Beurre 200g</v>
      </c>
      <c r="Z74" s="54" t="str">
        <f>Migrationsartikel!Q73</f>
        <v>Burro 200g</v>
      </c>
      <c r="AA74" s="63">
        <f>Migrationsartikel!R73</f>
        <v>0.2</v>
      </c>
      <c r="AB74" s="54" t="str">
        <f>Migrationsartikel!T73</f>
        <v>Gramm</v>
      </c>
      <c r="AC74" s="65">
        <f>Migrationsartikel!S73</f>
        <v>100</v>
      </c>
      <c r="AD74" s="54" t="str">
        <f>Migrationsartikel!U73</f>
        <v>(PCE) Stück</v>
      </c>
      <c r="AE74" s="55" t="s">
        <v>179</v>
      </c>
      <c r="AF74" s="67">
        <f>Migrationsartikel!AA73</f>
        <v>0</v>
      </c>
      <c r="AG74" s="55" t="s">
        <v>192</v>
      </c>
      <c r="AH74" s="54" t="str">
        <f>IF(Migrationsartikel!AB73="ja","true",FALSE)</f>
        <v>true</v>
      </c>
      <c r="AI74" s="54" t="str">
        <f>IF(Migrationsartikel!AC73="ja","true",FALSE)</f>
        <v>true</v>
      </c>
      <c r="AJ74" s="54" t="str">
        <f>IF(Migrationsartikel!AD73="ja","true",FALSE)</f>
        <v>true</v>
      </c>
      <c r="AK74" s="54" t="str">
        <f>IF(Migrationsartikel!AE73="ja","true",FALSE)</f>
        <v>true</v>
      </c>
      <c r="AL74" s="54" t="str">
        <f>IF(Migrationsartikel!AF73="ja","Denner Partner","")</f>
        <v/>
      </c>
      <c r="AM74" s="54" t="str">
        <f>IF(Migrationsartikel!AG73="ja","true","false")</f>
        <v>false</v>
      </c>
      <c r="AN74" s="54" t="str">
        <f t="shared" si="2"/>
        <v>Kassentastenbelegung (ohne GTIN/PLU)</v>
      </c>
      <c r="AO74" s="66" t="s">
        <v>219</v>
      </c>
      <c r="AP74" s="65" t="s">
        <v>1507</v>
      </c>
      <c r="AQ74" s="66" t="s">
        <v>217</v>
      </c>
      <c r="AR74" s="30" t="s">
        <v>219</v>
      </c>
    </row>
    <row r="75" spans="2:44" ht="21.75" customHeight="1" x14ac:dyDescent="0.45">
      <c r="B75" s="54" t="s">
        <v>99</v>
      </c>
      <c r="E75" s="55" t="s">
        <v>87</v>
      </c>
      <c r="F75" s="54" t="str">
        <f>"Warengruppe&gt;&gt;"&amp;_xlfn.TEXTJOIN("&gt;&gt;",TRUE,Migrationsartikel!V74:X74)</f>
        <v>Warengruppe&gt;&gt;Frische&gt;&gt;Molkereiprodukte &amp; Eier&gt;&gt;Milchprodukte</v>
      </c>
      <c r="H75" s="55" t="s">
        <v>109</v>
      </c>
      <c r="J75" s="79">
        <f>Migrationsartikel!B74</f>
        <v>0</v>
      </c>
      <c r="L75" s="54" t="str">
        <f>_xlfn.TEXTJOIN(" ",TRUE,Migrationsartikel!F74:H74)</f>
        <v>Butter aus der Region 250g</v>
      </c>
      <c r="M75" s="54" t="str">
        <f>_xlfn.TEXTJOIN(" ",TRUE,Migrationsartikel!J74:L74)</f>
        <v>Beurre de la région 250g</v>
      </c>
      <c r="N75" s="54" t="str">
        <f>_xlfn.TEXTJOIN(" ",TRUE,Migrationsartikel!N74:P74)</f>
        <v>Burro della regione 250g</v>
      </c>
      <c r="O75" s="54" t="str">
        <f>Migrationsartikel!F74</f>
        <v>Butter</v>
      </c>
      <c r="P75" s="54" t="str">
        <f>Migrationsartikel!J74</f>
        <v>Beurre</v>
      </c>
      <c r="Q75" s="54" t="str">
        <f>Migrationsartikel!N74</f>
        <v>Burro</v>
      </c>
      <c r="R75" s="54" t="str">
        <f>_xlfn.TEXTJOIN(" ",TRUE,Migrationsartikel!G74)</f>
        <v>aus der Region</v>
      </c>
      <c r="S75" s="54" t="str">
        <f>_xlfn.TEXTJOIN(" ",TRUE,Migrationsartikel!K74)</f>
        <v>de la région</v>
      </c>
      <c r="T75" s="54" t="str">
        <f>_xlfn.TEXTJOIN(" ",TRUE,Migrationsartikel!O74)</f>
        <v>della regione</v>
      </c>
      <c r="U75" s="54" t="str">
        <f>_xlfn.TEXTJOIN(" ",TRUE,Migrationsartikel!H74)</f>
        <v>250g</v>
      </c>
      <c r="V75" s="54" t="str">
        <f>_xlfn.TEXTJOIN(" ",TRUE,Migrationsartikel!L74)</f>
        <v>250g</v>
      </c>
      <c r="W75" s="54" t="str">
        <f>_xlfn.TEXTJOIN(" ",TRUE,Migrationsartikel!P74)</f>
        <v>250g</v>
      </c>
      <c r="X75" s="54" t="str">
        <f>Migrationsartikel!I74</f>
        <v>Butter 250g</v>
      </c>
      <c r="Y75" s="54" t="str">
        <f>Migrationsartikel!M74</f>
        <v>Beurre 250g</v>
      </c>
      <c r="Z75" s="54" t="str">
        <f>Migrationsartikel!Q74</f>
        <v>Burro 250g</v>
      </c>
      <c r="AA75" s="63">
        <f>Migrationsartikel!R74</f>
        <v>0.25</v>
      </c>
      <c r="AB75" s="54" t="str">
        <f>Migrationsartikel!T74</f>
        <v>Gramm</v>
      </c>
      <c r="AC75" s="65">
        <f>Migrationsartikel!S74</f>
        <v>100</v>
      </c>
      <c r="AD75" s="54" t="str">
        <f>Migrationsartikel!U74</f>
        <v>(PCE) Stück</v>
      </c>
      <c r="AE75" s="55" t="s">
        <v>179</v>
      </c>
      <c r="AF75" s="67">
        <f>Migrationsartikel!AA74</f>
        <v>0</v>
      </c>
      <c r="AG75" s="55" t="s">
        <v>192</v>
      </c>
      <c r="AH75" s="54" t="str">
        <f>IF(Migrationsartikel!AB74="ja","true",FALSE)</f>
        <v>true</v>
      </c>
      <c r="AI75" s="54" t="str">
        <f>IF(Migrationsartikel!AC74="ja","true",FALSE)</f>
        <v>true</v>
      </c>
      <c r="AJ75" s="54" t="str">
        <f>IF(Migrationsartikel!AD74="ja","true",FALSE)</f>
        <v>true</v>
      </c>
      <c r="AK75" s="54" t="str">
        <f>IF(Migrationsartikel!AE74="ja","true",FALSE)</f>
        <v>true</v>
      </c>
      <c r="AL75" s="54" t="str">
        <f>IF(Migrationsartikel!AF74="ja","Denner Partner","")</f>
        <v/>
      </c>
      <c r="AM75" s="54" t="str">
        <f>IF(Migrationsartikel!AG74="ja","true","false")</f>
        <v>false</v>
      </c>
      <c r="AN75" s="54" t="str">
        <f t="shared" si="2"/>
        <v>Kassentastenbelegung (ohne GTIN/PLU)</v>
      </c>
      <c r="AO75" s="66" t="s">
        <v>219</v>
      </c>
      <c r="AP75" s="65" t="s">
        <v>1508</v>
      </c>
      <c r="AQ75" s="66" t="s">
        <v>217</v>
      </c>
      <c r="AR75" s="30" t="s">
        <v>219</v>
      </c>
    </row>
    <row r="76" spans="2:44" ht="21.75" customHeight="1" x14ac:dyDescent="0.45">
      <c r="B76" s="54" t="s">
        <v>99</v>
      </c>
      <c r="E76" s="55" t="s">
        <v>87</v>
      </c>
      <c r="F76" s="54" t="str">
        <f>"Warengruppe&gt;&gt;"&amp;_xlfn.TEXTJOIN("&gt;&gt;",TRUE,Migrationsartikel!V75:X75)</f>
        <v>Warengruppe&gt;&gt;Frische&gt;&gt;Fleisch- und Wurstwaren&gt;&gt;Wurstwaren</v>
      </c>
      <c r="H76" s="55" t="s">
        <v>109</v>
      </c>
      <c r="J76" s="79">
        <f>Migrationsartikel!B75</f>
        <v>862</v>
      </c>
      <c r="L76" s="54" t="str">
        <f>_xlfn.TEXTJOIN(" ",TRUE,Migrationsartikel!F75:H75)</f>
        <v>Cervelat aus der Region 2Stk</v>
      </c>
      <c r="M76" s="54" t="str">
        <f>_xlfn.TEXTJOIN(" ",TRUE,Migrationsartikel!J75:L75)</f>
        <v>Cervelas de la région 2pces</v>
      </c>
      <c r="N76" s="54" t="str">
        <f>_xlfn.TEXTJOIN(" ",TRUE,Migrationsartikel!N75:P75)</f>
        <v>Cervelat della regione 2pz</v>
      </c>
      <c r="O76" s="54" t="str">
        <f>Migrationsartikel!F75</f>
        <v>Cervelat</v>
      </c>
      <c r="P76" s="54" t="str">
        <f>Migrationsartikel!J75</f>
        <v>Cervelas</v>
      </c>
      <c r="Q76" s="54" t="str">
        <f>Migrationsartikel!N75</f>
        <v>Cervelat</v>
      </c>
      <c r="R76" s="54" t="str">
        <f>_xlfn.TEXTJOIN(" ",TRUE,Migrationsartikel!G75)</f>
        <v>aus der Region</v>
      </c>
      <c r="S76" s="54" t="str">
        <f>_xlfn.TEXTJOIN(" ",TRUE,Migrationsartikel!K75)</f>
        <v>de la région</v>
      </c>
      <c r="T76" s="54" t="str">
        <f>_xlfn.TEXTJOIN(" ",TRUE,Migrationsartikel!O75)</f>
        <v>della regione</v>
      </c>
      <c r="U76" s="54" t="str">
        <f>_xlfn.TEXTJOIN(" ",TRUE,Migrationsartikel!H75)</f>
        <v>2Stk</v>
      </c>
      <c r="V76" s="54" t="str">
        <f>_xlfn.TEXTJOIN(" ",TRUE,Migrationsartikel!L75)</f>
        <v>2pces</v>
      </c>
      <c r="W76" s="54" t="str">
        <f>_xlfn.TEXTJOIN(" ",TRUE,Migrationsartikel!P75)</f>
        <v>2pz</v>
      </c>
      <c r="X76" s="54" t="str">
        <f>Migrationsartikel!I75</f>
        <v>Cervelat 2Stk</v>
      </c>
      <c r="Y76" s="54" t="str">
        <f>Migrationsartikel!M75</f>
        <v>Cervelas 2pces</v>
      </c>
      <c r="Z76" s="54" t="str">
        <f>Migrationsartikel!Q75</f>
        <v>Cervelat 2pz</v>
      </c>
      <c r="AA76" s="63">
        <f>Migrationsartikel!R75</f>
        <v>2</v>
      </c>
      <c r="AB76" s="54" t="str">
        <f>Migrationsartikel!T75</f>
        <v>Gramm</v>
      </c>
      <c r="AC76" s="65">
        <f>Migrationsartikel!S75</f>
        <v>100</v>
      </c>
      <c r="AD76" s="54" t="str">
        <f>Migrationsartikel!U75</f>
        <v>(PCE) Stück</v>
      </c>
      <c r="AE76" s="55" t="s">
        <v>179</v>
      </c>
      <c r="AF76" s="67">
        <f>Migrationsartikel!AA75</f>
        <v>0</v>
      </c>
      <c r="AG76" s="55" t="s">
        <v>192</v>
      </c>
      <c r="AH76" s="54" t="str">
        <f>IF(Migrationsartikel!AB75="ja","true",FALSE)</f>
        <v>true</v>
      </c>
      <c r="AI76" s="54" t="str">
        <f>IF(Migrationsartikel!AC75="ja","true",FALSE)</f>
        <v>true</v>
      </c>
      <c r="AJ76" s="54" t="str">
        <f>IF(Migrationsartikel!AD75="ja","true",FALSE)</f>
        <v>true</v>
      </c>
      <c r="AK76" s="54" t="str">
        <f>IF(Migrationsartikel!AE75="ja","true",FALSE)</f>
        <v>true</v>
      </c>
      <c r="AL76" s="54" t="str">
        <f>IF(Migrationsartikel!AF75="ja","Denner Partner","")</f>
        <v/>
      </c>
      <c r="AM76" s="54" t="str">
        <f>IF(Migrationsartikel!AG75="ja","true","false")</f>
        <v>false</v>
      </c>
      <c r="AN76" s="54" t="str">
        <f t="shared" si="2"/>
        <v>PLU</v>
      </c>
      <c r="AO76" s="66" t="s">
        <v>219</v>
      </c>
      <c r="AP76" s="65" t="s">
        <v>1509</v>
      </c>
      <c r="AQ76" s="66" t="s">
        <v>217</v>
      </c>
      <c r="AR76" s="30" t="s">
        <v>219</v>
      </c>
    </row>
    <row r="77" spans="2:44" ht="21.75" customHeight="1" x14ac:dyDescent="0.45">
      <c r="B77" s="54" t="s">
        <v>99</v>
      </c>
      <c r="E77" s="55" t="s">
        <v>87</v>
      </c>
      <c r="F77" s="54" t="str">
        <f>"Warengruppe&gt;&gt;"&amp;_xlfn.TEXTJOIN("&gt;&gt;",TRUE,Migrationsartikel!V76:X76)</f>
        <v>Warengruppe&gt;&gt;Frische&gt;&gt;Molkereiprodukte &amp; Eier&gt;&gt;Milchprodukte</v>
      </c>
      <c r="H77" s="55" t="s">
        <v>109</v>
      </c>
      <c r="J77" s="79">
        <f>Migrationsartikel!B76</f>
        <v>0</v>
      </c>
      <c r="L77" s="54" t="str">
        <f>_xlfn.TEXTJOIN(" ",TRUE,Migrationsartikel!F76:H76)</f>
        <v>Doppel-Rahm aus der Region 200ml</v>
      </c>
      <c r="M77" s="54" t="str">
        <f>_xlfn.TEXTJOIN(" ",TRUE,Migrationsartikel!J76:L76)</f>
        <v>Double crème de la région 200ml</v>
      </c>
      <c r="N77" s="54" t="str">
        <f>_xlfn.TEXTJOIN(" ",TRUE,Migrationsartikel!N76:P76)</f>
        <v>Panna doppia della regione 200ml</v>
      </c>
      <c r="O77" s="54" t="str">
        <f>Migrationsartikel!F76</f>
        <v>Doppel-Rahm</v>
      </c>
      <c r="P77" s="54" t="str">
        <f>Migrationsartikel!J76</f>
        <v>Double crème</v>
      </c>
      <c r="Q77" s="54" t="str">
        <f>Migrationsartikel!N76</f>
        <v>Panna doppia</v>
      </c>
      <c r="R77" s="54" t="str">
        <f>_xlfn.TEXTJOIN(" ",TRUE,Migrationsartikel!G76)</f>
        <v>aus der Region</v>
      </c>
      <c r="S77" s="54" t="str">
        <f>_xlfn.TEXTJOIN(" ",TRUE,Migrationsartikel!K76)</f>
        <v>de la région</v>
      </c>
      <c r="T77" s="54" t="str">
        <f>_xlfn.TEXTJOIN(" ",TRUE,Migrationsartikel!O76)</f>
        <v>della regione</v>
      </c>
      <c r="U77" s="54" t="str">
        <f>_xlfn.TEXTJOIN(" ",TRUE,Migrationsartikel!H76)</f>
        <v>200ml</v>
      </c>
      <c r="V77" s="54" t="str">
        <f>_xlfn.TEXTJOIN(" ",TRUE,Migrationsartikel!L76)</f>
        <v>200ml</v>
      </c>
      <c r="W77" s="54" t="str">
        <f>_xlfn.TEXTJOIN(" ",TRUE,Migrationsartikel!P76)</f>
        <v>200ml</v>
      </c>
      <c r="X77" s="54" t="str">
        <f>Migrationsartikel!I76</f>
        <v>Doppel-Rahm 200ml</v>
      </c>
      <c r="Y77" s="54" t="str">
        <f>Migrationsartikel!M76</f>
        <v>Double crème 200ml</v>
      </c>
      <c r="Z77" s="54" t="str">
        <f>Migrationsartikel!Q76</f>
        <v>Panna 200ml</v>
      </c>
      <c r="AA77" s="63">
        <f>Migrationsartikel!R76</f>
        <v>0.2</v>
      </c>
      <c r="AB77" s="54" t="str">
        <f>Migrationsartikel!T76</f>
        <v>Milliliter</v>
      </c>
      <c r="AC77" s="65">
        <f>Migrationsartikel!S76</f>
        <v>100</v>
      </c>
      <c r="AD77" s="54" t="str">
        <f>Migrationsartikel!U76</f>
        <v>(PCE) Stück</v>
      </c>
      <c r="AE77" s="55" t="s">
        <v>179</v>
      </c>
      <c r="AF77" s="67">
        <f>Migrationsartikel!AA76</f>
        <v>0</v>
      </c>
      <c r="AG77" s="55" t="s">
        <v>192</v>
      </c>
      <c r="AH77" s="54" t="str">
        <f>IF(Migrationsartikel!AB76="ja","true",FALSE)</f>
        <v>true</v>
      </c>
      <c r="AI77" s="54" t="str">
        <f>IF(Migrationsartikel!AC76="ja","true",FALSE)</f>
        <v>true</v>
      </c>
      <c r="AJ77" s="54" t="str">
        <f>IF(Migrationsartikel!AD76="ja","true",FALSE)</f>
        <v>true</v>
      </c>
      <c r="AK77" s="54" t="str">
        <f>IF(Migrationsartikel!AE76="ja","true",FALSE)</f>
        <v>true</v>
      </c>
      <c r="AL77" s="54" t="str">
        <f>IF(Migrationsartikel!AF76="ja","Denner Partner","")</f>
        <v/>
      </c>
      <c r="AM77" s="54" t="str">
        <f>IF(Migrationsartikel!AG76="ja","true","false")</f>
        <v>false</v>
      </c>
      <c r="AN77" s="54" t="str">
        <f t="shared" si="2"/>
        <v>Kassentastenbelegung (ohne GTIN/PLU)</v>
      </c>
      <c r="AO77" s="66" t="s">
        <v>219</v>
      </c>
      <c r="AP77" s="65" t="s">
        <v>1510</v>
      </c>
      <c r="AQ77" s="66" t="s">
        <v>217</v>
      </c>
      <c r="AR77" s="30" t="s">
        <v>219</v>
      </c>
    </row>
    <row r="78" spans="2:44" ht="21.75" customHeight="1" x14ac:dyDescent="0.45">
      <c r="B78" s="54" t="s">
        <v>99</v>
      </c>
      <c r="E78" s="55" t="s">
        <v>87</v>
      </c>
      <c r="F78" s="54" t="str">
        <f>"Warengruppe&gt;&gt;"&amp;_xlfn.TEXTJOIN("&gt;&gt;",TRUE,Migrationsartikel!V77:X77)</f>
        <v>Warengruppe&gt;&gt;Frische&gt;&gt;Molkereiprodukte &amp; Eier&gt;&gt;Milchprodukte</v>
      </c>
      <c r="H78" s="55" t="s">
        <v>109</v>
      </c>
      <c r="J78" s="79">
        <f>Migrationsartikel!B77</f>
        <v>0</v>
      </c>
      <c r="L78" s="54" t="str">
        <f>_xlfn.TEXTJOIN(" ",TRUE,Migrationsartikel!F77:H77)</f>
        <v>Doppel-Rahm aus der Region 250ml</v>
      </c>
      <c r="M78" s="54" t="str">
        <f>_xlfn.TEXTJOIN(" ",TRUE,Migrationsartikel!J77:L77)</f>
        <v>Double crème de la région 250ml</v>
      </c>
      <c r="N78" s="54" t="str">
        <f>_xlfn.TEXTJOIN(" ",TRUE,Migrationsartikel!N77:P77)</f>
        <v>Panna doppia della regione 250ml</v>
      </c>
      <c r="O78" s="54" t="str">
        <f>Migrationsartikel!F77</f>
        <v>Doppel-Rahm</v>
      </c>
      <c r="P78" s="54" t="str">
        <f>Migrationsartikel!J77</f>
        <v>Double crème</v>
      </c>
      <c r="Q78" s="54" t="str">
        <f>Migrationsartikel!N77</f>
        <v>Panna doppia</v>
      </c>
      <c r="R78" s="54" t="str">
        <f>_xlfn.TEXTJOIN(" ",TRUE,Migrationsartikel!G77)</f>
        <v>aus der Region</v>
      </c>
      <c r="S78" s="54" t="str">
        <f>_xlfn.TEXTJOIN(" ",TRUE,Migrationsartikel!K77)</f>
        <v>de la région</v>
      </c>
      <c r="T78" s="54" t="str">
        <f>_xlfn.TEXTJOIN(" ",TRUE,Migrationsartikel!O77)</f>
        <v>della regione</v>
      </c>
      <c r="U78" s="54" t="str">
        <f>_xlfn.TEXTJOIN(" ",TRUE,Migrationsartikel!H77)</f>
        <v>250ml</v>
      </c>
      <c r="V78" s="54" t="str">
        <f>_xlfn.TEXTJOIN(" ",TRUE,Migrationsartikel!L77)</f>
        <v>250ml</v>
      </c>
      <c r="W78" s="54" t="str">
        <f>_xlfn.TEXTJOIN(" ",TRUE,Migrationsartikel!P77)</f>
        <v>250ml</v>
      </c>
      <c r="X78" s="54" t="str">
        <f>Migrationsartikel!I77</f>
        <v>Doppel-Rahm 250ml</v>
      </c>
      <c r="Y78" s="54" t="str">
        <f>Migrationsartikel!M77</f>
        <v>Double crème 250ml</v>
      </c>
      <c r="Z78" s="54" t="str">
        <f>Migrationsartikel!Q77</f>
        <v>Panna 250ml</v>
      </c>
      <c r="AA78" s="63">
        <f>Migrationsartikel!R77</f>
        <v>0.25</v>
      </c>
      <c r="AB78" s="54" t="str">
        <f>Migrationsartikel!T77</f>
        <v>Milliliter</v>
      </c>
      <c r="AC78" s="65">
        <f>Migrationsartikel!S77</f>
        <v>100</v>
      </c>
      <c r="AD78" s="54" t="str">
        <f>Migrationsartikel!U77</f>
        <v>(PCE) Stück</v>
      </c>
      <c r="AE78" s="55" t="s">
        <v>179</v>
      </c>
      <c r="AF78" s="67">
        <f>Migrationsartikel!AA77</f>
        <v>0</v>
      </c>
      <c r="AG78" s="55" t="s">
        <v>192</v>
      </c>
      <c r="AH78" s="54" t="str">
        <f>IF(Migrationsartikel!AB77="ja","true",FALSE)</f>
        <v>true</v>
      </c>
      <c r="AI78" s="54" t="str">
        <f>IF(Migrationsartikel!AC77="ja","true",FALSE)</f>
        <v>true</v>
      </c>
      <c r="AJ78" s="54" t="str">
        <f>IF(Migrationsartikel!AD77="ja","true",FALSE)</f>
        <v>true</v>
      </c>
      <c r="AK78" s="54" t="str">
        <f>IF(Migrationsartikel!AE77="ja","true",FALSE)</f>
        <v>true</v>
      </c>
      <c r="AL78" s="54" t="str">
        <f>IF(Migrationsartikel!AF77="ja","Denner Partner","")</f>
        <v/>
      </c>
      <c r="AM78" s="54" t="str">
        <f>IF(Migrationsartikel!AG77="ja","true","false")</f>
        <v>false</v>
      </c>
      <c r="AN78" s="54" t="str">
        <f t="shared" si="2"/>
        <v>Kassentastenbelegung (ohne GTIN/PLU)</v>
      </c>
      <c r="AO78" s="66" t="s">
        <v>219</v>
      </c>
      <c r="AP78" s="65" t="s">
        <v>1511</v>
      </c>
      <c r="AQ78" s="66" t="s">
        <v>217</v>
      </c>
      <c r="AR78" s="30" t="s">
        <v>219</v>
      </c>
    </row>
    <row r="79" spans="2:44" ht="21.75" customHeight="1" x14ac:dyDescent="0.45">
      <c r="B79" s="54" t="s">
        <v>99</v>
      </c>
      <c r="C79"/>
      <c r="D79"/>
      <c r="E79" s="55" t="s">
        <v>87</v>
      </c>
      <c r="F79" s="54" t="str">
        <f>"Warengruppe&gt;&gt;"&amp;_xlfn.TEXTJOIN("&gt;&gt;",TRUE,Migrationsartikel!V78:X78)</f>
        <v>Warengruppe&gt;&gt;Frische&gt;&gt;SB - Fleisch&gt;&gt;Fisch</v>
      </c>
      <c r="G79" s="30"/>
      <c r="H79" s="55" t="s">
        <v>109</v>
      </c>
      <c r="J79" s="79">
        <f>Migrationsartikel!B78</f>
        <v>829</v>
      </c>
      <c r="L79" s="54" t="str">
        <f>_xlfn.TEXTJOIN(" ",TRUE,Migrationsartikel!F78:H78)</f>
        <v>Eglifilet aus der Region 1Stk</v>
      </c>
      <c r="M79" s="54" t="str">
        <f>_xlfn.TEXTJOIN(" ",TRUE,Migrationsartikel!J78:L78)</f>
        <v>Filet de perche de la région 1pce</v>
      </c>
      <c r="N79" s="54" t="str">
        <f>_xlfn.TEXTJOIN(" ",TRUE,Migrationsartikel!N78:P78)</f>
        <v>Filetto di persico della regione 1pz</v>
      </c>
      <c r="O79" s="54" t="str">
        <f>Migrationsartikel!F78</f>
        <v>Eglifilet</v>
      </c>
      <c r="P79" s="54" t="str">
        <f>Migrationsartikel!J78</f>
        <v>Filet de perche</v>
      </c>
      <c r="Q79" s="54" t="str">
        <f>Migrationsartikel!N78</f>
        <v>Filetto di persico</v>
      </c>
      <c r="R79" s="54" t="str">
        <f>_xlfn.TEXTJOIN(" ",TRUE,Migrationsartikel!G78)</f>
        <v>aus der Region</v>
      </c>
      <c r="S79" s="54" t="str">
        <f>_xlfn.TEXTJOIN(" ",TRUE,Migrationsartikel!K78)</f>
        <v>de la région</v>
      </c>
      <c r="T79" s="54" t="str">
        <f>_xlfn.TEXTJOIN(" ",TRUE,Migrationsartikel!O78)</f>
        <v>della regione</v>
      </c>
      <c r="U79" s="54" t="str">
        <f>_xlfn.TEXTJOIN(" ",TRUE,Migrationsartikel!H78)</f>
        <v>1Stk</v>
      </c>
      <c r="V79" s="54" t="str">
        <f>_xlfn.TEXTJOIN(" ",TRUE,Migrationsartikel!L78)</f>
        <v>1pce</v>
      </c>
      <c r="W79" s="54" t="str">
        <f>_xlfn.TEXTJOIN(" ",TRUE,Migrationsartikel!P78)</f>
        <v>1pz</v>
      </c>
      <c r="X79" s="54" t="str">
        <f>Migrationsartikel!I78</f>
        <v>Eglifilet</v>
      </c>
      <c r="Y79" s="54" t="str">
        <f>Migrationsartikel!M78</f>
        <v>Filet de perche</v>
      </c>
      <c r="Z79" s="54" t="str">
        <f>Migrationsartikel!Q78</f>
        <v>Filetto di persico</v>
      </c>
      <c r="AA79" s="63">
        <f>Migrationsartikel!R78</f>
        <v>1</v>
      </c>
      <c r="AB79" s="54" t="str">
        <f>Migrationsartikel!T78</f>
        <v>Gramm</v>
      </c>
      <c r="AC79" s="65">
        <f>Migrationsartikel!S78</f>
        <v>100</v>
      </c>
      <c r="AD79" s="54" t="str">
        <f>Migrationsartikel!U78</f>
        <v>(PCE) Stück</v>
      </c>
      <c r="AE79" s="55" t="s">
        <v>179</v>
      </c>
      <c r="AF79" s="67">
        <f>Migrationsartikel!AA78</f>
        <v>0</v>
      </c>
      <c r="AG79" s="55" t="s">
        <v>192</v>
      </c>
      <c r="AH79" s="54" t="str">
        <f>IF(Migrationsartikel!AB78="ja","true",FALSE)</f>
        <v>true</v>
      </c>
      <c r="AI79" s="54" t="str">
        <f>IF(Migrationsartikel!AC78="ja","true",FALSE)</f>
        <v>true</v>
      </c>
      <c r="AJ79" s="54" t="str">
        <f>IF(Migrationsartikel!AD78="ja","true",FALSE)</f>
        <v>true</v>
      </c>
      <c r="AK79" s="54" t="str">
        <f>IF(Migrationsartikel!AE78="ja","true",FALSE)</f>
        <v>true</v>
      </c>
      <c r="AL79" s="54" t="str">
        <f>IF(Migrationsartikel!AF78="ja","Denner Partner","")</f>
        <v/>
      </c>
      <c r="AM79" s="54" t="str">
        <f>IF(Migrationsartikel!AG78="ja","true","false")</f>
        <v>false</v>
      </c>
      <c r="AN79" s="54" t="str">
        <f t="shared" si="2"/>
        <v>PLU</v>
      </c>
      <c r="AO79" s="66" t="s">
        <v>219</v>
      </c>
      <c r="AP79" s="65" t="s">
        <v>1512</v>
      </c>
      <c r="AQ79" s="66" t="s">
        <v>217</v>
      </c>
      <c r="AR79" s="30" t="s">
        <v>219</v>
      </c>
    </row>
    <row r="80" spans="2:44" ht="21.75" customHeight="1" x14ac:dyDescent="0.45">
      <c r="B80" s="54" t="s">
        <v>99</v>
      </c>
      <c r="C80"/>
      <c r="D80"/>
      <c r="E80" s="55" t="s">
        <v>87</v>
      </c>
      <c r="F80" s="54" t="str">
        <f>"Warengruppe&gt;&gt;"&amp;_xlfn.TEXTJOIN("&gt;&gt;",TRUE,Migrationsartikel!V79:X79)</f>
        <v>Warengruppe&gt;&gt;Frische&gt;&gt;Molkereiprodukte &amp; Eier&gt;&gt;Eier</v>
      </c>
      <c r="G80" s="30"/>
      <c r="H80" s="55" t="s">
        <v>109</v>
      </c>
      <c r="J80" s="79">
        <f>Migrationsartikel!B79</f>
        <v>0</v>
      </c>
      <c r="L80" s="54" t="str">
        <f>_xlfn.TEXTJOIN(" ",TRUE,Migrationsartikel!F79:H79)</f>
        <v>Eier aus der Region 4Stk</v>
      </c>
      <c r="M80" s="54" t="str">
        <f>_xlfn.TEXTJOIN(" ",TRUE,Migrationsartikel!J79:L79)</f>
        <v>Oeufs de la région 4pces</v>
      </c>
      <c r="N80" s="54" t="str">
        <f>_xlfn.TEXTJOIN(" ",TRUE,Migrationsartikel!N79:P79)</f>
        <v>Uova della regione 4pz</v>
      </c>
      <c r="O80" s="54" t="str">
        <f>Migrationsartikel!F79</f>
        <v>Eier</v>
      </c>
      <c r="P80" s="54" t="str">
        <f>Migrationsartikel!J79</f>
        <v>Oeufs</v>
      </c>
      <c r="Q80" s="54" t="str">
        <f>Migrationsartikel!N79</f>
        <v>Uova</v>
      </c>
      <c r="R80" s="54" t="str">
        <f>_xlfn.TEXTJOIN(" ",TRUE,Migrationsartikel!G79)</f>
        <v>aus der Region</v>
      </c>
      <c r="S80" s="54" t="str">
        <f>_xlfn.TEXTJOIN(" ",TRUE,Migrationsartikel!K79)</f>
        <v>de la région</v>
      </c>
      <c r="T80" s="54" t="str">
        <f>_xlfn.TEXTJOIN(" ",TRUE,Migrationsartikel!O79)</f>
        <v>della regione</v>
      </c>
      <c r="U80" s="54" t="str">
        <f>_xlfn.TEXTJOIN(" ",TRUE,Migrationsartikel!H79)</f>
        <v>4Stk</v>
      </c>
      <c r="V80" s="54" t="str">
        <f>_xlfn.TEXTJOIN(" ",TRUE,Migrationsartikel!L79)</f>
        <v>4pces</v>
      </c>
      <c r="W80" s="54" t="str">
        <f>_xlfn.TEXTJOIN(" ",TRUE,Migrationsartikel!P79)</f>
        <v>4pz</v>
      </c>
      <c r="X80" s="54" t="str">
        <f>Migrationsartikel!I79</f>
        <v>Eier 4Stk</v>
      </c>
      <c r="Y80" s="54" t="str">
        <f>Migrationsartikel!M79</f>
        <v>Oeufs 4pces</v>
      </c>
      <c r="Z80" s="54" t="str">
        <f>Migrationsartikel!Q79</f>
        <v>Uova 4pz</v>
      </c>
      <c r="AA80" s="63">
        <f>Migrationsartikel!R79</f>
        <v>4</v>
      </c>
      <c r="AB80" s="54" t="str">
        <f>Migrationsartikel!T79</f>
        <v>Stück</v>
      </c>
      <c r="AC80" s="65">
        <f>Migrationsartikel!S79</f>
        <v>1</v>
      </c>
      <c r="AD80" s="54" t="str">
        <f>Migrationsartikel!U79</f>
        <v>(PCE) Stück</v>
      </c>
      <c r="AE80" s="55" t="s">
        <v>179</v>
      </c>
      <c r="AF80" s="67">
        <f>Migrationsartikel!AA79</f>
        <v>0</v>
      </c>
      <c r="AG80" s="55" t="s">
        <v>192</v>
      </c>
      <c r="AH80" s="54" t="str">
        <f>IF(Migrationsartikel!AB79="ja","true",FALSE)</f>
        <v>true</v>
      </c>
      <c r="AI80" s="54" t="str">
        <f>IF(Migrationsartikel!AC79="ja","true",FALSE)</f>
        <v>true</v>
      </c>
      <c r="AJ80" s="54" t="str">
        <f>IF(Migrationsartikel!AD79="ja","true",FALSE)</f>
        <v>true</v>
      </c>
      <c r="AK80" s="54" t="str">
        <f>IF(Migrationsartikel!AE79="ja","true",FALSE)</f>
        <v>true</v>
      </c>
      <c r="AL80" s="54" t="str">
        <f>IF(Migrationsartikel!AF79="ja","Denner Partner","")</f>
        <v/>
      </c>
      <c r="AM80" s="54" t="str">
        <f>IF(Migrationsartikel!AG79="ja","true","false")</f>
        <v>false</v>
      </c>
      <c r="AN80" s="54" t="str">
        <f t="shared" si="2"/>
        <v>Kassentastenbelegung (ohne GTIN/PLU)</v>
      </c>
      <c r="AO80" s="66" t="s">
        <v>219</v>
      </c>
      <c r="AP80" s="65" t="s">
        <v>1513</v>
      </c>
      <c r="AQ80" s="66" t="s">
        <v>217</v>
      </c>
      <c r="AR80" s="30" t="s">
        <v>219</v>
      </c>
    </row>
    <row r="81" spans="2:44" ht="21.75" customHeight="1" x14ac:dyDescent="0.45">
      <c r="B81" s="54" t="s">
        <v>99</v>
      </c>
      <c r="E81" s="55" t="s">
        <v>87</v>
      </c>
      <c r="F81" s="54" t="str">
        <f>"Warengruppe&gt;&gt;"&amp;_xlfn.TEXTJOIN("&gt;&gt;",TRUE,Migrationsartikel!V80:X80)</f>
        <v>Warengruppe&gt;&gt;Frische&gt;&gt;Molkereiprodukte &amp; Eier&gt;&gt;Eier</v>
      </c>
      <c r="H81" s="55" t="s">
        <v>109</v>
      </c>
      <c r="J81" s="79">
        <f>Migrationsartikel!B80</f>
        <v>0</v>
      </c>
      <c r="L81" s="54" t="str">
        <f>_xlfn.TEXTJOIN(" ",TRUE,Migrationsartikel!F80:H80)</f>
        <v>Eier aus der Region 10Stk</v>
      </c>
      <c r="M81" s="54" t="str">
        <f>_xlfn.TEXTJOIN(" ",TRUE,Migrationsartikel!J80:L80)</f>
        <v>Oeufs de la région 10pces</v>
      </c>
      <c r="N81" s="54" t="str">
        <f>_xlfn.TEXTJOIN(" ",TRUE,Migrationsartikel!N80:P80)</f>
        <v>Uova della regione 10pz</v>
      </c>
      <c r="O81" s="54" t="str">
        <f>Migrationsartikel!F80</f>
        <v>Eier</v>
      </c>
      <c r="P81" s="54" t="str">
        <f>Migrationsartikel!J80</f>
        <v>Oeufs</v>
      </c>
      <c r="Q81" s="54" t="str">
        <f>Migrationsartikel!N80</f>
        <v>Uova</v>
      </c>
      <c r="R81" s="54" t="str">
        <f>_xlfn.TEXTJOIN(" ",TRUE,Migrationsartikel!G80)</f>
        <v>aus der Region</v>
      </c>
      <c r="S81" s="54" t="str">
        <f>_xlfn.TEXTJOIN(" ",TRUE,Migrationsartikel!K80)</f>
        <v>de la région</v>
      </c>
      <c r="T81" s="54" t="str">
        <f>_xlfn.TEXTJOIN(" ",TRUE,Migrationsartikel!O80)</f>
        <v>della regione</v>
      </c>
      <c r="U81" s="54" t="str">
        <f>_xlfn.TEXTJOIN(" ",TRUE,Migrationsartikel!H80)</f>
        <v>10Stk</v>
      </c>
      <c r="V81" s="54" t="str">
        <f>_xlfn.TEXTJOIN(" ",TRUE,Migrationsartikel!L80)</f>
        <v>10pces</v>
      </c>
      <c r="W81" s="54" t="str">
        <f>_xlfn.TEXTJOIN(" ",TRUE,Migrationsartikel!P80)</f>
        <v>10pz</v>
      </c>
      <c r="X81" s="54" t="str">
        <f>Migrationsartikel!I80</f>
        <v>Eier 10Stk</v>
      </c>
      <c r="Y81" s="54" t="str">
        <f>Migrationsartikel!M80</f>
        <v>Oeufs 10pces</v>
      </c>
      <c r="Z81" s="54" t="str">
        <f>Migrationsartikel!Q80</f>
        <v>Uova 10pz</v>
      </c>
      <c r="AA81" s="63">
        <f>Migrationsartikel!R80</f>
        <v>10</v>
      </c>
      <c r="AB81" s="54" t="str">
        <f>Migrationsartikel!T80</f>
        <v>Stück</v>
      </c>
      <c r="AC81" s="65">
        <f>Migrationsartikel!S80</f>
        <v>1</v>
      </c>
      <c r="AD81" s="54" t="str">
        <f>Migrationsartikel!U80</f>
        <v>(PCE) Stück</v>
      </c>
      <c r="AE81" s="55" t="s">
        <v>179</v>
      </c>
      <c r="AF81" s="67">
        <f>Migrationsartikel!AA80</f>
        <v>0</v>
      </c>
      <c r="AG81" s="55" t="s">
        <v>192</v>
      </c>
      <c r="AH81" s="54" t="str">
        <f>IF(Migrationsartikel!AB80="ja","true",FALSE)</f>
        <v>true</v>
      </c>
      <c r="AI81" s="54" t="str">
        <f>IF(Migrationsartikel!AC80="ja","true",FALSE)</f>
        <v>true</v>
      </c>
      <c r="AJ81" s="54" t="str">
        <f>IF(Migrationsartikel!AD80="ja","true",FALSE)</f>
        <v>true</v>
      </c>
      <c r="AK81" s="54" t="str">
        <f>IF(Migrationsartikel!AE80="ja","true",FALSE)</f>
        <v>true</v>
      </c>
      <c r="AL81" s="54" t="str">
        <f>IF(Migrationsartikel!AF80="ja","Denner Partner","")</f>
        <v/>
      </c>
      <c r="AM81" s="54" t="str">
        <f>IF(Migrationsartikel!AG80="ja","true","false")</f>
        <v>false</v>
      </c>
      <c r="AN81" s="54" t="str">
        <f t="shared" si="2"/>
        <v>Kassentastenbelegung (ohne GTIN/PLU)</v>
      </c>
      <c r="AO81" s="66" t="s">
        <v>219</v>
      </c>
      <c r="AP81" s="65" t="s">
        <v>1514</v>
      </c>
      <c r="AQ81" s="66" t="s">
        <v>217</v>
      </c>
      <c r="AR81" s="30" t="s">
        <v>219</v>
      </c>
    </row>
    <row r="82" spans="2:44" ht="21.75" customHeight="1" x14ac:dyDescent="0.45">
      <c r="B82" s="54" t="s">
        <v>99</v>
      </c>
      <c r="E82" s="55" t="s">
        <v>87</v>
      </c>
      <c r="F82" s="54" t="str">
        <f>"Warengruppe&gt;&gt;"&amp;_xlfn.TEXTJOIN("&gt;&gt;",TRUE,Migrationsartikel!V81:X81)</f>
        <v>Warengruppe&gt;&gt;Frische&gt;&gt;Molkereiprodukte &amp; Eier&gt;&gt;Eier</v>
      </c>
      <c r="H82" s="55" t="s">
        <v>109</v>
      </c>
      <c r="J82" s="79">
        <f>Migrationsartikel!B81</f>
        <v>0</v>
      </c>
      <c r="L82" s="54" t="str">
        <f>_xlfn.TEXTJOIN(" ",TRUE,Migrationsartikel!F81:H81)</f>
        <v>Eier aus der Region 1Stk</v>
      </c>
      <c r="M82" s="54" t="str">
        <f>_xlfn.TEXTJOIN(" ",TRUE,Migrationsartikel!J81:L81)</f>
        <v>Oeuf de la région 1pce</v>
      </c>
      <c r="N82" s="54" t="str">
        <f>_xlfn.TEXTJOIN(" ",TRUE,Migrationsartikel!N81:P81)</f>
        <v>Uovo della regione 1pz</v>
      </c>
      <c r="O82" s="54" t="str">
        <f>Migrationsartikel!F81</f>
        <v>Eier</v>
      </c>
      <c r="P82" s="54" t="str">
        <f>Migrationsartikel!J81</f>
        <v>Oeuf</v>
      </c>
      <c r="Q82" s="54" t="str">
        <f>Migrationsartikel!N81</f>
        <v>Uovo</v>
      </c>
      <c r="R82" s="54" t="str">
        <f>_xlfn.TEXTJOIN(" ",TRUE,Migrationsartikel!G81)</f>
        <v>aus der Region</v>
      </c>
      <c r="S82" s="54" t="str">
        <f>_xlfn.TEXTJOIN(" ",TRUE,Migrationsartikel!K81)</f>
        <v>de la région</v>
      </c>
      <c r="T82" s="54" t="str">
        <f>_xlfn.TEXTJOIN(" ",TRUE,Migrationsartikel!O81)</f>
        <v>della regione</v>
      </c>
      <c r="U82" s="54" t="str">
        <f>_xlfn.TEXTJOIN(" ",TRUE,Migrationsartikel!H81)</f>
        <v>1Stk</v>
      </c>
      <c r="V82" s="54" t="str">
        <f>_xlfn.TEXTJOIN(" ",TRUE,Migrationsartikel!L81)</f>
        <v>1pce</v>
      </c>
      <c r="W82" s="54" t="str">
        <f>_xlfn.TEXTJOIN(" ",TRUE,Migrationsartikel!P81)</f>
        <v>1pz</v>
      </c>
      <c r="X82" s="54" t="str">
        <f>Migrationsartikel!I81</f>
        <v>Eier 1Stk</v>
      </c>
      <c r="Y82" s="54" t="str">
        <f>Migrationsartikel!M81</f>
        <v>Oeuf 1pce</v>
      </c>
      <c r="Z82" s="54" t="str">
        <f>Migrationsartikel!Q81</f>
        <v>Uovo 1pz</v>
      </c>
      <c r="AA82" s="63">
        <f>Migrationsartikel!R81</f>
        <v>1</v>
      </c>
      <c r="AB82" s="54" t="str">
        <f>Migrationsartikel!T81</f>
        <v>Stück</v>
      </c>
      <c r="AC82" s="65">
        <f>Migrationsartikel!S81</f>
        <v>1</v>
      </c>
      <c r="AD82" s="54" t="str">
        <f>Migrationsartikel!U81</f>
        <v>(PCE) Stück</v>
      </c>
      <c r="AE82" s="55" t="s">
        <v>179</v>
      </c>
      <c r="AF82" s="67">
        <f>Migrationsartikel!AA81</f>
        <v>0</v>
      </c>
      <c r="AG82" s="55" t="s">
        <v>192</v>
      </c>
      <c r="AH82" s="54" t="str">
        <f>IF(Migrationsartikel!AB81="ja","true",FALSE)</f>
        <v>true</v>
      </c>
      <c r="AI82" s="54" t="str">
        <f>IF(Migrationsartikel!AC81="ja","true",FALSE)</f>
        <v>true</v>
      </c>
      <c r="AJ82" s="54" t="str">
        <f>IF(Migrationsartikel!AD81="ja","true",FALSE)</f>
        <v>true</v>
      </c>
      <c r="AK82" s="54" t="str">
        <f>IF(Migrationsartikel!AE81="ja","true",FALSE)</f>
        <v>true</v>
      </c>
      <c r="AL82" s="54" t="str">
        <f>IF(Migrationsartikel!AF81="ja","Denner Partner","")</f>
        <v/>
      </c>
      <c r="AM82" s="54" t="str">
        <f>IF(Migrationsartikel!AG81="ja","true","false")</f>
        <v>false</v>
      </c>
      <c r="AN82" s="54" t="str">
        <f t="shared" si="2"/>
        <v>Kassentastenbelegung (ohne GTIN/PLU)</v>
      </c>
      <c r="AO82" s="66" t="s">
        <v>219</v>
      </c>
      <c r="AP82" s="65" t="s">
        <v>1515</v>
      </c>
      <c r="AQ82" s="66" t="s">
        <v>217</v>
      </c>
      <c r="AR82" s="30" t="s">
        <v>219</v>
      </c>
    </row>
    <row r="83" spans="2:44" ht="21.75" customHeight="1" x14ac:dyDescent="0.45">
      <c r="B83" s="54" t="s">
        <v>99</v>
      </c>
      <c r="E83" s="55" t="s">
        <v>87</v>
      </c>
      <c r="F83" s="54" t="str">
        <f>"Warengruppe&gt;&gt;"&amp;_xlfn.TEXTJOIN("&gt;&gt;",TRUE,Migrationsartikel!V82:X82)</f>
        <v>Warengruppe&gt;&gt;Frische&gt;&gt;Molkereiprodukte &amp; Eier&gt;&gt;Eier</v>
      </c>
      <c r="H83" s="55" t="s">
        <v>109</v>
      </c>
      <c r="J83" s="79">
        <f>Migrationsartikel!B82</f>
        <v>0</v>
      </c>
      <c r="L83" s="54" t="str">
        <f>_xlfn.TEXTJOIN(" ",TRUE,Migrationsartikel!F82:H82)</f>
        <v>Eier aus der Region 6Stk</v>
      </c>
      <c r="M83" s="54" t="str">
        <f>_xlfn.TEXTJOIN(" ",TRUE,Migrationsartikel!J82:L82)</f>
        <v>Oeufs de la région 6pces</v>
      </c>
      <c r="N83" s="54" t="str">
        <f>_xlfn.TEXTJOIN(" ",TRUE,Migrationsartikel!N82:P82)</f>
        <v>Uova della regione 6pz</v>
      </c>
      <c r="O83" s="54" t="str">
        <f>Migrationsartikel!F82</f>
        <v>Eier</v>
      </c>
      <c r="P83" s="54" t="str">
        <f>Migrationsartikel!J82</f>
        <v>Oeufs</v>
      </c>
      <c r="Q83" s="54" t="str">
        <f>Migrationsartikel!N82</f>
        <v>Uova</v>
      </c>
      <c r="R83" s="54" t="str">
        <f>_xlfn.TEXTJOIN(" ",TRUE,Migrationsartikel!G82)</f>
        <v>aus der Region</v>
      </c>
      <c r="S83" s="54" t="str">
        <f>_xlfn.TEXTJOIN(" ",TRUE,Migrationsartikel!K82)</f>
        <v>de la région</v>
      </c>
      <c r="T83" s="54" t="str">
        <f>_xlfn.TEXTJOIN(" ",TRUE,Migrationsartikel!O82)</f>
        <v>della regione</v>
      </c>
      <c r="U83" s="54" t="str">
        <f>_xlfn.TEXTJOIN(" ",TRUE,Migrationsartikel!H82)</f>
        <v>6Stk</v>
      </c>
      <c r="V83" s="54" t="str">
        <f>_xlfn.TEXTJOIN(" ",TRUE,Migrationsartikel!L82)</f>
        <v>6pces</v>
      </c>
      <c r="W83" s="54" t="str">
        <f>_xlfn.TEXTJOIN(" ",TRUE,Migrationsartikel!P82)</f>
        <v>6pz</v>
      </c>
      <c r="X83" s="54" t="str">
        <f>Migrationsartikel!I82</f>
        <v>Eier 6Stk</v>
      </c>
      <c r="Y83" s="54" t="str">
        <f>Migrationsartikel!M82</f>
        <v>Oeufs 6pces</v>
      </c>
      <c r="Z83" s="54" t="str">
        <f>Migrationsartikel!Q82</f>
        <v>Uova 6pz</v>
      </c>
      <c r="AA83" s="63">
        <f>Migrationsartikel!R82</f>
        <v>6</v>
      </c>
      <c r="AB83" s="54" t="str">
        <f>Migrationsartikel!T82</f>
        <v>Stück</v>
      </c>
      <c r="AC83" s="65">
        <f>Migrationsartikel!S82</f>
        <v>1</v>
      </c>
      <c r="AD83" s="54" t="str">
        <f>Migrationsartikel!U82</f>
        <v>(PCE) Stück</v>
      </c>
      <c r="AE83" s="55" t="s">
        <v>179</v>
      </c>
      <c r="AF83" s="67">
        <f>Migrationsartikel!AA82</f>
        <v>0</v>
      </c>
      <c r="AG83" s="55" t="s">
        <v>192</v>
      </c>
      <c r="AH83" s="54" t="str">
        <f>IF(Migrationsartikel!AB82="ja","true",FALSE)</f>
        <v>true</v>
      </c>
      <c r="AI83" s="54" t="str">
        <f>IF(Migrationsartikel!AC82="ja","true",FALSE)</f>
        <v>true</v>
      </c>
      <c r="AJ83" s="54" t="str">
        <f>IF(Migrationsartikel!AD82="ja","true",FALSE)</f>
        <v>true</v>
      </c>
      <c r="AK83" s="54" t="str">
        <f>IF(Migrationsartikel!AE82="ja","true",FALSE)</f>
        <v>true</v>
      </c>
      <c r="AL83" s="54" t="str">
        <f>IF(Migrationsartikel!AF82="ja","Denner Partner","")</f>
        <v/>
      </c>
      <c r="AM83" s="54" t="str">
        <f>IF(Migrationsartikel!AG82="ja","true","false")</f>
        <v>false</v>
      </c>
      <c r="AN83" s="54" t="str">
        <f t="shared" si="2"/>
        <v>Kassentastenbelegung (ohne GTIN/PLU)</v>
      </c>
      <c r="AO83" s="66" t="s">
        <v>219</v>
      </c>
      <c r="AP83" s="65" t="s">
        <v>1516</v>
      </c>
      <c r="AQ83" s="66" t="s">
        <v>217</v>
      </c>
      <c r="AR83" s="30" t="s">
        <v>219</v>
      </c>
    </row>
    <row r="84" spans="2:44" ht="21.75" customHeight="1" x14ac:dyDescent="0.45">
      <c r="B84" s="54" t="s">
        <v>99</v>
      </c>
      <c r="E84" s="55" t="s">
        <v>87</v>
      </c>
      <c r="F84" s="54" t="str">
        <f>"Warengruppe&gt;&gt;"&amp;_xlfn.TEXTJOIN("&gt;&gt;",TRUE,Migrationsartikel!V83:X83)</f>
        <v>Warengruppe&gt;&gt;Frische&gt;&gt;SB - Fleisch&gt;&gt;SB - Fleisch andere</v>
      </c>
      <c r="H84" s="55" t="s">
        <v>109</v>
      </c>
      <c r="J84" s="79">
        <f>Migrationsartikel!B83</f>
        <v>0</v>
      </c>
      <c r="L84" s="54" t="str">
        <f>_xlfn.TEXTJOIN(" ",TRUE,Migrationsartikel!F83:H83)</f>
        <v>Fleischtheke aus der Region 1Stk</v>
      </c>
      <c r="M84" s="54" t="str">
        <f>_xlfn.TEXTJOIN(" ",TRUE,Migrationsartikel!J83:L83)</f>
        <v>Boucherie de la région 1pce</v>
      </c>
      <c r="N84" s="54" t="str">
        <f>_xlfn.TEXTJOIN(" ",TRUE,Migrationsartikel!N83:P83)</f>
        <v>Banco carni della regione 1pz</v>
      </c>
      <c r="O84" s="54" t="str">
        <f>Migrationsartikel!F83</f>
        <v>Fleischtheke</v>
      </c>
      <c r="P84" s="54" t="str">
        <f>Migrationsartikel!J83</f>
        <v>Boucherie</v>
      </c>
      <c r="Q84" s="54" t="str">
        <f>Migrationsartikel!N83</f>
        <v>Banco carni</v>
      </c>
      <c r="R84" s="54" t="str">
        <f>_xlfn.TEXTJOIN(" ",TRUE,Migrationsartikel!G83)</f>
        <v>aus der Region</v>
      </c>
      <c r="S84" s="54" t="str">
        <f>_xlfn.TEXTJOIN(" ",TRUE,Migrationsartikel!K83)</f>
        <v>de la région</v>
      </c>
      <c r="T84" s="54" t="str">
        <f>_xlfn.TEXTJOIN(" ",TRUE,Migrationsartikel!O83)</f>
        <v>della regione</v>
      </c>
      <c r="U84" s="54" t="str">
        <f>_xlfn.TEXTJOIN(" ",TRUE,Migrationsartikel!H83)</f>
        <v>1Stk</v>
      </c>
      <c r="V84" s="54" t="str">
        <f>_xlfn.TEXTJOIN(" ",TRUE,Migrationsartikel!L83)</f>
        <v>1pce</v>
      </c>
      <c r="W84" s="54" t="str">
        <f>_xlfn.TEXTJOIN(" ",TRUE,Migrationsartikel!P83)</f>
        <v>1pz</v>
      </c>
      <c r="X84" s="54" t="str">
        <f>Migrationsartikel!I83</f>
        <v>Fleischtheke</v>
      </c>
      <c r="Y84" s="54" t="str">
        <f>Migrationsartikel!M83</f>
        <v>Boucherie</v>
      </c>
      <c r="Z84" s="54" t="str">
        <f>Migrationsartikel!Q83</f>
        <v>Banco carni</v>
      </c>
      <c r="AA84" s="63">
        <f>Migrationsartikel!R83</f>
        <v>1</v>
      </c>
      <c r="AB84" s="54" t="str">
        <f>Migrationsartikel!T83</f>
        <v>Stück</v>
      </c>
      <c r="AC84" s="65">
        <f>Migrationsartikel!S83</f>
        <v>1</v>
      </c>
      <c r="AD84" s="54" t="str">
        <f>Migrationsartikel!U83</f>
        <v>(PCE) Stück</v>
      </c>
      <c r="AE84" s="55" t="s">
        <v>179</v>
      </c>
      <c r="AF84" s="67">
        <f>Migrationsartikel!AA83</f>
        <v>0</v>
      </c>
      <c r="AG84" s="55" t="s">
        <v>192</v>
      </c>
      <c r="AH84" s="54" t="str">
        <f>IF(Migrationsartikel!AB83="ja","true",FALSE)</f>
        <v>true</v>
      </c>
      <c r="AI84" s="54" t="str">
        <f>IF(Migrationsartikel!AC83="ja","true",FALSE)</f>
        <v>true</v>
      </c>
      <c r="AJ84" s="54" t="str">
        <f>IF(Migrationsartikel!AD83="ja","true",FALSE)</f>
        <v>true</v>
      </c>
      <c r="AK84" s="54" t="str">
        <f>IF(Migrationsartikel!AE83="ja","true",FALSE)</f>
        <v>true</v>
      </c>
      <c r="AL84" s="54" t="str">
        <f>IF(Migrationsartikel!AF83="ja","Denner Partner","")</f>
        <v/>
      </c>
      <c r="AM84" s="54" t="str">
        <f>IF(Migrationsartikel!AG83="ja","true","false")</f>
        <v>false</v>
      </c>
      <c r="AN84" s="54" t="str">
        <f t="shared" si="2"/>
        <v>Kassentastenbelegung (ohne GTIN/PLU)</v>
      </c>
      <c r="AO84" s="66" t="s">
        <v>219</v>
      </c>
      <c r="AP84" s="65" t="s">
        <v>1517</v>
      </c>
      <c r="AQ84" s="66" t="s">
        <v>217</v>
      </c>
      <c r="AR84" s="30" t="s">
        <v>219</v>
      </c>
    </row>
    <row r="85" spans="2:44" ht="21.75" customHeight="1" x14ac:dyDescent="0.45">
      <c r="B85" s="54" t="s">
        <v>99</v>
      </c>
      <c r="E85" s="55" t="s">
        <v>87</v>
      </c>
      <c r="F85" s="54" t="str">
        <f>"Warengruppe&gt;&gt;"&amp;_xlfn.TEXTJOIN("&gt;&gt;",TRUE,Migrationsartikel!V84:X84)</f>
        <v>Warengruppe&gt;&gt;Frische&gt;&gt;Käse&gt;&gt;Käse</v>
      </c>
      <c r="H85" s="55" t="s">
        <v>109</v>
      </c>
      <c r="J85" s="79">
        <f>Migrationsartikel!B84</f>
        <v>0</v>
      </c>
      <c r="L85" s="54" t="str">
        <f>_xlfn.TEXTJOIN(" ",TRUE,Migrationsartikel!F84:H84)</f>
        <v>Fondue aus der Region 400g</v>
      </c>
      <c r="M85" s="54" t="str">
        <f>_xlfn.TEXTJOIN(" ",TRUE,Migrationsartikel!J84:L84)</f>
        <v>Fondue de la région 400g</v>
      </c>
      <c r="N85" s="54" t="str">
        <f>_xlfn.TEXTJOIN(" ",TRUE,Migrationsartikel!N84:P84)</f>
        <v>Fondue della regione 400g</v>
      </c>
      <c r="O85" s="54" t="str">
        <f>Migrationsartikel!F84</f>
        <v>Fondue</v>
      </c>
      <c r="P85" s="54" t="str">
        <f>Migrationsartikel!J84</f>
        <v>Fondue</v>
      </c>
      <c r="Q85" s="54" t="str">
        <f>Migrationsartikel!N84</f>
        <v>Fondue</v>
      </c>
      <c r="R85" s="54" t="str">
        <f>_xlfn.TEXTJOIN(" ",TRUE,Migrationsartikel!G84)</f>
        <v>aus der Region</v>
      </c>
      <c r="S85" s="54" t="str">
        <f>_xlfn.TEXTJOIN(" ",TRUE,Migrationsartikel!K84)</f>
        <v>de la région</v>
      </c>
      <c r="T85" s="54" t="str">
        <f>_xlfn.TEXTJOIN(" ",TRUE,Migrationsartikel!O84)</f>
        <v>della regione</v>
      </c>
      <c r="U85" s="54" t="str">
        <f>_xlfn.TEXTJOIN(" ",TRUE,Migrationsartikel!H84)</f>
        <v>400g</v>
      </c>
      <c r="V85" s="54" t="str">
        <f>_xlfn.TEXTJOIN(" ",TRUE,Migrationsartikel!L84)</f>
        <v>400g</v>
      </c>
      <c r="W85" s="54" t="str">
        <f>_xlfn.TEXTJOIN(" ",TRUE,Migrationsartikel!P84)</f>
        <v>400g</v>
      </c>
      <c r="X85" s="54" t="str">
        <f>Migrationsartikel!I84</f>
        <v>Fondue 400g</v>
      </c>
      <c r="Y85" s="54" t="str">
        <f>Migrationsartikel!M84</f>
        <v>Fondue 400g</v>
      </c>
      <c r="Z85" s="54" t="str">
        <f>Migrationsartikel!Q84</f>
        <v>Fondue 400g</v>
      </c>
      <c r="AA85" s="63">
        <f>Migrationsartikel!R84</f>
        <v>0.4</v>
      </c>
      <c r="AB85" s="54" t="str">
        <f>Migrationsartikel!T84</f>
        <v>Gramm</v>
      </c>
      <c r="AC85" s="65">
        <f>Migrationsartikel!S84</f>
        <v>100</v>
      </c>
      <c r="AD85" s="54" t="str">
        <f>Migrationsartikel!U84</f>
        <v>(PCE) Stück</v>
      </c>
      <c r="AE85" s="55" t="s">
        <v>179</v>
      </c>
      <c r="AF85" s="67">
        <f>Migrationsartikel!AA84</f>
        <v>0</v>
      </c>
      <c r="AG85" s="55" t="s">
        <v>192</v>
      </c>
      <c r="AH85" s="54" t="str">
        <f>IF(Migrationsartikel!AB84="ja","true",FALSE)</f>
        <v>true</v>
      </c>
      <c r="AI85" s="54" t="str">
        <f>IF(Migrationsartikel!AC84="ja","true",FALSE)</f>
        <v>true</v>
      </c>
      <c r="AJ85" s="54" t="str">
        <f>IF(Migrationsartikel!AD84="ja","true",FALSE)</f>
        <v>true</v>
      </c>
      <c r="AK85" s="54" t="str">
        <f>IF(Migrationsartikel!AE84="ja","true",FALSE)</f>
        <v>true</v>
      </c>
      <c r="AL85" s="54" t="str">
        <f>IF(Migrationsartikel!AF84="ja","Denner Partner","")</f>
        <v/>
      </c>
      <c r="AM85" s="54" t="str">
        <f>IF(Migrationsartikel!AG84="ja","true","false")</f>
        <v>false</v>
      </c>
      <c r="AN85" s="54" t="str">
        <f t="shared" si="2"/>
        <v>Kassentastenbelegung (ohne GTIN/PLU)</v>
      </c>
      <c r="AO85" s="66" t="s">
        <v>219</v>
      </c>
      <c r="AP85" s="65" t="s">
        <v>1518</v>
      </c>
      <c r="AQ85" s="66" t="s">
        <v>217</v>
      </c>
      <c r="AR85" s="30" t="s">
        <v>219</v>
      </c>
    </row>
    <row r="86" spans="2:44" ht="21.75" customHeight="1" x14ac:dyDescent="0.45">
      <c r="B86" s="54" t="s">
        <v>99</v>
      </c>
      <c r="E86" s="55" t="s">
        <v>87</v>
      </c>
      <c r="F86" s="54" t="str">
        <f>"Warengruppe&gt;&gt;"&amp;_xlfn.TEXTJOIN("&gt;&gt;",TRUE,Migrationsartikel!V85:X85)</f>
        <v>Warengruppe&gt;&gt;Frische&gt;&gt;Käse&gt;&gt;Käse</v>
      </c>
      <c r="H86" s="55" t="s">
        <v>109</v>
      </c>
      <c r="J86" s="79">
        <f>Migrationsartikel!B85</f>
        <v>0</v>
      </c>
      <c r="L86" s="54" t="str">
        <f>_xlfn.TEXTJOIN(" ",TRUE,Migrationsartikel!F85:H85)</f>
        <v>Fondue aus der Region 600g</v>
      </c>
      <c r="M86" s="54" t="str">
        <f>_xlfn.TEXTJOIN(" ",TRUE,Migrationsartikel!J85:L85)</f>
        <v>Fondue de la région 600g</v>
      </c>
      <c r="N86" s="54" t="str">
        <f>_xlfn.TEXTJOIN(" ",TRUE,Migrationsartikel!N85:P85)</f>
        <v>Fondue della regione 600g</v>
      </c>
      <c r="O86" s="54" t="str">
        <f>Migrationsartikel!F85</f>
        <v>Fondue</v>
      </c>
      <c r="P86" s="54" t="str">
        <f>Migrationsartikel!J85</f>
        <v>Fondue</v>
      </c>
      <c r="Q86" s="54" t="str">
        <f>Migrationsartikel!N85</f>
        <v>Fondue</v>
      </c>
      <c r="R86" s="54" t="str">
        <f>_xlfn.TEXTJOIN(" ",TRUE,Migrationsartikel!G85)</f>
        <v>aus der Region</v>
      </c>
      <c r="S86" s="54" t="str">
        <f>_xlfn.TEXTJOIN(" ",TRUE,Migrationsartikel!K85)</f>
        <v>de la région</v>
      </c>
      <c r="T86" s="54" t="str">
        <f>_xlfn.TEXTJOIN(" ",TRUE,Migrationsartikel!O85)</f>
        <v>della regione</v>
      </c>
      <c r="U86" s="54" t="str">
        <f>_xlfn.TEXTJOIN(" ",TRUE,Migrationsartikel!H85)</f>
        <v>600g</v>
      </c>
      <c r="V86" s="54" t="str">
        <f>_xlfn.TEXTJOIN(" ",TRUE,Migrationsartikel!L85)</f>
        <v>600g</v>
      </c>
      <c r="W86" s="54" t="str">
        <f>_xlfn.TEXTJOIN(" ",TRUE,Migrationsartikel!P85)</f>
        <v>600g</v>
      </c>
      <c r="X86" s="54" t="str">
        <f>Migrationsartikel!I85</f>
        <v>Fondue 600g</v>
      </c>
      <c r="Y86" s="54" t="str">
        <f>Migrationsartikel!M85</f>
        <v>Fondue 600g</v>
      </c>
      <c r="Z86" s="54" t="str">
        <f>Migrationsartikel!Q85</f>
        <v>Fondue 600g</v>
      </c>
      <c r="AA86" s="63">
        <f>Migrationsartikel!R85</f>
        <v>0.6</v>
      </c>
      <c r="AB86" s="54" t="str">
        <f>Migrationsartikel!T85</f>
        <v>Gramm</v>
      </c>
      <c r="AC86" s="65">
        <f>Migrationsartikel!S85</f>
        <v>100</v>
      </c>
      <c r="AD86" s="54" t="str">
        <f>Migrationsartikel!U85</f>
        <v>(PCE) Stück</v>
      </c>
      <c r="AE86" s="55" t="s">
        <v>179</v>
      </c>
      <c r="AF86" s="67">
        <f>Migrationsartikel!AA85</f>
        <v>0</v>
      </c>
      <c r="AG86" s="55" t="s">
        <v>192</v>
      </c>
      <c r="AH86" s="54" t="str">
        <f>IF(Migrationsartikel!AB85="ja","true",FALSE)</f>
        <v>true</v>
      </c>
      <c r="AI86" s="54" t="str">
        <f>IF(Migrationsartikel!AC85="ja","true",FALSE)</f>
        <v>true</v>
      </c>
      <c r="AJ86" s="54" t="str">
        <f>IF(Migrationsartikel!AD85="ja","true",FALSE)</f>
        <v>true</v>
      </c>
      <c r="AK86" s="54" t="str">
        <f>IF(Migrationsartikel!AE85="ja","true",FALSE)</f>
        <v>true</v>
      </c>
      <c r="AL86" s="54" t="str">
        <f>IF(Migrationsartikel!AF85="ja","Denner Partner","")</f>
        <v/>
      </c>
      <c r="AM86" s="54" t="str">
        <f>IF(Migrationsartikel!AG85="ja","true","false")</f>
        <v>false</v>
      </c>
      <c r="AN86" s="54" t="str">
        <f t="shared" si="2"/>
        <v>Kassentastenbelegung (ohne GTIN/PLU)</v>
      </c>
      <c r="AO86" s="66" t="s">
        <v>219</v>
      </c>
      <c r="AP86" s="65" t="s">
        <v>1519</v>
      </c>
      <c r="AQ86" s="66" t="s">
        <v>217</v>
      </c>
      <c r="AR86" s="30" t="s">
        <v>219</v>
      </c>
    </row>
    <row r="87" spans="2:44" ht="21.75" customHeight="1" x14ac:dyDescent="0.45">
      <c r="B87" s="54" t="s">
        <v>99</v>
      </c>
      <c r="E87" s="55" t="s">
        <v>87</v>
      </c>
      <c r="F87" s="54" t="str">
        <f>"Warengruppe&gt;&gt;"&amp;_xlfn.TEXTJOIN("&gt;&gt;",TRUE,Migrationsartikel!V86:X86)</f>
        <v>Warengruppe&gt;&gt;Frische&gt;&gt;Käse&gt;&gt;Käse</v>
      </c>
      <c r="H87" s="55" t="s">
        <v>109</v>
      </c>
      <c r="J87" s="79">
        <f>Migrationsartikel!B86</f>
        <v>0</v>
      </c>
      <c r="L87" s="54" t="str">
        <f>_xlfn.TEXTJOIN(" ",TRUE,Migrationsartikel!F86:H86)</f>
        <v>Fondue aus der Region 800g</v>
      </c>
      <c r="M87" s="54" t="str">
        <f>_xlfn.TEXTJOIN(" ",TRUE,Migrationsartikel!J86:L86)</f>
        <v>Fondue de la région 800g</v>
      </c>
      <c r="N87" s="54" t="str">
        <f>_xlfn.TEXTJOIN(" ",TRUE,Migrationsartikel!N86:P86)</f>
        <v>Fondue della regione 800g</v>
      </c>
      <c r="O87" s="54" t="str">
        <f>Migrationsartikel!F86</f>
        <v>Fondue</v>
      </c>
      <c r="P87" s="54" t="str">
        <f>Migrationsartikel!J86</f>
        <v>Fondue</v>
      </c>
      <c r="Q87" s="54" t="str">
        <f>Migrationsartikel!N86</f>
        <v>Fondue</v>
      </c>
      <c r="R87" s="54" t="str">
        <f>_xlfn.TEXTJOIN(" ",TRUE,Migrationsartikel!G86)</f>
        <v>aus der Region</v>
      </c>
      <c r="S87" s="54" t="str">
        <f>_xlfn.TEXTJOIN(" ",TRUE,Migrationsartikel!K86)</f>
        <v>de la région</v>
      </c>
      <c r="T87" s="54" t="str">
        <f>_xlfn.TEXTJOIN(" ",TRUE,Migrationsartikel!O86)</f>
        <v>della regione</v>
      </c>
      <c r="U87" s="54" t="str">
        <f>_xlfn.TEXTJOIN(" ",TRUE,Migrationsartikel!H86)</f>
        <v>800g</v>
      </c>
      <c r="V87" s="54" t="str">
        <f>_xlfn.TEXTJOIN(" ",TRUE,Migrationsartikel!L86)</f>
        <v>800g</v>
      </c>
      <c r="W87" s="54" t="str">
        <f>_xlfn.TEXTJOIN(" ",TRUE,Migrationsartikel!P86)</f>
        <v>800g</v>
      </c>
      <c r="X87" s="54" t="str">
        <f>Migrationsartikel!I86</f>
        <v>Fondue 800g</v>
      </c>
      <c r="Y87" s="54" t="str">
        <f>Migrationsartikel!M86</f>
        <v>Fondue 800g</v>
      </c>
      <c r="Z87" s="54" t="str">
        <f>Migrationsartikel!Q86</f>
        <v>Fondue 800g</v>
      </c>
      <c r="AA87" s="63">
        <f>Migrationsartikel!R86</f>
        <v>0.8</v>
      </c>
      <c r="AB87" s="54" t="str">
        <f>Migrationsartikel!T86</f>
        <v>Gramm</v>
      </c>
      <c r="AC87" s="65">
        <f>Migrationsartikel!S86</f>
        <v>100</v>
      </c>
      <c r="AD87" s="54" t="str">
        <f>Migrationsartikel!U86</f>
        <v>(PCE) Stück</v>
      </c>
      <c r="AE87" s="55" t="s">
        <v>179</v>
      </c>
      <c r="AF87" s="67">
        <f>Migrationsartikel!AA86</f>
        <v>0</v>
      </c>
      <c r="AG87" s="55" t="s">
        <v>192</v>
      </c>
      <c r="AH87" s="54" t="str">
        <f>IF(Migrationsartikel!AB86="ja","true",FALSE)</f>
        <v>true</v>
      </c>
      <c r="AI87" s="54" t="str">
        <f>IF(Migrationsartikel!AC86="ja","true",FALSE)</f>
        <v>true</v>
      </c>
      <c r="AJ87" s="54" t="str">
        <f>IF(Migrationsartikel!AD86="ja","true",FALSE)</f>
        <v>true</v>
      </c>
      <c r="AK87" s="54" t="str">
        <f>IF(Migrationsartikel!AE86="ja","true",FALSE)</f>
        <v>true</v>
      </c>
      <c r="AL87" s="54" t="str">
        <f>IF(Migrationsartikel!AF86="ja","Denner Partner","")</f>
        <v/>
      </c>
      <c r="AM87" s="54" t="str">
        <f>IF(Migrationsartikel!AG86="ja","true","false")</f>
        <v>false</v>
      </c>
      <c r="AN87" s="54" t="str">
        <f t="shared" si="2"/>
        <v>Kassentastenbelegung (ohne GTIN/PLU)</v>
      </c>
      <c r="AO87" s="66" t="s">
        <v>219</v>
      </c>
      <c r="AP87" s="65" t="s">
        <v>1520</v>
      </c>
      <c r="AQ87" s="66" t="s">
        <v>217</v>
      </c>
      <c r="AR87" s="30" t="s">
        <v>219</v>
      </c>
    </row>
    <row r="88" spans="2:44" ht="21.75" customHeight="1" x14ac:dyDescent="0.45">
      <c r="B88" s="54" t="s">
        <v>99</v>
      </c>
      <c r="E88" s="55" t="s">
        <v>87</v>
      </c>
      <c r="F88" s="54" t="str">
        <f>"Warengruppe&gt;&gt;"&amp;_xlfn.TEXTJOIN("&gt;&gt;",TRUE,Migrationsartikel!V87:X87)</f>
        <v>Warengruppe&gt;&gt;Frische&gt;&gt;Käse&gt;&gt;Käse</v>
      </c>
      <c r="H88" s="55" t="s">
        <v>109</v>
      </c>
      <c r="J88" s="79">
        <f>Migrationsartikel!B87</f>
        <v>837</v>
      </c>
      <c r="L88" s="54" t="str">
        <f>_xlfn.TEXTJOIN(" ",TRUE,Migrationsartikel!F87:H87)</f>
        <v>Frischkäse aus der Region 2Stk</v>
      </c>
      <c r="M88" s="54" t="str">
        <f>_xlfn.TEXTJOIN(" ",TRUE,Migrationsartikel!J87:L87)</f>
        <v>Fromage frais de la région 2pces</v>
      </c>
      <c r="N88" s="54" t="str">
        <f>_xlfn.TEXTJOIN(" ",TRUE,Migrationsartikel!N87:P87)</f>
        <v>Formaggini freschi della regione 2pz</v>
      </c>
      <c r="O88" s="54" t="str">
        <f>Migrationsartikel!F87</f>
        <v>Frischkäse</v>
      </c>
      <c r="P88" s="54" t="str">
        <f>Migrationsartikel!J87</f>
        <v>Fromage frais</v>
      </c>
      <c r="Q88" s="54" t="str">
        <f>Migrationsartikel!N87</f>
        <v>Formaggini freschi</v>
      </c>
      <c r="R88" s="54" t="str">
        <f>_xlfn.TEXTJOIN(" ",TRUE,Migrationsartikel!G87)</f>
        <v>aus der Region</v>
      </c>
      <c r="S88" s="54" t="str">
        <f>_xlfn.TEXTJOIN(" ",TRUE,Migrationsartikel!K87)</f>
        <v>de la région</v>
      </c>
      <c r="T88" s="54" t="str">
        <f>_xlfn.TEXTJOIN(" ",TRUE,Migrationsartikel!O87)</f>
        <v>della regione</v>
      </c>
      <c r="U88" s="54" t="str">
        <f>_xlfn.TEXTJOIN(" ",TRUE,Migrationsartikel!H87)</f>
        <v>2Stk</v>
      </c>
      <c r="V88" s="54" t="str">
        <f>_xlfn.TEXTJOIN(" ",TRUE,Migrationsartikel!L87)</f>
        <v>2pces</v>
      </c>
      <c r="W88" s="54" t="str">
        <f>_xlfn.TEXTJOIN(" ",TRUE,Migrationsartikel!P87)</f>
        <v>2pz</v>
      </c>
      <c r="X88" s="54" t="str">
        <f>Migrationsartikel!I87</f>
        <v>Frischkäse 2Stk</v>
      </c>
      <c r="Y88" s="54" t="str">
        <f>Migrationsartikel!M87</f>
        <v>Fromage frais 2pces</v>
      </c>
      <c r="Z88" s="54" t="str">
        <f>Migrationsartikel!Q87</f>
        <v>Formaggini freschi 2pz</v>
      </c>
      <c r="AA88" s="63">
        <f>Migrationsartikel!R87</f>
        <v>2</v>
      </c>
      <c r="AB88" s="54" t="str">
        <f>Migrationsartikel!T87</f>
        <v>Gramm</v>
      </c>
      <c r="AC88" s="65">
        <f>Migrationsartikel!S87</f>
        <v>100</v>
      </c>
      <c r="AD88" s="54" t="str">
        <f>Migrationsartikel!U87</f>
        <v>(PCE) Stück</v>
      </c>
      <c r="AE88" s="55" t="s">
        <v>179</v>
      </c>
      <c r="AF88" s="67">
        <f>Migrationsartikel!AA87</f>
        <v>0</v>
      </c>
      <c r="AG88" s="55" t="s">
        <v>192</v>
      </c>
      <c r="AH88" s="54" t="str">
        <f>IF(Migrationsartikel!AB87="ja","true",FALSE)</f>
        <v>true</v>
      </c>
      <c r="AI88" s="54" t="str">
        <f>IF(Migrationsartikel!AC87="ja","true",FALSE)</f>
        <v>true</v>
      </c>
      <c r="AJ88" s="54" t="str">
        <f>IF(Migrationsartikel!AD87="ja","true",FALSE)</f>
        <v>true</v>
      </c>
      <c r="AK88" s="54" t="str">
        <f>IF(Migrationsartikel!AE87="ja","true",FALSE)</f>
        <v>true</v>
      </c>
      <c r="AL88" s="54" t="str">
        <f>IF(Migrationsartikel!AF87="ja","Denner Partner","")</f>
        <v/>
      </c>
      <c r="AM88" s="54" t="str">
        <f>IF(Migrationsartikel!AG87="ja","true","false")</f>
        <v>false</v>
      </c>
      <c r="AN88" s="54" t="str">
        <f t="shared" si="2"/>
        <v>PLU</v>
      </c>
      <c r="AO88" s="66" t="s">
        <v>219</v>
      </c>
      <c r="AP88" s="65" t="s">
        <v>1521</v>
      </c>
      <c r="AQ88" s="66" t="s">
        <v>217</v>
      </c>
      <c r="AR88" s="30" t="s">
        <v>219</v>
      </c>
    </row>
    <row r="89" spans="2:44" ht="21.75" customHeight="1" x14ac:dyDescent="0.45">
      <c r="B89" s="54" t="s">
        <v>99</v>
      </c>
      <c r="E89" s="55" t="s">
        <v>87</v>
      </c>
      <c r="F89" s="54" t="str">
        <f>"Warengruppe&gt;&gt;"&amp;_xlfn.TEXTJOIN("&gt;&gt;",TRUE,Migrationsartikel!V88:X88)</f>
        <v>Warengruppe&gt;&gt;Frische&gt;&gt;Käse&gt;&gt;Käse</v>
      </c>
      <c r="H89" s="55" t="s">
        <v>109</v>
      </c>
      <c r="J89" s="79">
        <f>Migrationsartikel!B88</f>
        <v>838</v>
      </c>
      <c r="L89" s="54" t="str">
        <f>_xlfn.TEXTJOIN(" ",TRUE,Migrationsartikel!F88:H88)</f>
        <v>Gruyère aus der Region 1Stk</v>
      </c>
      <c r="M89" s="54" t="str">
        <f>_xlfn.TEXTJOIN(" ",TRUE,Migrationsartikel!J88:L88)</f>
        <v>Gruyère de la région 1pce</v>
      </c>
      <c r="N89" s="54" t="str">
        <f>_xlfn.TEXTJOIN(" ",TRUE,Migrationsartikel!N88:P88)</f>
        <v>Gruyère della regione 1pz</v>
      </c>
      <c r="O89" s="54" t="str">
        <f>Migrationsartikel!F88</f>
        <v>Gruyère</v>
      </c>
      <c r="P89" s="54" t="str">
        <f>Migrationsartikel!J88</f>
        <v>Gruyère</v>
      </c>
      <c r="Q89" s="54" t="str">
        <f>Migrationsartikel!N88</f>
        <v>Gruyère</v>
      </c>
      <c r="R89" s="54" t="str">
        <f>_xlfn.TEXTJOIN(" ",TRUE,Migrationsartikel!G88)</f>
        <v>aus der Region</v>
      </c>
      <c r="S89" s="54" t="str">
        <f>_xlfn.TEXTJOIN(" ",TRUE,Migrationsartikel!K88)</f>
        <v>de la région</v>
      </c>
      <c r="T89" s="54" t="str">
        <f>_xlfn.TEXTJOIN(" ",TRUE,Migrationsartikel!O88)</f>
        <v>della regione</v>
      </c>
      <c r="U89" s="54" t="str">
        <f>_xlfn.TEXTJOIN(" ",TRUE,Migrationsartikel!H88)</f>
        <v>1Stk</v>
      </c>
      <c r="V89" s="54" t="str">
        <f>_xlfn.TEXTJOIN(" ",TRUE,Migrationsartikel!L88)</f>
        <v>1pce</v>
      </c>
      <c r="W89" s="54" t="str">
        <f>_xlfn.TEXTJOIN(" ",TRUE,Migrationsartikel!P88)</f>
        <v>1pz</v>
      </c>
      <c r="X89" s="54" t="str">
        <f>Migrationsartikel!I88</f>
        <v>Gruyère</v>
      </c>
      <c r="Y89" s="54" t="str">
        <f>Migrationsartikel!M88</f>
        <v>Gruyère</v>
      </c>
      <c r="Z89" s="54" t="str">
        <f>Migrationsartikel!Q88</f>
        <v>Gruyère</v>
      </c>
      <c r="AA89" s="63">
        <f>Migrationsartikel!R88</f>
        <v>1</v>
      </c>
      <c r="AB89" s="54" t="str">
        <f>Migrationsartikel!T88</f>
        <v>Gramm</v>
      </c>
      <c r="AC89" s="65">
        <f>Migrationsartikel!S88</f>
        <v>100</v>
      </c>
      <c r="AD89" s="54" t="str">
        <f>Migrationsartikel!U88</f>
        <v>(PCE) Stück</v>
      </c>
      <c r="AE89" s="55" t="s">
        <v>179</v>
      </c>
      <c r="AF89" s="67">
        <f>Migrationsartikel!AA88</f>
        <v>0</v>
      </c>
      <c r="AG89" s="55" t="s">
        <v>192</v>
      </c>
      <c r="AH89" s="54" t="str">
        <f>IF(Migrationsartikel!AB88="ja","true",FALSE)</f>
        <v>true</v>
      </c>
      <c r="AI89" s="54" t="str">
        <f>IF(Migrationsartikel!AC88="ja","true",FALSE)</f>
        <v>true</v>
      </c>
      <c r="AJ89" s="54" t="str">
        <f>IF(Migrationsartikel!AD88="ja","true",FALSE)</f>
        <v>true</v>
      </c>
      <c r="AK89" s="54" t="str">
        <f>IF(Migrationsartikel!AE88="ja","true",FALSE)</f>
        <v>true</v>
      </c>
      <c r="AL89" s="54" t="str">
        <f>IF(Migrationsartikel!AF88="ja","Denner Partner","")</f>
        <v/>
      </c>
      <c r="AM89" s="54" t="str">
        <f>IF(Migrationsartikel!AG88="ja","true","false")</f>
        <v>false</v>
      </c>
      <c r="AN89" s="54" t="str">
        <f t="shared" si="2"/>
        <v>PLU</v>
      </c>
      <c r="AO89" s="66" t="s">
        <v>219</v>
      </c>
      <c r="AP89" s="65" t="s">
        <v>1522</v>
      </c>
      <c r="AQ89" s="66" t="s">
        <v>217</v>
      </c>
      <c r="AR89" s="30" t="s">
        <v>219</v>
      </c>
    </row>
    <row r="90" spans="2:44" ht="21.75" customHeight="1" x14ac:dyDescent="0.45">
      <c r="B90" s="54" t="s">
        <v>99</v>
      </c>
      <c r="E90" s="55" t="s">
        <v>87</v>
      </c>
      <c r="F90" s="54" t="str">
        <f>"Warengruppe&gt;&gt;"&amp;_xlfn.TEXTJOIN("&gt;&gt;",TRUE,Migrationsartikel!V89:X89)</f>
        <v>Warengruppe&gt;&gt;Frische&gt;&gt;Fleisch- und Wurstwaren&gt;&gt;Wurstwaren</v>
      </c>
      <c r="H90" s="55" t="s">
        <v>109</v>
      </c>
      <c r="J90" s="79">
        <f>Migrationsartikel!B89</f>
        <v>863</v>
      </c>
      <c r="L90" s="54" t="str">
        <f>_xlfn.TEXTJOIN(" ",TRUE,Migrationsartikel!F89:H89)</f>
        <v>Hauswurst aus der Region 2Stk</v>
      </c>
      <c r="M90" s="54" t="str">
        <f>_xlfn.TEXTJOIN(" ",TRUE,Migrationsartikel!J89:L89)</f>
        <v>Saucisse de la région 2pces</v>
      </c>
      <c r="N90" s="54" t="str">
        <f>_xlfn.TEXTJOIN(" ",TRUE,Migrationsartikel!N89:P89)</f>
        <v>Salsiccia della regione 2pz</v>
      </c>
      <c r="O90" s="54" t="str">
        <f>Migrationsartikel!F89</f>
        <v>Hauswurst</v>
      </c>
      <c r="P90" s="54" t="str">
        <f>Migrationsartikel!J89</f>
        <v>Saucisse</v>
      </c>
      <c r="Q90" s="54" t="str">
        <f>Migrationsartikel!N89</f>
        <v>Salsiccia</v>
      </c>
      <c r="R90" s="54" t="str">
        <f>_xlfn.TEXTJOIN(" ",TRUE,Migrationsartikel!G89)</f>
        <v>aus der Region</v>
      </c>
      <c r="S90" s="54" t="str">
        <f>_xlfn.TEXTJOIN(" ",TRUE,Migrationsartikel!K89)</f>
        <v>de la région</v>
      </c>
      <c r="T90" s="54" t="str">
        <f>_xlfn.TEXTJOIN(" ",TRUE,Migrationsartikel!O89)</f>
        <v>della regione</v>
      </c>
      <c r="U90" s="54" t="str">
        <f>_xlfn.TEXTJOIN(" ",TRUE,Migrationsartikel!H89)</f>
        <v>2Stk</v>
      </c>
      <c r="V90" s="54" t="str">
        <f>_xlfn.TEXTJOIN(" ",TRUE,Migrationsartikel!L89)</f>
        <v>2pces</v>
      </c>
      <c r="W90" s="54" t="str">
        <f>_xlfn.TEXTJOIN(" ",TRUE,Migrationsartikel!P89)</f>
        <v>2pz</v>
      </c>
      <c r="X90" s="54" t="str">
        <f>Migrationsartikel!I89</f>
        <v>Hauswurst 2Stk</v>
      </c>
      <c r="Y90" s="54" t="str">
        <f>Migrationsartikel!M89</f>
        <v>Saucisse 2pces</v>
      </c>
      <c r="Z90" s="54" t="str">
        <f>Migrationsartikel!Q89</f>
        <v>Salsiccia 2pz</v>
      </c>
      <c r="AA90" s="63">
        <f>Migrationsartikel!R89</f>
        <v>2</v>
      </c>
      <c r="AB90" s="54" t="str">
        <f>Migrationsartikel!T89</f>
        <v>Gramm</v>
      </c>
      <c r="AC90" s="65">
        <f>Migrationsartikel!S89</f>
        <v>100</v>
      </c>
      <c r="AD90" s="54" t="str">
        <f>Migrationsartikel!U89</f>
        <v>(PCE) Stück</v>
      </c>
      <c r="AE90" s="55" t="s">
        <v>179</v>
      </c>
      <c r="AF90" s="67">
        <f>Migrationsartikel!AA89</f>
        <v>0</v>
      </c>
      <c r="AG90" s="55" t="s">
        <v>192</v>
      </c>
      <c r="AH90" s="54" t="str">
        <f>IF(Migrationsartikel!AB89="ja","true",FALSE)</f>
        <v>true</v>
      </c>
      <c r="AI90" s="54" t="str">
        <f>IF(Migrationsartikel!AC89="ja","true",FALSE)</f>
        <v>true</v>
      </c>
      <c r="AJ90" s="54" t="str">
        <f>IF(Migrationsartikel!AD89="ja","true",FALSE)</f>
        <v>true</v>
      </c>
      <c r="AK90" s="54" t="str">
        <f>IF(Migrationsartikel!AE89="ja","true",FALSE)</f>
        <v>true</v>
      </c>
      <c r="AL90" s="54" t="str">
        <f>IF(Migrationsartikel!AF89="ja","Denner Partner","")</f>
        <v/>
      </c>
      <c r="AM90" s="54" t="str">
        <f>IF(Migrationsartikel!AG89="ja","true","false")</f>
        <v>false</v>
      </c>
      <c r="AN90" s="54" t="str">
        <f t="shared" si="2"/>
        <v>PLU</v>
      </c>
      <c r="AO90" s="66" t="s">
        <v>219</v>
      </c>
      <c r="AP90" s="65" t="s">
        <v>1523</v>
      </c>
      <c r="AQ90" s="66" t="s">
        <v>217</v>
      </c>
      <c r="AR90" s="30" t="s">
        <v>219</v>
      </c>
    </row>
    <row r="91" spans="2:44" ht="21.75" customHeight="1" x14ac:dyDescent="0.45">
      <c r="B91" s="54" t="s">
        <v>99</v>
      </c>
      <c r="E91" s="55" t="s">
        <v>87</v>
      </c>
      <c r="F91" s="54" t="str">
        <f>"Warengruppe&gt;&gt;"&amp;_xlfn.TEXTJOIN("&gt;&gt;",TRUE,Migrationsartikel!V90:X90)</f>
        <v>Warengruppe&gt;&gt;Frische&gt;&gt;Molkereiprodukte &amp; Eier&gt;&gt;Milchprodukte</v>
      </c>
      <c r="H91" s="55" t="s">
        <v>109</v>
      </c>
      <c r="J91" s="79">
        <f>Migrationsartikel!B90</f>
        <v>0</v>
      </c>
      <c r="L91" s="54" t="str">
        <f>_xlfn.TEXTJOIN(" ",TRUE,Migrationsartikel!F90:H90)</f>
        <v>Jogurt aus der Region 130g</v>
      </c>
      <c r="M91" s="54" t="str">
        <f>_xlfn.TEXTJOIN(" ",TRUE,Migrationsartikel!J90:L90)</f>
        <v>Yogourt de la région 130g</v>
      </c>
      <c r="N91" s="54" t="str">
        <f>_xlfn.TEXTJOIN(" ",TRUE,Migrationsartikel!N90:P90)</f>
        <v>Yogourt della regione 130g</v>
      </c>
      <c r="O91" s="54" t="str">
        <f>Migrationsartikel!F90</f>
        <v>Jogurt</v>
      </c>
      <c r="P91" s="54" t="str">
        <f>Migrationsartikel!J90</f>
        <v>Yogourt</v>
      </c>
      <c r="Q91" s="54" t="str">
        <f>Migrationsartikel!N90</f>
        <v>Yogourt</v>
      </c>
      <c r="R91" s="54" t="str">
        <f>_xlfn.TEXTJOIN(" ",TRUE,Migrationsartikel!G90)</f>
        <v>aus der Region</v>
      </c>
      <c r="S91" s="54" t="str">
        <f>_xlfn.TEXTJOIN(" ",TRUE,Migrationsartikel!K90)</f>
        <v>de la région</v>
      </c>
      <c r="T91" s="54" t="str">
        <f>_xlfn.TEXTJOIN(" ",TRUE,Migrationsartikel!O90)</f>
        <v>della regione</v>
      </c>
      <c r="U91" s="54" t="str">
        <f>_xlfn.TEXTJOIN(" ",TRUE,Migrationsartikel!H90)</f>
        <v>130g</v>
      </c>
      <c r="V91" s="54" t="str">
        <f>_xlfn.TEXTJOIN(" ",TRUE,Migrationsartikel!L90)</f>
        <v>130g</v>
      </c>
      <c r="W91" s="54" t="str">
        <f>_xlfn.TEXTJOIN(" ",TRUE,Migrationsartikel!P90)</f>
        <v>130g</v>
      </c>
      <c r="X91" s="54" t="str">
        <f>Migrationsartikel!I90</f>
        <v>Jogurt 130g</v>
      </c>
      <c r="Y91" s="54" t="str">
        <f>Migrationsartikel!M90</f>
        <v>Yogourt 130g</v>
      </c>
      <c r="Z91" s="54" t="str">
        <f>Migrationsartikel!Q90</f>
        <v>Yogourt 130g</v>
      </c>
      <c r="AA91" s="63">
        <f>Migrationsartikel!R90</f>
        <v>0.13</v>
      </c>
      <c r="AB91" s="54" t="str">
        <f>Migrationsartikel!T90</f>
        <v>Gramm</v>
      </c>
      <c r="AC91" s="65">
        <f>Migrationsartikel!S90</f>
        <v>100</v>
      </c>
      <c r="AD91" s="54" t="str">
        <f>Migrationsartikel!U90</f>
        <v>(PCE) Stück</v>
      </c>
      <c r="AE91" s="55" t="s">
        <v>179</v>
      </c>
      <c r="AF91" s="67">
        <f>Migrationsartikel!AA90</f>
        <v>0</v>
      </c>
      <c r="AG91" s="55" t="s">
        <v>192</v>
      </c>
      <c r="AH91" s="54" t="str">
        <f>IF(Migrationsartikel!AB90="ja","true",FALSE)</f>
        <v>true</v>
      </c>
      <c r="AI91" s="54" t="str">
        <f>IF(Migrationsartikel!AC90="ja","true",FALSE)</f>
        <v>true</v>
      </c>
      <c r="AJ91" s="54" t="str">
        <f>IF(Migrationsartikel!AD90="ja","true",FALSE)</f>
        <v>true</v>
      </c>
      <c r="AK91" s="54" t="str">
        <f>IF(Migrationsartikel!AE90="ja","true",FALSE)</f>
        <v>true</v>
      </c>
      <c r="AL91" s="54" t="str">
        <f>IF(Migrationsartikel!AF90="ja","Denner Partner","")</f>
        <v/>
      </c>
      <c r="AM91" s="54" t="str">
        <f>IF(Migrationsartikel!AG90="ja","true","false")</f>
        <v>false</v>
      </c>
      <c r="AN91" s="54" t="str">
        <f t="shared" si="2"/>
        <v>Kassentastenbelegung (ohne GTIN/PLU)</v>
      </c>
      <c r="AO91" s="66" t="s">
        <v>219</v>
      </c>
      <c r="AP91" s="65" t="s">
        <v>1524</v>
      </c>
      <c r="AQ91" s="66" t="s">
        <v>217</v>
      </c>
      <c r="AR91" s="30" t="s">
        <v>219</v>
      </c>
    </row>
    <row r="92" spans="2:44" ht="21.75" customHeight="1" x14ac:dyDescent="0.45">
      <c r="B92" s="54" t="s">
        <v>99</v>
      </c>
      <c r="E92" s="55" t="s">
        <v>87</v>
      </c>
      <c r="F92" s="54" t="str">
        <f>"Warengruppe&gt;&gt;"&amp;_xlfn.TEXTJOIN("&gt;&gt;",TRUE,Migrationsartikel!V91:X91)</f>
        <v>Warengruppe&gt;&gt;Frische&gt;&gt;Molkereiprodukte &amp; Eier&gt;&gt;Milchprodukte</v>
      </c>
      <c r="H92" s="55" t="s">
        <v>109</v>
      </c>
      <c r="J92" s="79">
        <f>Migrationsartikel!B91</f>
        <v>0</v>
      </c>
      <c r="L92" s="54" t="str">
        <f>_xlfn.TEXTJOIN(" ",TRUE,Migrationsartikel!F91:H91)</f>
        <v>Jogurt aus der Region 150g</v>
      </c>
      <c r="M92" s="54" t="str">
        <f>_xlfn.TEXTJOIN(" ",TRUE,Migrationsartikel!J91:L91)</f>
        <v>Yogourt de la région 150g</v>
      </c>
      <c r="N92" s="54" t="str">
        <f>_xlfn.TEXTJOIN(" ",TRUE,Migrationsartikel!N91:P91)</f>
        <v>Yogourt della regione 150g</v>
      </c>
      <c r="O92" s="54" t="str">
        <f>Migrationsartikel!F91</f>
        <v>Jogurt</v>
      </c>
      <c r="P92" s="54" t="str">
        <f>Migrationsartikel!J91</f>
        <v>Yogourt</v>
      </c>
      <c r="Q92" s="54" t="str">
        <f>Migrationsartikel!N91</f>
        <v>Yogourt</v>
      </c>
      <c r="R92" s="54" t="str">
        <f>_xlfn.TEXTJOIN(" ",TRUE,Migrationsartikel!G91)</f>
        <v>aus der Region</v>
      </c>
      <c r="S92" s="54" t="str">
        <f>_xlfn.TEXTJOIN(" ",TRUE,Migrationsartikel!K91)</f>
        <v>de la région</v>
      </c>
      <c r="T92" s="54" t="str">
        <f>_xlfn.TEXTJOIN(" ",TRUE,Migrationsartikel!O91)</f>
        <v>della regione</v>
      </c>
      <c r="U92" s="54" t="str">
        <f>_xlfn.TEXTJOIN(" ",TRUE,Migrationsartikel!H91)</f>
        <v>150g</v>
      </c>
      <c r="V92" s="54" t="str">
        <f>_xlfn.TEXTJOIN(" ",TRUE,Migrationsartikel!L91)</f>
        <v>150g</v>
      </c>
      <c r="W92" s="54" t="str">
        <f>_xlfn.TEXTJOIN(" ",TRUE,Migrationsartikel!P91)</f>
        <v>150g</v>
      </c>
      <c r="X92" s="54" t="str">
        <f>Migrationsartikel!I91</f>
        <v>Jogurt 150g</v>
      </c>
      <c r="Y92" s="54" t="str">
        <f>Migrationsartikel!M91</f>
        <v>Yogourt 150g</v>
      </c>
      <c r="Z92" s="54" t="str">
        <f>Migrationsartikel!Q91</f>
        <v>Yogourt 150g</v>
      </c>
      <c r="AA92" s="63">
        <f>Migrationsartikel!R91</f>
        <v>0.15</v>
      </c>
      <c r="AB92" s="54" t="str">
        <f>Migrationsartikel!T91</f>
        <v>Gramm</v>
      </c>
      <c r="AC92" s="65">
        <f>Migrationsartikel!S91</f>
        <v>100</v>
      </c>
      <c r="AD92" s="54" t="str">
        <f>Migrationsartikel!U91</f>
        <v>(PCE) Stück</v>
      </c>
      <c r="AE92" s="55" t="s">
        <v>179</v>
      </c>
      <c r="AF92" s="67">
        <f>Migrationsartikel!AA91</f>
        <v>0</v>
      </c>
      <c r="AG92" s="55" t="s">
        <v>192</v>
      </c>
      <c r="AH92" s="54" t="str">
        <f>IF(Migrationsartikel!AB91="ja","true",FALSE)</f>
        <v>true</v>
      </c>
      <c r="AI92" s="54" t="str">
        <f>IF(Migrationsartikel!AC91="ja","true",FALSE)</f>
        <v>true</v>
      </c>
      <c r="AJ92" s="54" t="str">
        <f>IF(Migrationsartikel!AD91="ja","true",FALSE)</f>
        <v>true</v>
      </c>
      <c r="AK92" s="54" t="str">
        <f>IF(Migrationsartikel!AE91="ja","true",FALSE)</f>
        <v>true</v>
      </c>
      <c r="AL92" s="54" t="str">
        <f>IF(Migrationsartikel!AF91="ja","Denner Partner","")</f>
        <v/>
      </c>
      <c r="AM92" s="54" t="str">
        <f>IF(Migrationsartikel!AG91="ja","true","false")</f>
        <v>false</v>
      </c>
      <c r="AN92" s="54" t="str">
        <f t="shared" si="2"/>
        <v>Kassentastenbelegung (ohne GTIN/PLU)</v>
      </c>
      <c r="AO92" s="66" t="s">
        <v>219</v>
      </c>
      <c r="AP92" s="65" t="s">
        <v>1525</v>
      </c>
      <c r="AQ92" s="66" t="s">
        <v>217</v>
      </c>
      <c r="AR92" s="30" t="s">
        <v>219</v>
      </c>
    </row>
    <row r="93" spans="2:44" ht="21.75" customHeight="1" x14ac:dyDescent="0.45">
      <c r="B93" s="54" t="s">
        <v>99</v>
      </c>
      <c r="E93" s="55" t="s">
        <v>87</v>
      </c>
      <c r="F93" s="54" t="str">
        <f>"Warengruppe&gt;&gt;"&amp;_xlfn.TEXTJOIN("&gt;&gt;",TRUE,Migrationsartikel!V92:X92)</f>
        <v>Warengruppe&gt;&gt;Frische&gt;&gt;Molkereiprodukte &amp; Eier&gt;&gt;Milchprodukte</v>
      </c>
      <c r="H93" s="55" t="s">
        <v>109</v>
      </c>
      <c r="J93" s="79">
        <f>Migrationsartikel!B92</f>
        <v>0</v>
      </c>
      <c r="L93" s="54" t="str">
        <f>_xlfn.TEXTJOIN(" ",TRUE,Migrationsartikel!F92:H92)</f>
        <v>Jogurt aus der Region 180g</v>
      </c>
      <c r="M93" s="54" t="str">
        <f>_xlfn.TEXTJOIN(" ",TRUE,Migrationsartikel!J92:L92)</f>
        <v>Yogourt de la région 180g</v>
      </c>
      <c r="N93" s="54" t="str">
        <f>_xlfn.TEXTJOIN(" ",TRUE,Migrationsartikel!N92:P92)</f>
        <v>Yogourt della regione 180g</v>
      </c>
      <c r="O93" s="54" t="str">
        <f>Migrationsartikel!F92</f>
        <v>Jogurt</v>
      </c>
      <c r="P93" s="54" t="str">
        <f>Migrationsartikel!J92</f>
        <v>Yogourt</v>
      </c>
      <c r="Q93" s="54" t="str">
        <f>Migrationsartikel!N92</f>
        <v>Yogourt</v>
      </c>
      <c r="R93" s="54" t="str">
        <f>_xlfn.TEXTJOIN(" ",TRUE,Migrationsartikel!G92)</f>
        <v>aus der Region</v>
      </c>
      <c r="S93" s="54" t="str">
        <f>_xlfn.TEXTJOIN(" ",TRUE,Migrationsartikel!K92)</f>
        <v>de la région</v>
      </c>
      <c r="T93" s="54" t="str">
        <f>_xlfn.TEXTJOIN(" ",TRUE,Migrationsartikel!O92)</f>
        <v>della regione</v>
      </c>
      <c r="U93" s="54" t="str">
        <f>_xlfn.TEXTJOIN(" ",TRUE,Migrationsartikel!H92)</f>
        <v>180g</v>
      </c>
      <c r="V93" s="54" t="str">
        <f>_xlfn.TEXTJOIN(" ",TRUE,Migrationsartikel!L92)</f>
        <v>180g</v>
      </c>
      <c r="W93" s="54" t="str">
        <f>_xlfn.TEXTJOIN(" ",TRUE,Migrationsartikel!P92)</f>
        <v>180g</v>
      </c>
      <c r="X93" s="54" t="str">
        <f>Migrationsartikel!I92</f>
        <v>Jogurt 180g</v>
      </c>
      <c r="Y93" s="54" t="str">
        <f>Migrationsartikel!M92</f>
        <v>Yogourt 180g</v>
      </c>
      <c r="Z93" s="54" t="str">
        <f>Migrationsartikel!Q92</f>
        <v>Yogourt 180g</v>
      </c>
      <c r="AA93" s="63">
        <f>Migrationsartikel!R92</f>
        <v>0.18</v>
      </c>
      <c r="AB93" s="54" t="str">
        <f>Migrationsartikel!T92</f>
        <v>Gramm</v>
      </c>
      <c r="AC93" s="65">
        <f>Migrationsartikel!S92</f>
        <v>100</v>
      </c>
      <c r="AD93" s="54" t="str">
        <f>Migrationsartikel!U92</f>
        <v>(PCE) Stück</v>
      </c>
      <c r="AE93" s="55" t="s">
        <v>179</v>
      </c>
      <c r="AF93" s="67">
        <f>Migrationsartikel!AA92</f>
        <v>0</v>
      </c>
      <c r="AG93" s="55" t="s">
        <v>192</v>
      </c>
      <c r="AH93" s="54" t="str">
        <f>IF(Migrationsartikel!AB92="ja","true",FALSE)</f>
        <v>true</v>
      </c>
      <c r="AI93" s="54" t="str">
        <f>IF(Migrationsartikel!AC92="ja","true",FALSE)</f>
        <v>true</v>
      </c>
      <c r="AJ93" s="54" t="str">
        <f>IF(Migrationsartikel!AD92="ja","true",FALSE)</f>
        <v>true</v>
      </c>
      <c r="AK93" s="54" t="str">
        <f>IF(Migrationsartikel!AE92="ja","true",FALSE)</f>
        <v>true</v>
      </c>
      <c r="AL93" s="54" t="str">
        <f>IF(Migrationsartikel!AF92="ja","Denner Partner","")</f>
        <v/>
      </c>
      <c r="AM93" s="54" t="str">
        <f>IF(Migrationsartikel!AG92="ja","true","false")</f>
        <v>false</v>
      </c>
      <c r="AN93" s="54" t="str">
        <f t="shared" si="2"/>
        <v>Kassentastenbelegung (ohne GTIN/PLU)</v>
      </c>
      <c r="AO93" s="66" t="s">
        <v>219</v>
      </c>
      <c r="AP93" s="65" t="s">
        <v>1526</v>
      </c>
      <c r="AQ93" s="66" t="s">
        <v>217</v>
      </c>
      <c r="AR93" s="30" t="s">
        <v>219</v>
      </c>
    </row>
    <row r="94" spans="2:44" ht="21.75" customHeight="1" x14ac:dyDescent="0.45">
      <c r="B94" s="54" t="s">
        <v>99</v>
      </c>
      <c r="E94" s="55" t="s">
        <v>87</v>
      </c>
      <c r="F94" s="54" t="str">
        <f>"Warengruppe&gt;&gt;"&amp;_xlfn.TEXTJOIN("&gt;&gt;",TRUE,Migrationsartikel!V93:X93)</f>
        <v>Warengruppe&gt;&gt;Frische&gt;&gt;Molkereiprodukte &amp; Eier&gt;&gt;Milchprodukte</v>
      </c>
      <c r="H94" s="55" t="s">
        <v>109</v>
      </c>
      <c r="J94" s="79">
        <f>Migrationsartikel!B93</f>
        <v>0</v>
      </c>
      <c r="L94" s="54" t="str">
        <f>_xlfn.TEXTJOIN(" ",TRUE,Migrationsartikel!F93:H93)</f>
        <v>Jogurt aus der Region 200g</v>
      </c>
      <c r="M94" s="54" t="str">
        <f>_xlfn.TEXTJOIN(" ",TRUE,Migrationsartikel!J93:L93)</f>
        <v>Yogourt de la région 200g</v>
      </c>
      <c r="N94" s="54" t="str">
        <f>_xlfn.TEXTJOIN(" ",TRUE,Migrationsartikel!N93:P93)</f>
        <v>Yogourt della regione 200g</v>
      </c>
      <c r="O94" s="54" t="str">
        <f>Migrationsartikel!F93</f>
        <v>Jogurt</v>
      </c>
      <c r="P94" s="54" t="str">
        <f>Migrationsartikel!J93</f>
        <v>Yogourt</v>
      </c>
      <c r="Q94" s="54" t="str">
        <f>Migrationsartikel!N93</f>
        <v>Yogourt</v>
      </c>
      <c r="R94" s="54" t="str">
        <f>_xlfn.TEXTJOIN(" ",TRUE,Migrationsartikel!G93)</f>
        <v>aus der Region</v>
      </c>
      <c r="S94" s="54" t="str">
        <f>_xlfn.TEXTJOIN(" ",TRUE,Migrationsartikel!K93)</f>
        <v>de la région</v>
      </c>
      <c r="T94" s="54" t="str">
        <f>_xlfn.TEXTJOIN(" ",TRUE,Migrationsartikel!O93)</f>
        <v>della regione</v>
      </c>
      <c r="U94" s="54" t="str">
        <f>_xlfn.TEXTJOIN(" ",TRUE,Migrationsartikel!H93)</f>
        <v>200g</v>
      </c>
      <c r="V94" s="54" t="str">
        <f>_xlfn.TEXTJOIN(" ",TRUE,Migrationsartikel!L93)</f>
        <v>200g</v>
      </c>
      <c r="W94" s="54" t="str">
        <f>_xlfn.TEXTJOIN(" ",TRUE,Migrationsartikel!P93)</f>
        <v>200g</v>
      </c>
      <c r="X94" s="54" t="str">
        <f>Migrationsartikel!I93</f>
        <v>Jogurt 200g</v>
      </c>
      <c r="Y94" s="54" t="str">
        <f>Migrationsartikel!M93</f>
        <v>Yogourt 200g</v>
      </c>
      <c r="Z94" s="54" t="str">
        <f>Migrationsartikel!Q93</f>
        <v>Yogourt 200g</v>
      </c>
      <c r="AA94" s="63">
        <f>Migrationsartikel!R93</f>
        <v>0.2</v>
      </c>
      <c r="AB94" s="54" t="str">
        <f>Migrationsartikel!T93</f>
        <v>Gramm</v>
      </c>
      <c r="AC94" s="65">
        <f>Migrationsartikel!S93</f>
        <v>100</v>
      </c>
      <c r="AD94" s="54" t="str">
        <f>Migrationsartikel!U93</f>
        <v>(PCE) Stück</v>
      </c>
      <c r="AE94" s="55" t="s">
        <v>179</v>
      </c>
      <c r="AF94" s="67">
        <f>Migrationsartikel!AA93</f>
        <v>0</v>
      </c>
      <c r="AG94" s="55" t="s">
        <v>192</v>
      </c>
      <c r="AH94" s="54" t="str">
        <f>IF(Migrationsartikel!AB93="ja","true",FALSE)</f>
        <v>true</v>
      </c>
      <c r="AI94" s="54" t="str">
        <f>IF(Migrationsartikel!AC93="ja","true",FALSE)</f>
        <v>true</v>
      </c>
      <c r="AJ94" s="54" t="str">
        <f>IF(Migrationsartikel!AD93="ja","true",FALSE)</f>
        <v>true</v>
      </c>
      <c r="AK94" s="54" t="str">
        <f>IF(Migrationsartikel!AE93="ja","true",FALSE)</f>
        <v>true</v>
      </c>
      <c r="AL94" s="54" t="str">
        <f>IF(Migrationsartikel!AF93="ja","Denner Partner","")</f>
        <v/>
      </c>
      <c r="AM94" s="54" t="str">
        <f>IF(Migrationsartikel!AG93="ja","true","false")</f>
        <v>false</v>
      </c>
      <c r="AN94" s="54" t="str">
        <f t="shared" si="2"/>
        <v>Kassentastenbelegung (ohne GTIN/PLU)</v>
      </c>
      <c r="AO94" s="66" t="s">
        <v>219</v>
      </c>
      <c r="AP94" s="65" t="s">
        <v>1527</v>
      </c>
      <c r="AQ94" s="66" t="s">
        <v>217</v>
      </c>
      <c r="AR94" s="30" t="s">
        <v>219</v>
      </c>
    </row>
    <row r="95" spans="2:44" ht="21.75" customHeight="1" x14ac:dyDescent="0.45">
      <c r="B95" s="54" t="s">
        <v>99</v>
      </c>
      <c r="E95" s="55" t="s">
        <v>87</v>
      </c>
      <c r="F95" s="54" t="str">
        <f>"Warengruppe&gt;&gt;"&amp;_xlfn.TEXTJOIN("&gt;&gt;",TRUE,Migrationsartikel!V94:X94)</f>
        <v>Warengruppe&gt;&gt;Frische&gt;&gt;Molkereiprodukte &amp; Eier&gt;&gt;Milchprodukte</v>
      </c>
      <c r="H95" s="55" t="s">
        <v>109</v>
      </c>
      <c r="J95" s="79">
        <f>Migrationsartikel!B94</f>
        <v>0</v>
      </c>
      <c r="L95" s="54" t="str">
        <f>_xlfn.TEXTJOIN(" ",TRUE,Migrationsartikel!F94:H94)</f>
        <v>Jogurt aus der Region 250g</v>
      </c>
      <c r="M95" s="54" t="str">
        <f>_xlfn.TEXTJOIN(" ",TRUE,Migrationsartikel!J94:L94)</f>
        <v>Yogourt de la région 250g</v>
      </c>
      <c r="N95" s="54" t="str">
        <f>_xlfn.TEXTJOIN(" ",TRUE,Migrationsartikel!N94:P94)</f>
        <v>Yogourt della regione 250g</v>
      </c>
      <c r="O95" s="54" t="str">
        <f>Migrationsartikel!F94</f>
        <v>Jogurt</v>
      </c>
      <c r="P95" s="54" t="str">
        <f>Migrationsartikel!J94</f>
        <v>Yogourt</v>
      </c>
      <c r="Q95" s="54" t="str">
        <f>Migrationsartikel!N94</f>
        <v>Yogourt</v>
      </c>
      <c r="R95" s="54" t="str">
        <f>_xlfn.TEXTJOIN(" ",TRUE,Migrationsartikel!G94)</f>
        <v>aus der Region</v>
      </c>
      <c r="S95" s="54" t="str">
        <f>_xlfn.TEXTJOIN(" ",TRUE,Migrationsartikel!K94)</f>
        <v>de la région</v>
      </c>
      <c r="T95" s="54" t="str">
        <f>_xlfn.TEXTJOIN(" ",TRUE,Migrationsartikel!O94)</f>
        <v>della regione</v>
      </c>
      <c r="U95" s="54" t="str">
        <f>_xlfn.TEXTJOIN(" ",TRUE,Migrationsartikel!H94)</f>
        <v>250g</v>
      </c>
      <c r="V95" s="54" t="str">
        <f>_xlfn.TEXTJOIN(" ",TRUE,Migrationsartikel!L94)</f>
        <v>250g</v>
      </c>
      <c r="W95" s="54" t="str">
        <f>_xlfn.TEXTJOIN(" ",TRUE,Migrationsartikel!P94)</f>
        <v>250g</v>
      </c>
      <c r="X95" s="54" t="str">
        <f>Migrationsartikel!I94</f>
        <v>Jogurt 250g</v>
      </c>
      <c r="Y95" s="54" t="str">
        <f>Migrationsartikel!M94</f>
        <v>Yogourt 250g</v>
      </c>
      <c r="Z95" s="54" t="str">
        <f>Migrationsartikel!Q94</f>
        <v>Yogourt 250g</v>
      </c>
      <c r="AA95" s="63">
        <f>Migrationsartikel!R94</f>
        <v>0.25</v>
      </c>
      <c r="AB95" s="54" t="str">
        <f>Migrationsartikel!T94</f>
        <v>Gramm</v>
      </c>
      <c r="AC95" s="65">
        <f>Migrationsartikel!S94</f>
        <v>100</v>
      </c>
      <c r="AD95" s="54" t="str">
        <f>Migrationsartikel!U94</f>
        <v>(PCE) Stück</v>
      </c>
      <c r="AE95" s="55" t="s">
        <v>179</v>
      </c>
      <c r="AF95" s="67">
        <f>Migrationsartikel!AA94</f>
        <v>0</v>
      </c>
      <c r="AG95" s="55" t="s">
        <v>192</v>
      </c>
      <c r="AH95" s="54" t="str">
        <f>IF(Migrationsartikel!AB94="ja","true",FALSE)</f>
        <v>true</v>
      </c>
      <c r="AI95" s="54" t="str">
        <f>IF(Migrationsartikel!AC94="ja","true",FALSE)</f>
        <v>true</v>
      </c>
      <c r="AJ95" s="54" t="str">
        <f>IF(Migrationsartikel!AD94="ja","true",FALSE)</f>
        <v>true</v>
      </c>
      <c r="AK95" s="54" t="str">
        <f>IF(Migrationsartikel!AE94="ja","true",FALSE)</f>
        <v>true</v>
      </c>
      <c r="AL95" s="54" t="str">
        <f>IF(Migrationsartikel!AF94="ja","Denner Partner","")</f>
        <v/>
      </c>
      <c r="AM95" s="54" t="str">
        <f>IF(Migrationsartikel!AG94="ja","true","false")</f>
        <v>false</v>
      </c>
      <c r="AN95" s="54" t="str">
        <f t="shared" si="2"/>
        <v>Kassentastenbelegung (ohne GTIN/PLU)</v>
      </c>
      <c r="AO95" s="66" t="s">
        <v>219</v>
      </c>
      <c r="AP95" s="65" t="s">
        <v>1528</v>
      </c>
      <c r="AQ95" s="66" t="s">
        <v>217</v>
      </c>
      <c r="AR95" s="30" t="s">
        <v>219</v>
      </c>
    </row>
    <row r="96" spans="2:44" ht="21.75" customHeight="1" x14ac:dyDescent="0.45">
      <c r="B96" s="54" t="s">
        <v>99</v>
      </c>
      <c r="E96" s="55" t="s">
        <v>87</v>
      </c>
      <c r="F96" s="54" t="str">
        <f>"Warengruppe&gt;&gt;"&amp;_xlfn.TEXTJOIN("&gt;&gt;",TRUE,Migrationsartikel!V95:X95)</f>
        <v>Warengruppe&gt;&gt;Frische&gt;&gt;Molkereiprodukte &amp; Eier&gt;&gt;Milchprodukte</v>
      </c>
      <c r="H96" s="55" t="s">
        <v>109</v>
      </c>
      <c r="J96" s="79">
        <f>Migrationsartikel!B95</f>
        <v>0</v>
      </c>
      <c r="L96" s="54" t="str">
        <f>_xlfn.TEXTJOIN(" ",TRUE,Migrationsartikel!F95:H95)</f>
        <v>Jogurt aus der Region 400g</v>
      </c>
      <c r="M96" s="54" t="str">
        <f>_xlfn.TEXTJOIN(" ",TRUE,Migrationsartikel!J95:L95)</f>
        <v>Yogourt de la région 400g</v>
      </c>
      <c r="N96" s="54" t="str">
        <f>_xlfn.TEXTJOIN(" ",TRUE,Migrationsartikel!N95:P95)</f>
        <v>Yogourt della regione 400g</v>
      </c>
      <c r="O96" s="54" t="str">
        <f>Migrationsartikel!F95</f>
        <v>Jogurt</v>
      </c>
      <c r="P96" s="54" t="str">
        <f>Migrationsartikel!J95</f>
        <v>Yogourt</v>
      </c>
      <c r="Q96" s="54" t="str">
        <f>Migrationsartikel!N95</f>
        <v>Yogourt</v>
      </c>
      <c r="R96" s="54" t="str">
        <f>_xlfn.TEXTJOIN(" ",TRUE,Migrationsartikel!G95)</f>
        <v>aus der Region</v>
      </c>
      <c r="S96" s="54" t="str">
        <f>_xlfn.TEXTJOIN(" ",TRUE,Migrationsartikel!K95)</f>
        <v>de la région</v>
      </c>
      <c r="T96" s="54" t="str">
        <f>_xlfn.TEXTJOIN(" ",TRUE,Migrationsartikel!O95)</f>
        <v>della regione</v>
      </c>
      <c r="U96" s="54" t="str">
        <f>_xlfn.TEXTJOIN(" ",TRUE,Migrationsartikel!H95)</f>
        <v>400g</v>
      </c>
      <c r="V96" s="54" t="str">
        <f>_xlfn.TEXTJOIN(" ",TRUE,Migrationsartikel!L95)</f>
        <v>400g</v>
      </c>
      <c r="W96" s="54" t="str">
        <f>_xlfn.TEXTJOIN(" ",TRUE,Migrationsartikel!P95)</f>
        <v>400g</v>
      </c>
      <c r="X96" s="54" t="str">
        <f>Migrationsartikel!I95</f>
        <v>Jogurt 400g</v>
      </c>
      <c r="Y96" s="54" t="str">
        <f>Migrationsartikel!M95</f>
        <v>Yogourt 400g</v>
      </c>
      <c r="Z96" s="54" t="str">
        <f>Migrationsartikel!Q95</f>
        <v>Yogourt 400g</v>
      </c>
      <c r="AA96" s="63">
        <f>Migrationsartikel!R95</f>
        <v>0.4</v>
      </c>
      <c r="AB96" s="54" t="str">
        <f>Migrationsartikel!T95</f>
        <v>Gramm</v>
      </c>
      <c r="AC96" s="65">
        <f>Migrationsartikel!S95</f>
        <v>100</v>
      </c>
      <c r="AD96" s="54" t="str">
        <f>Migrationsartikel!U95</f>
        <v>(PCE) Stück</v>
      </c>
      <c r="AE96" s="55" t="s">
        <v>179</v>
      </c>
      <c r="AF96" s="67">
        <f>Migrationsartikel!AA95</f>
        <v>0</v>
      </c>
      <c r="AG96" s="55" t="s">
        <v>192</v>
      </c>
      <c r="AH96" s="54" t="str">
        <f>IF(Migrationsartikel!AB95="ja","true",FALSE)</f>
        <v>true</v>
      </c>
      <c r="AI96" s="54" t="str">
        <f>IF(Migrationsartikel!AC95="ja","true",FALSE)</f>
        <v>true</v>
      </c>
      <c r="AJ96" s="54" t="str">
        <f>IF(Migrationsartikel!AD95="ja","true",FALSE)</f>
        <v>true</v>
      </c>
      <c r="AK96" s="54" t="str">
        <f>IF(Migrationsartikel!AE95="ja","true",FALSE)</f>
        <v>true</v>
      </c>
      <c r="AL96" s="54" t="str">
        <f>IF(Migrationsartikel!AF95="ja","Denner Partner","")</f>
        <v/>
      </c>
      <c r="AM96" s="54" t="str">
        <f>IF(Migrationsartikel!AG95="ja","true","false")</f>
        <v>false</v>
      </c>
      <c r="AN96" s="54" t="str">
        <f t="shared" si="2"/>
        <v>Kassentastenbelegung (ohne GTIN/PLU)</v>
      </c>
      <c r="AO96" s="66" t="s">
        <v>219</v>
      </c>
      <c r="AP96" s="65" t="s">
        <v>1529</v>
      </c>
      <c r="AQ96" s="66" t="s">
        <v>217</v>
      </c>
      <c r="AR96" s="30" t="s">
        <v>219</v>
      </c>
    </row>
    <row r="97" spans="2:44" ht="21.75" customHeight="1" x14ac:dyDescent="0.45">
      <c r="B97" s="54" t="s">
        <v>99</v>
      </c>
      <c r="E97" s="55" t="s">
        <v>87</v>
      </c>
      <c r="F97" s="54" t="str">
        <f>"Warengruppe&gt;&gt;"&amp;_xlfn.TEXTJOIN("&gt;&gt;",TRUE,Migrationsartikel!V96:X96)</f>
        <v>Warengruppe&gt;&gt;Frische&gt;&gt;Molkereiprodukte &amp; Eier&gt;&gt;Milchprodukte</v>
      </c>
      <c r="H97" s="55" t="s">
        <v>109</v>
      </c>
      <c r="J97" s="79">
        <f>Migrationsartikel!B96</f>
        <v>0</v>
      </c>
      <c r="L97" s="54" t="str">
        <f>_xlfn.TEXTJOIN(" ",TRUE,Migrationsartikel!F96:H96)</f>
        <v>Jogurt aus der Region 500g</v>
      </c>
      <c r="M97" s="54" t="str">
        <f>_xlfn.TEXTJOIN(" ",TRUE,Migrationsartikel!J96:L96)</f>
        <v>Yogourt de la région 500g</v>
      </c>
      <c r="N97" s="54" t="str">
        <f>_xlfn.TEXTJOIN(" ",TRUE,Migrationsartikel!N96:P96)</f>
        <v>Yogourt della regione 500g</v>
      </c>
      <c r="O97" s="54" t="str">
        <f>Migrationsartikel!F96</f>
        <v>Jogurt</v>
      </c>
      <c r="P97" s="54" t="str">
        <f>Migrationsartikel!J96</f>
        <v>Yogourt</v>
      </c>
      <c r="Q97" s="54" t="str">
        <f>Migrationsartikel!N96</f>
        <v>Yogourt</v>
      </c>
      <c r="R97" s="54" t="str">
        <f>_xlfn.TEXTJOIN(" ",TRUE,Migrationsartikel!G96)</f>
        <v>aus der Region</v>
      </c>
      <c r="S97" s="54" t="str">
        <f>_xlfn.TEXTJOIN(" ",TRUE,Migrationsartikel!K96)</f>
        <v>de la région</v>
      </c>
      <c r="T97" s="54" t="str">
        <f>_xlfn.TEXTJOIN(" ",TRUE,Migrationsartikel!O96)</f>
        <v>della regione</v>
      </c>
      <c r="U97" s="54" t="str">
        <f>_xlfn.TEXTJOIN(" ",TRUE,Migrationsartikel!H96)</f>
        <v>500g</v>
      </c>
      <c r="V97" s="54" t="str">
        <f>_xlfn.TEXTJOIN(" ",TRUE,Migrationsartikel!L96)</f>
        <v>500g</v>
      </c>
      <c r="W97" s="54" t="str">
        <f>_xlfn.TEXTJOIN(" ",TRUE,Migrationsartikel!P96)</f>
        <v>500g</v>
      </c>
      <c r="X97" s="54" t="str">
        <f>Migrationsartikel!I96</f>
        <v>Jogurt 500g</v>
      </c>
      <c r="Y97" s="54" t="str">
        <f>Migrationsartikel!M96</f>
        <v>Yogourt 500g</v>
      </c>
      <c r="Z97" s="54" t="str">
        <f>Migrationsartikel!Q96</f>
        <v>Yogourt 500g</v>
      </c>
      <c r="AA97" s="63">
        <f>Migrationsartikel!R96</f>
        <v>0.5</v>
      </c>
      <c r="AB97" s="54" t="str">
        <f>Migrationsartikel!T96</f>
        <v>Gramm</v>
      </c>
      <c r="AC97" s="65">
        <f>Migrationsartikel!S96</f>
        <v>100</v>
      </c>
      <c r="AD97" s="54" t="str">
        <f>Migrationsartikel!U96</f>
        <v>(PCE) Stück</v>
      </c>
      <c r="AE97" s="55" t="s">
        <v>179</v>
      </c>
      <c r="AF97" s="67">
        <f>Migrationsartikel!AA96</f>
        <v>0</v>
      </c>
      <c r="AG97" s="55" t="s">
        <v>192</v>
      </c>
      <c r="AH97" s="54" t="str">
        <f>IF(Migrationsartikel!AB96="ja","true",FALSE)</f>
        <v>true</v>
      </c>
      <c r="AI97" s="54" t="str">
        <f>IF(Migrationsartikel!AC96="ja","true",FALSE)</f>
        <v>true</v>
      </c>
      <c r="AJ97" s="54" t="str">
        <f>IF(Migrationsartikel!AD96="ja","true",FALSE)</f>
        <v>true</v>
      </c>
      <c r="AK97" s="54" t="str">
        <f>IF(Migrationsartikel!AE96="ja","true",FALSE)</f>
        <v>true</v>
      </c>
      <c r="AL97" s="54" t="str">
        <f>IF(Migrationsartikel!AF96="ja","Denner Partner","")</f>
        <v/>
      </c>
      <c r="AM97" s="54" t="str">
        <f>IF(Migrationsartikel!AG96="ja","true","false")</f>
        <v>false</v>
      </c>
      <c r="AN97" s="54" t="str">
        <f t="shared" si="2"/>
        <v>Kassentastenbelegung (ohne GTIN/PLU)</v>
      </c>
      <c r="AO97" s="66" t="s">
        <v>219</v>
      </c>
      <c r="AP97" s="65" t="s">
        <v>1530</v>
      </c>
      <c r="AQ97" s="66" t="s">
        <v>217</v>
      </c>
      <c r="AR97" s="30" t="s">
        <v>219</v>
      </c>
    </row>
    <row r="98" spans="2:44" ht="21.75" customHeight="1" x14ac:dyDescent="0.45">
      <c r="B98" s="54" t="s">
        <v>99</v>
      </c>
      <c r="E98" s="55" t="s">
        <v>87</v>
      </c>
      <c r="F98" s="54" t="str">
        <f>"Warengruppe&gt;&gt;"&amp;_xlfn.TEXTJOIN("&gt;&gt;",TRUE,Migrationsartikel!V97:X97)</f>
        <v>Warengruppe&gt;&gt;Frische&gt;&gt;Käse&gt;&gt;Käse</v>
      </c>
      <c r="H98" s="55" t="s">
        <v>109</v>
      </c>
      <c r="J98" s="79">
        <f>Migrationsartikel!B97</f>
        <v>0</v>
      </c>
      <c r="L98" s="54" t="str">
        <f>_xlfn.TEXTJOIN(" ",TRUE,Migrationsartikel!F97:H97)</f>
        <v>Käse Spezialitäten aus der Region 1Stk</v>
      </c>
      <c r="M98" s="54" t="str">
        <f>_xlfn.TEXTJOIN(" ",TRUE,Migrationsartikel!J97:L97)</f>
        <v>Spécialités de fromage de la région 1pce</v>
      </c>
      <c r="N98" s="54" t="str">
        <f>_xlfn.TEXTJOIN(" ",TRUE,Migrationsartikel!N97:P97)</f>
        <v>Formaggi della regione 1pz</v>
      </c>
      <c r="O98" s="54" t="str">
        <f>Migrationsartikel!F97</f>
        <v>Käse Spezialitäten</v>
      </c>
      <c r="P98" s="54" t="str">
        <f>Migrationsartikel!J97</f>
        <v>Spécialités de fromage</v>
      </c>
      <c r="Q98" s="54" t="str">
        <f>Migrationsartikel!N97</f>
        <v>Formaggi</v>
      </c>
      <c r="R98" s="54" t="str">
        <f>_xlfn.TEXTJOIN(" ",TRUE,Migrationsartikel!G97)</f>
        <v>aus der Region</v>
      </c>
      <c r="S98" s="54" t="str">
        <f>_xlfn.TEXTJOIN(" ",TRUE,Migrationsartikel!K97)</f>
        <v>de la région</v>
      </c>
      <c r="T98" s="54" t="str">
        <f>_xlfn.TEXTJOIN(" ",TRUE,Migrationsartikel!O97)</f>
        <v>della regione</v>
      </c>
      <c r="U98" s="54" t="str">
        <f>_xlfn.TEXTJOIN(" ",TRUE,Migrationsartikel!H97)</f>
        <v>1Stk</v>
      </c>
      <c r="V98" s="54" t="str">
        <f>_xlfn.TEXTJOIN(" ",TRUE,Migrationsartikel!L97)</f>
        <v>1pce</v>
      </c>
      <c r="W98" s="54" t="str">
        <f>_xlfn.TEXTJOIN(" ",TRUE,Migrationsartikel!P97)</f>
        <v>1pz</v>
      </c>
      <c r="X98" s="54" t="str">
        <f>Migrationsartikel!I97</f>
        <v>Käse Spezialitäten</v>
      </c>
      <c r="Y98" s="54" t="str">
        <f>Migrationsartikel!M97</f>
        <v>Spécialités de fromage</v>
      </c>
      <c r="Z98" s="54" t="str">
        <f>Migrationsartikel!Q97</f>
        <v>Formaggi</v>
      </c>
      <c r="AA98" s="63">
        <f>Migrationsartikel!R97</f>
        <v>1</v>
      </c>
      <c r="AB98" s="54" t="str">
        <f>Migrationsartikel!T97</f>
        <v>Stück</v>
      </c>
      <c r="AC98" s="65">
        <f>Migrationsartikel!S97</f>
        <v>1</v>
      </c>
      <c r="AD98" s="54" t="str">
        <f>Migrationsartikel!U97</f>
        <v>(PCE) Stück</v>
      </c>
      <c r="AE98" s="55" t="s">
        <v>179</v>
      </c>
      <c r="AF98" s="67">
        <f>Migrationsartikel!AA97</f>
        <v>0</v>
      </c>
      <c r="AG98" s="55" t="s">
        <v>192</v>
      </c>
      <c r="AH98" s="54" t="str">
        <f>IF(Migrationsartikel!AB97="ja","true",FALSE)</f>
        <v>true</v>
      </c>
      <c r="AI98" s="54" t="str">
        <f>IF(Migrationsartikel!AC97="ja","true",FALSE)</f>
        <v>true</v>
      </c>
      <c r="AJ98" s="54" t="str">
        <f>IF(Migrationsartikel!AD97="ja","true",FALSE)</f>
        <v>true</v>
      </c>
      <c r="AK98" s="54" t="str">
        <f>IF(Migrationsartikel!AE97="ja","true",FALSE)</f>
        <v>true</v>
      </c>
      <c r="AL98" s="54" t="str">
        <f>IF(Migrationsartikel!AF97="ja","Denner Partner","")</f>
        <v/>
      </c>
      <c r="AM98" s="54" t="str">
        <f>IF(Migrationsartikel!AG97="ja","true","false")</f>
        <v>false</v>
      </c>
      <c r="AN98" s="54" t="str">
        <f t="shared" si="2"/>
        <v>Kassentastenbelegung (ohne GTIN/PLU)</v>
      </c>
      <c r="AO98" s="66" t="s">
        <v>219</v>
      </c>
      <c r="AP98" s="65" t="s">
        <v>1531</v>
      </c>
      <c r="AQ98" s="66" t="s">
        <v>217</v>
      </c>
      <c r="AR98" s="30" t="s">
        <v>219</v>
      </c>
    </row>
    <row r="99" spans="2:44" ht="21.75" customHeight="1" x14ac:dyDescent="0.45">
      <c r="B99" s="54" t="s">
        <v>99</v>
      </c>
      <c r="E99" s="55" t="s">
        <v>87</v>
      </c>
      <c r="F99" s="54" t="str">
        <f>"Warengruppe&gt;&gt;"&amp;_xlfn.TEXTJOIN("&gt;&gt;",TRUE,Migrationsartikel!V98:X98)</f>
        <v>Warengruppe&gt;&gt;Frische&gt;&gt;Käse&gt;&gt;Käse</v>
      </c>
      <c r="H99" s="55" t="s">
        <v>109</v>
      </c>
      <c r="J99" s="79">
        <f>Migrationsartikel!B98</f>
        <v>0</v>
      </c>
      <c r="L99" s="54" t="str">
        <f>_xlfn.TEXTJOIN(" ",TRUE,Migrationsartikel!F98:H98)</f>
        <v>Käsetheke aus der Region 1Stk</v>
      </c>
      <c r="M99" s="54" t="str">
        <f>_xlfn.TEXTJOIN(" ",TRUE,Migrationsartikel!J98:L98)</f>
        <v>Fromagerie de la région 1pce</v>
      </c>
      <c r="N99" s="54" t="str">
        <f>_xlfn.TEXTJOIN(" ",TRUE,Migrationsartikel!N98:P98)</f>
        <v>Banco formaggi della regione 1pz</v>
      </c>
      <c r="O99" s="54" t="str">
        <f>Migrationsartikel!F98</f>
        <v>Käsetheke</v>
      </c>
      <c r="P99" s="54" t="str">
        <f>Migrationsartikel!J98</f>
        <v>Fromagerie</v>
      </c>
      <c r="Q99" s="54" t="str">
        <f>Migrationsartikel!N98</f>
        <v>Banco formaggi</v>
      </c>
      <c r="R99" s="54" t="str">
        <f>_xlfn.TEXTJOIN(" ",TRUE,Migrationsartikel!G98)</f>
        <v>aus der Region</v>
      </c>
      <c r="S99" s="54" t="str">
        <f>_xlfn.TEXTJOIN(" ",TRUE,Migrationsartikel!K98)</f>
        <v>de la région</v>
      </c>
      <c r="T99" s="54" t="str">
        <f>_xlfn.TEXTJOIN(" ",TRUE,Migrationsartikel!O98)</f>
        <v>della regione</v>
      </c>
      <c r="U99" s="54" t="str">
        <f>_xlfn.TEXTJOIN(" ",TRUE,Migrationsartikel!H98)</f>
        <v>1Stk</v>
      </c>
      <c r="V99" s="54" t="str">
        <f>_xlfn.TEXTJOIN(" ",TRUE,Migrationsartikel!L98)</f>
        <v>1pce</v>
      </c>
      <c r="W99" s="54" t="str">
        <f>_xlfn.TEXTJOIN(" ",TRUE,Migrationsartikel!P98)</f>
        <v>1pz</v>
      </c>
      <c r="X99" s="54" t="str">
        <f>Migrationsartikel!I98</f>
        <v>Käsetheke</v>
      </c>
      <c r="Y99" s="54" t="str">
        <f>Migrationsartikel!M98</f>
        <v>Fromagerie</v>
      </c>
      <c r="Z99" s="54" t="str">
        <f>Migrationsartikel!Q98</f>
        <v>Banco formaggi</v>
      </c>
      <c r="AA99" s="63">
        <f>Migrationsartikel!R98</f>
        <v>1</v>
      </c>
      <c r="AB99" s="54" t="str">
        <f>Migrationsartikel!T98</f>
        <v>Stück</v>
      </c>
      <c r="AC99" s="65">
        <f>Migrationsartikel!S98</f>
        <v>1</v>
      </c>
      <c r="AD99" s="54" t="str">
        <f>Migrationsartikel!U98</f>
        <v>(PCE) Stück</v>
      </c>
      <c r="AE99" s="55" t="s">
        <v>179</v>
      </c>
      <c r="AF99" s="67">
        <f>Migrationsartikel!AA98</f>
        <v>0</v>
      </c>
      <c r="AG99" s="55" t="s">
        <v>192</v>
      </c>
      <c r="AH99" s="54" t="str">
        <f>IF(Migrationsartikel!AB98="ja","true",FALSE)</f>
        <v>true</v>
      </c>
      <c r="AI99" s="54" t="str">
        <f>IF(Migrationsartikel!AC98="ja","true",FALSE)</f>
        <v>true</v>
      </c>
      <c r="AJ99" s="54" t="str">
        <f>IF(Migrationsartikel!AD98="ja","true",FALSE)</f>
        <v>true</v>
      </c>
      <c r="AK99" s="54" t="str">
        <f>IF(Migrationsartikel!AE98="ja","true",FALSE)</f>
        <v>true</v>
      </c>
      <c r="AL99" s="54" t="str">
        <f>IF(Migrationsartikel!AF98="ja","Denner Partner","")</f>
        <v/>
      </c>
      <c r="AM99" s="54" t="str">
        <f>IF(Migrationsartikel!AG98="ja","true","false")</f>
        <v>false</v>
      </c>
      <c r="AN99" s="54" t="str">
        <f t="shared" si="2"/>
        <v>Kassentastenbelegung (ohne GTIN/PLU)</v>
      </c>
      <c r="AO99" s="66" t="s">
        <v>219</v>
      </c>
      <c r="AP99" s="65" t="s">
        <v>1532</v>
      </c>
      <c r="AQ99" s="66" t="s">
        <v>217</v>
      </c>
      <c r="AR99" s="30" t="s">
        <v>219</v>
      </c>
    </row>
    <row r="100" spans="2:44" ht="21.75" customHeight="1" x14ac:dyDescent="0.45">
      <c r="B100" s="54" t="s">
        <v>99</v>
      </c>
      <c r="E100" s="55" t="s">
        <v>87</v>
      </c>
      <c r="F100" s="54" t="str">
        <f>"Warengruppe&gt;&gt;"&amp;_xlfn.TEXTJOIN("&gt;&gt;",TRUE,Migrationsartikel!V99:X99)</f>
        <v>Warengruppe&gt;&gt;Frische&gt;&gt;Molkereiprodukte &amp; Eier&gt;&gt;Milchprodukte</v>
      </c>
      <c r="H100" s="55" t="s">
        <v>109</v>
      </c>
      <c r="J100" s="79">
        <f>Migrationsartikel!B99</f>
        <v>0</v>
      </c>
      <c r="L100" s="54" t="str">
        <f>_xlfn.TEXTJOIN(" ",TRUE,Migrationsartikel!F99:H99)</f>
        <v>Kräuterbutter aus der Region 40g</v>
      </c>
      <c r="M100" s="54" t="str">
        <f>_xlfn.TEXTJOIN(" ",TRUE,Migrationsartikel!J99:L99)</f>
        <v>Beurre aux herbes de la région 40g</v>
      </c>
      <c r="N100" s="54" t="str">
        <f>_xlfn.TEXTJOIN(" ",TRUE,Migrationsartikel!N99:P99)</f>
        <v>Burro alle erbe della regione 40g</v>
      </c>
      <c r="O100" s="54" t="str">
        <f>Migrationsartikel!F99</f>
        <v>Kräuterbutter</v>
      </c>
      <c r="P100" s="54" t="str">
        <f>Migrationsartikel!J99</f>
        <v>Beurre aux herbes</v>
      </c>
      <c r="Q100" s="54" t="str">
        <f>Migrationsartikel!N99</f>
        <v>Burro alle erbe</v>
      </c>
      <c r="R100" s="54" t="str">
        <f>_xlfn.TEXTJOIN(" ",TRUE,Migrationsartikel!G99)</f>
        <v>aus der Region</v>
      </c>
      <c r="S100" s="54" t="str">
        <f>_xlfn.TEXTJOIN(" ",TRUE,Migrationsartikel!K99)</f>
        <v>de la région</v>
      </c>
      <c r="T100" s="54" t="str">
        <f>_xlfn.TEXTJOIN(" ",TRUE,Migrationsartikel!O99)</f>
        <v>della regione</v>
      </c>
      <c r="U100" s="54" t="str">
        <f>_xlfn.TEXTJOIN(" ",TRUE,Migrationsartikel!H99)</f>
        <v>40g</v>
      </c>
      <c r="V100" s="54" t="str">
        <f>_xlfn.TEXTJOIN(" ",TRUE,Migrationsartikel!L99)</f>
        <v>40g</v>
      </c>
      <c r="W100" s="54" t="str">
        <f>_xlfn.TEXTJOIN(" ",TRUE,Migrationsartikel!P99)</f>
        <v>40g</v>
      </c>
      <c r="X100" s="54" t="str">
        <f>Migrationsartikel!I99</f>
        <v>Kräuterbutter 40g</v>
      </c>
      <c r="Y100" s="54" t="str">
        <f>Migrationsartikel!M99</f>
        <v>Beurre aux herbes 40g</v>
      </c>
      <c r="Z100" s="54" t="str">
        <f>Migrationsartikel!Q99</f>
        <v>Burro alle erbe 40g</v>
      </c>
      <c r="AA100" s="63">
        <f>Migrationsartikel!R99</f>
        <v>0.04</v>
      </c>
      <c r="AB100" s="54" t="str">
        <f>Migrationsartikel!T99</f>
        <v>Gramm</v>
      </c>
      <c r="AC100" s="65">
        <f>Migrationsartikel!S99</f>
        <v>100</v>
      </c>
      <c r="AD100" s="54" t="str">
        <f>Migrationsartikel!U99</f>
        <v>(PCE) Stück</v>
      </c>
      <c r="AE100" s="55" t="s">
        <v>179</v>
      </c>
      <c r="AF100" s="67">
        <f>Migrationsartikel!AA99</f>
        <v>0</v>
      </c>
      <c r="AG100" s="55" t="s">
        <v>192</v>
      </c>
      <c r="AH100" s="54" t="str">
        <f>IF(Migrationsartikel!AB99="ja","true",FALSE)</f>
        <v>true</v>
      </c>
      <c r="AI100" s="54" t="str">
        <f>IF(Migrationsartikel!AC99="ja","true",FALSE)</f>
        <v>true</v>
      </c>
      <c r="AJ100" s="54" t="str">
        <f>IF(Migrationsartikel!AD99="ja","true",FALSE)</f>
        <v>true</v>
      </c>
      <c r="AK100" s="54" t="str">
        <f>IF(Migrationsartikel!AE99="ja","true",FALSE)</f>
        <v>true</v>
      </c>
      <c r="AL100" s="54" t="str">
        <f>IF(Migrationsartikel!AF99="ja","Denner Partner","")</f>
        <v/>
      </c>
      <c r="AM100" s="54" t="str">
        <f>IF(Migrationsartikel!AG99="ja","true","false")</f>
        <v>false</v>
      </c>
      <c r="AN100" s="54" t="str">
        <f t="shared" si="2"/>
        <v>Kassentastenbelegung (ohne GTIN/PLU)</v>
      </c>
      <c r="AO100" s="66" t="s">
        <v>219</v>
      </c>
      <c r="AP100" s="65" t="s">
        <v>1533</v>
      </c>
      <c r="AQ100" s="66" t="s">
        <v>217</v>
      </c>
      <c r="AR100" s="30" t="s">
        <v>219</v>
      </c>
    </row>
    <row r="101" spans="2:44" ht="21.75" customHeight="1" x14ac:dyDescent="0.45">
      <c r="B101" s="54" t="s">
        <v>99</v>
      </c>
      <c r="E101" s="55" t="s">
        <v>87</v>
      </c>
      <c r="F101" s="54" t="str">
        <f>"Warengruppe&gt;&gt;"&amp;_xlfn.TEXTJOIN("&gt;&gt;",TRUE,Migrationsartikel!V100:X100)</f>
        <v>Warengruppe&gt;&gt;Frische&gt;&gt;Molkereiprodukte &amp; Eier&gt;&gt;Milchprodukte</v>
      </c>
      <c r="H101" s="55" t="s">
        <v>109</v>
      </c>
      <c r="J101" s="79">
        <f>Migrationsartikel!B100</f>
        <v>0</v>
      </c>
      <c r="L101" s="54" t="str">
        <f>_xlfn.TEXTJOIN(" ",TRUE,Migrationsartikel!F100:H100)</f>
        <v>Kräuterbutter aus der Region 60g</v>
      </c>
      <c r="M101" s="54" t="str">
        <f>_xlfn.TEXTJOIN(" ",TRUE,Migrationsartikel!J100:L100)</f>
        <v>Beurre aux herbes de la région 60g</v>
      </c>
      <c r="N101" s="54" t="str">
        <f>_xlfn.TEXTJOIN(" ",TRUE,Migrationsartikel!N100:P100)</f>
        <v>Burro alle erbe della regione 60g</v>
      </c>
      <c r="O101" s="54" t="str">
        <f>Migrationsartikel!F100</f>
        <v>Kräuterbutter</v>
      </c>
      <c r="P101" s="54" t="str">
        <f>Migrationsartikel!J100</f>
        <v>Beurre aux herbes</v>
      </c>
      <c r="Q101" s="54" t="str">
        <f>Migrationsartikel!N100</f>
        <v>Burro alle erbe</v>
      </c>
      <c r="R101" s="54" t="str">
        <f>_xlfn.TEXTJOIN(" ",TRUE,Migrationsartikel!G100)</f>
        <v>aus der Region</v>
      </c>
      <c r="S101" s="54" t="str">
        <f>_xlfn.TEXTJOIN(" ",TRUE,Migrationsartikel!K100)</f>
        <v>de la région</v>
      </c>
      <c r="T101" s="54" t="str">
        <f>_xlfn.TEXTJOIN(" ",TRUE,Migrationsartikel!O100)</f>
        <v>della regione</v>
      </c>
      <c r="U101" s="54" t="str">
        <f>_xlfn.TEXTJOIN(" ",TRUE,Migrationsartikel!H100)</f>
        <v>60g</v>
      </c>
      <c r="V101" s="54" t="str">
        <f>_xlfn.TEXTJOIN(" ",TRUE,Migrationsartikel!L100)</f>
        <v>60g</v>
      </c>
      <c r="W101" s="54" t="str">
        <f>_xlfn.TEXTJOIN(" ",TRUE,Migrationsartikel!P100)</f>
        <v>60g</v>
      </c>
      <c r="X101" s="54" t="str">
        <f>Migrationsartikel!I100</f>
        <v>Kräuterbutter 60g</v>
      </c>
      <c r="Y101" s="54" t="str">
        <f>Migrationsartikel!M100</f>
        <v>Beurre aux herbes 60g</v>
      </c>
      <c r="Z101" s="54" t="str">
        <f>Migrationsartikel!Q100</f>
        <v>Burro alle erbe 60g</v>
      </c>
      <c r="AA101" s="63">
        <f>Migrationsartikel!R100</f>
        <v>0.06</v>
      </c>
      <c r="AB101" s="54" t="str">
        <f>Migrationsartikel!T100</f>
        <v>Gramm</v>
      </c>
      <c r="AC101" s="65">
        <f>Migrationsartikel!S100</f>
        <v>100</v>
      </c>
      <c r="AD101" s="54" t="str">
        <f>Migrationsartikel!U100</f>
        <v>(PCE) Stück</v>
      </c>
      <c r="AE101" s="55" t="s">
        <v>179</v>
      </c>
      <c r="AF101" s="67">
        <f>Migrationsartikel!AA100</f>
        <v>0</v>
      </c>
      <c r="AG101" s="55" t="s">
        <v>192</v>
      </c>
      <c r="AH101" s="54" t="str">
        <f>IF(Migrationsartikel!AB100="ja","true",FALSE)</f>
        <v>true</v>
      </c>
      <c r="AI101" s="54" t="str">
        <f>IF(Migrationsartikel!AC100="ja","true",FALSE)</f>
        <v>true</v>
      </c>
      <c r="AJ101" s="54" t="str">
        <f>IF(Migrationsartikel!AD100="ja","true",FALSE)</f>
        <v>true</v>
      </c>
      <c r="AK101" s="54" t="str">
        <f>IF(Migrationsartikel!AE100="ja","true",FALSE)</f>
        <v>true</v>
      </c>
      <c r="AL101" s="54" t="str">
        <f>IF(Migrationsartikel!AF100="ja","Denner Partner","")</f>
        <v/>
      </c>
      <c r="AM101" s="54" t="str">
        <f>IF(Migrationsartikel!AG100="ja","true","false")</f>
        <v>false</v>
      </c>
      <c r="AN101" s="54" t="str">
        <f t="shared" si="2"/>
        <v>Kassentastenbelegung (ohne GTIN/PLU)</v>
      </c>
      <c r="AO101" s="66" t="s">
        <v>219</v>
      </c>
      <c r="AP101" s="65" t="s">
        <v>1534</v>
      </c>
      <c r="AQ101" s="66" t="s">
        <v>217</v>
      </c>
      <c r="AR101" s="30" t="s">
        <v>219</v>
      </c>
    </row>
    <row r="102" spans="2:44" ht="21.75" customHeight="1" x14ac:dyDescent="0.45">
      <c r="B102" s="54" t="s">
        <v>99</v>
      </c>
      <c r="E102" s="55" t="s">
        <v>87</v>
      </c>
      <c r="F102" s="54" t="str">
        <f>"Warengruppe&gt;&gt;"&amp;_xlfn.TEXTJOIN("&gt;&gt;",TRUE,Migrationsartikel!V101:X101)</f>
        <v>Warengruppe&gt;&gt;Frische&gt;&gt;Molkereiprodukte &amp; Eier&gt;&gt;Milchprodukte</v>
      </c>
      <c r="H102" s="55" t="s">
        <v>109</v>
      </c>
      <c r="J102" s="79">
        <f>Migrationsartikel!B101</f>
        <v>0</v>
      </c>
      <c r="L102" s="54" t="str">
        <f>_xlfn.TEXTJOIN(" ",TRUE,Migrationsartikel!F101:H101)</f>
        <v>Kräuterbutter aus der Region 100g</v>
      </c>
      <c r="M102" s="54" t="str">
        <f>_xlfn.TEXTJOIN(" ",TRUE,Migrationsartikel!J101:L101)</f>
        <v>Beurre aux herbes de la région 100g</v>
      </c>
      <c r="N102" s="54" t="str">
        <f>_xlfn.TEXTJOIN(" ",TRUE,Migrationsartikel!N101:P101)</f>
        <v>Burro alle erbe della regione 100g</v>
      </c>
      <c r="O102" s="54" t="str">
        <f>Migrationsartikel!F101</f>
        <v>Kräuterbutter</v>
      </c>
      <c r="P102" s="54" t="str">
        <f>Migrationsartikel!J101</f>
        <v>Beurre aux herbes</v>
      </c>
      <c r="Q102" s="54" t="str">
        <f>Migrationsartikel!N101</f>
        <v>Burro alle erbe</v>
      </c>
      <c r="R102" s="54" t="str">
        <f>_xlfn.TEXTJOIN(" ",TRUE,Migrationsartikel!G101)</f>
        <v>aus der Region</v>
      </c>
      <c r="S102" s="54" t="str">
        <f>_xlfn.TEXTJOIN(" ",TRUE,Migrationsartikel!K101)</f>
        <v>de la région</v>
      </c>
      <c r="T102" s="54" t="str">
        <f>_xlfn.TEXTJOIN(" ",TRUE,Migrationsartikel!O101)</f>
        <v>della regione</v>
      </c>
      <c r="U102" s="54" t="str">
        <f>_xlfn.TEXTJOIN(" ",TRUE,Migrationsartikel!H101)</f>
        <v>100g</v>
      </c>
      <c r="V102" s="54" t="str">
        <f>_xlfn.TEXTJOIN(" ",TRUE,Migrationsartikel!L101)</f>
        <v>100g</v>
      </c>
      <c r="W102" s="54" t="str">
        <f>_xlfn.TEXTJOIN(" ",TRUE,Migrationsartikel!P101)</f>
        <v>100g</v>
      </c>
      <c r="X102" s="54" t="str">
        <f>Migrationsartikel!I101</f>
        <v>Kräuterbutter 100g</v>
      </c>
      <c r="Y102" s="54" t="str">
        <f>Migrationsartikel!M101</f>
        <v>Beurre aux herbes 100g</v>
      </c>
      <c r="Z102" s="54" t="str">
        <f>Migrationsartikel!Q101</f>
        <v>Burro alle erbe 100g</v>
      </c>
      <c r="AA102" s="63">
        <f>Migrationsartikel!R101</f>
        <v>0.1</v>
      </c>
      <c r="AB102" s="54" t="str">
        <f>Migrationsartikel!T101</f>
        <v>Gramm</v>
      </c>
      <c r="AC102" s="65">
        <f>Migrationsartikel!S101</f>
        <v>100</v>
      </c>
      <c r="AD102" s="54" t="str">
        <f>Migrationsartikel!U101</f>
        <v>(PCE) Stück</v>
      </c>
      <c r="AE102" s="55" t="s">
        <v>179</v>
      </c>
      <c r="AF102" s="67">
        <f>Migrationsartikel!AA101</f>
        <v>0</v>
      </c>
      <c r="AG102" s="55" t="s">
        <v>192</v>
      </c>
      <c r="AH102" s="54" t="str">
        <f>IF(Migrationsartikel!AB101="ja","true",FALSE)</f>
        <v>true</v>
      </c>
      <c r="AI102" s="54" t="str">
        <f>IF(Migrationsartikel!AC101="ja","true",FALSE)</f>
        <v>true</v>
      </c>
      <c r="AJ102" s="54" t="str">
        <f>IF(Migrationsartikel!AD101="ja","true",FALSE)</f>
        <v>true</v>
      </c>
      <c r="AK102" s="54" t="str">
        <f>IF(Migrationsartikel!AE101="ja","true",FALSE)</f>
        <v>true</v>
      </c>
      <c r="AL102" s="54" t="str">
        <f>IF(Migrationsartikel!AF101="ja","Denner Partner","")</f>
        <v/>
      </c>
      <c r="AM102" s="54" t="str">
        <f>IF(Migrationsartikel!AG101="ja","true","false")</f>
        <v>false</v>
      </c>
      <c r="AN102" s="54" t="str">
        <f t="shared" si="2"/>
        <v>Kassentastenbelegung (ohne GTIN/PLU)</v>
      </c>
      <c r="AO102" s="66" t="s">
        <v>219</v>
      </c>
      <c r="AP102" s="65" t="s">
        <v>1535</v>
      </c>
      <c r="AQ102" s="66" t="s">
        <v>217</v>
      </c>
      <c r="AR102" s="30" t="s">
        <v>219</v>
      </c>
    </row>
    <row r="103" spans="2:44" ht="21.75" customHeight="1" x14ac:dyDescent="0.45">
      <c r="B103" s="54" t="s">
        <v>99</v>
      </c>
      <c r="E103" s="55" t="s">
        <v>87</v>
      </c>
      <c r="F103" s="54" t="str">
        <f>"Warengruppe&gt;&gt;"&amp;_xlfn.TEXTJOIN("&gt;&gt;",TRUE,Migrationsartikel!V102:X102)</f>
        <v>Warengruppe&gt;&gt;Frische&gt;&gt;Fleisch- und Wurstwaren&gt;&gt;Wurstwaren</v>
      </c>
      <c r="H103" s="55" t="s">
        <v>109</v>
      </c>
      <c r="J103" s="79">
        <f>Migrationsartikel!B102</f>
        <v>864</v>
      </c>
      <c r="L103" s="54" t="str">
        <f>_xlfn.TEXTJOIN(" ",TRUE,Migrationsartikel!F102:H102)</f>
        <v>Landjäger dunkel aus der Region 2Stk</v>
      </c>
      <c r="M103" s="54" t="str">
        <f>_xlfn.TEXTJOIN(" ",TRUE,Migrationsartikel!J102:L102)</f>
        <v>Sauc. Landjäger foncée de la région 2pces</v>
      </c>
      <c r="N103" s="54" t="str">
        <f>_xlfn.TEXTJOIN(" ",TRUE,Migrationsartikel!N102:P102)</f>
        <v>Sals. Landjäger scura della regione 2pz</v>
      </c>
      <c r="O103" s="54" t="str">
        <f>Migrationsartikel!F102</f>
        <v>Landjäger dunkel</v>
      </c>
      <c r="P103" s="54" t="str">
        <f>Migrationsartikel!J102</f>
        <v>Sauc. Landjäger foncée</v>
      </c>
      <c r="Q103" s="54" t="str">
        <f>Migrationsartikel!N102</f>
        <v>Sals. Landjäger scura</v>
      </c>
      <c r="R103" s="54" t="str">
        <f>_xlfn.TEXTJOIN(" ",TRUE,Migrationsartikel!G102)</f>
        <v>aus der Region</v>
      </c>
      <c r="S103" s="54" t="str">
        <f>_xlfn.TEXTJOIN(" ",TRUE,Migrationsartikel!K102)</f>
        <v>de la région</v>
      </c>
      <c r="T103" s="54" t="str">
        <f>_xlfn.TEXTJOIN(" ",TRUE,Migrationsartikel!O102)</f>
        <v>della regione</v>
      </c>
      <c r="U103" s="54" t="str">
        <f>_xlfn.TEXTJOIN(" ",TRUE,Migrationsartikel!H102)</f>
        <v>2Stk</v>
      </c>
      <c r="V103" s="54" t="str">
        <f>_xlfn.TEXTJOIN(" ",TRUE,Migrationsartikel!L102)</f>
        <v>2pces</v>
      </c>
      <c r="W103" s="54" t="str">
        <f>_xlfn.TEXTJOIN(" ",TRUE,Migrationsartikel!P102)</f>
        <v>2pz</v>
      </c>
      <c r="X103" s="54" t="str">
        <f>Migrationsartikel!I102</f>
        <v>Landjäger dunkel 2Stk</v>
      </c>
      <c r="Y103" s="54" t="str">
        <f>Migrationsartikel!M102</f>
        <v>Sauc. foncée 2pces</v>
      </c>
      <c r="Z103" s="54" t="str">
        <f>Migrationsartikel!Q102</f>
        <v>Sals. scura 2pz</v>
      </c>
      <c r="AA103" s="63">
        <f>Migrationsartikel!R102</f>
        <v>2</v>
      </c>
      <c r="AB103" s="54" t="str">
        <f>Migrationsartikel!T102</f>
        <v>Gramm</v>
      </c>
      <c r="AC103" s="65">
        <f>Migrationsartikel!S102</f>
        <v>100</v>
      </c>
      <c r="AD103" s="54" t="str">
        <f>Migrationsartikel!U102</f>
        <v>(PCE) Stück</v>
      </c>
      <c r="AE103" s="55" t="s">
        <v>179</v>
      </c>
      <c r="AF103" s="67">
        <f>Migrationsartikel!AA102</f>
        <v>0</v>
      </c>
      <c r="AG103" s="55" t="s">
        <v>192</v>
      </c>
      <c r="AH103" s="54" t="str">
        <f>IF(Migrationsartikel!AB102="ja","true",FALSE)</f>
        <v>true</v>
      </c>
      <c r="AI103" s="54" t="str">
        <f>IF(Migrationsartikel!AC102="ja","true",FALSE)</f>
        <v>true</v>
      </c>
      <c r="AJ103" s="54" t="str">
        <f>IF(Migrationsartikel!AD102="ja","true",FALSE)</f>
        <v>true</v>
      </c>
      <c r="AK103" s="54" t="str">
        <f>IF(Migrationsartikel!AE102="ja","true",FALSE)</f>
        <v>true</v>
      </c>
      <c r="AL103" s="54" t="str">
        <f>IF(Migrationsartikel!AF102="ja","Denner Partner","")</f>
        <v/>
      </c>
      <c r="AM103" s="54" t="str">
        <f>IF(Migrationsartikel!AG102="ja","true","false")</f>
        <v>false</v>
      </c>
      <c r="AN103" s="54" t="str">
        <f t="shared" si="2"/>
        <v>PLU</v>
      </c>
      <c r="AO103" s="66" t="s">
        <v>219</v>
      </c>
      <c r="AP103" s="65" t="s">
        <v>1536</v>
      </c>
      <c r="AQ103" s="66" t="s">
        <v>217</v>
      </c>
      <c r="AR103" s="30" t="s">
        <v>219</v>
      </c>
    </row>
    <row r="104" spans="2:44" ht="21.75" customHeight="1" x14ac:dyDescent="0.45">
      <c r="B104" s="54" t="s">
        <v>99</v>
      </c>
      <c r="E104" s="55" t="s">
        <v>87</v>
      </c>
      <c r="F104" s="54" t="str">
        <f>"Warengruppe&gt;&gt;"&amp;_xlfn.TEXTJOIN("&gt;&gt;",TRUE,Migrationsartikel!V103:X103)</f>
        <v>Warengruppe&gt;&gt;Frische&gt;&gt;Fleisch- und Wurstwaren&gt;&gt;Wurstwaren</v>
      </c>
      <c r="H104" s="55" t="s">
        <v>109</v>
      </c>
      <c r="J104" s="79">
        <f>Migrationsartikel!B103</f>
        <v>865</v>
      </c>
      <c r="L104" s="54" t="str">
        <f>_xlfn.TEXTJOIN(" ",TRUE,Migrationsartikel!F103:H103)</f>
        <v>Landjäger hell aus der Region 2Stk</v>
      </c>
      <c r="M104" s="54" t="str">
        <f>_xlfn.TEXTJOIN(" ",TRUE,Migrationsartikel!J103:L103)</f>
        <v>Sauc. Landjäger claire de la région 2pces</v>
      </c>
      <c r="N104" s="54" t="str">
        <f>_xlfn.TEXTJOIN(" ",TRUE,Migrationsartikel!N103:P103)</f>
        <v>Sals. Landjäger chiara della regione 2pz</v>
      </c>
      <c r="O104" s="54" t="str">
        <f>Migrationsartikel!F103</f>
        <v>Landjäger hell</v>
      </c>
      <c r="P104" s="54" t="str">
        <f>Migrationsartikel!J103</f>
        <v>Sauc. Landjäger claire</v>
      </c>
      <c r="Q104" s="54" t="str">
        <f>Migrationsartikel!N103</f>
        <v>Sals. Landjäger chiara</v>
      </c>
      <c r="R104" s="54" t="str">
        <f>_xlfn.TEXTJOIN(" ",TRUE,Migrationsartikel!G103)</f>
        <v>aus der Region</v>
      </c>
      <c r="S104" s="54" t="str">
        <f>_xlfn.TEXTJOIN(" ",TRUE,Migrationsartikel!K103)</f>
        <v>de la région</v>
      </c>
      <c r="T104" s="54" t="str">
        <f>_xlfn.TEXTJOIN(" ",TRUE,Migrationsartikel!O103)</f>
        <v>della regione</v>
      </c>
      <c r="U104" s="54" t="str">
        <f>_xlfn.TEXTJOIN(" ",TRUE,Migrationsartikel!H103)</f>
        <v>2Stk</v>
      </c>
      <c r="V104" s="54" t="str">
        <f>_xlfn.TEXTJOIN(" ",TRUE,Migrationsartikel!L103)</f>
        <v>2pces</v>
      </c>
      <c r="W104" s="54" t="str">
        <f>_xlfn.TEXTJOIN(" ",TRUE,Migrationsartikel!P103)</f>
        <v>2pz</v>
      </c>
      <c r="X104" s="54" t="str">
        <f>Migrationsartikel!I103</f>
        <v>Landjäger hell 2Stk</v>
      </c>
      <c r="Y104" s="54" t="str">
        <f>Migrationsartikel!M103</f>
        <v>Sauc. claire 2pces</v>
      </c>
      <c r="Z104" s="54" t="str">
        <f>Migrationsartikel!Q103</f>
        <v>Sals. chiara 2pz</v>
      </c>
      <c r="AA104" s="63">
        <f>Migrationsartikel!R103</f>
        <v>2</v>
      </c>
      <c r="AB104" s="54" t="str">
        <f>Migrationsartikel!T103</f>
        <v>Gramm</v>
      </c>
      <c r="AC104" s="65">
        <f>Migrationsartikel!S103</f>
        <v>100</v>
      </c>
      <c r="AD104" s="54" t="str">
        <f>Migrationsartikel!U103</f>
        <v>(PCE) Stück</v>
      </c>
      <c r="AE104" s="55" t="s">
        <v>179</v>
      </c>
      <c r="AF104" s="67">
        <f>Migrationsartikel!AA103</f>
        <v>0</v>
      </c>
      <c r="AG104" s="55" t="s">
        <v>192</v>
      </c>
      <c r="AH104" s="54" t="str">
        <f>IF(Migrationsartikel!AB103="ja","true",FALSE)</f>
        <v>true</v>
      </c>
      <c r="AI104" s="54" t="str">
        <f>IF(Migrationsartikel!AC103="ja","true",FALSE)</f>
        <v>true</v>
      </c>
      <c r="AJ104" s="54" t="str">
        <f>IF(Migrationsartikel!AD103="ja","true",FALSE)</f>
        <v>true</v>
      </c>
      <c r="AK104" s="54" t="str">
        <f>IF(Migrationsartikel!AE103="ja","true",FALSE)</f>
        <v>true</v>
      </c>
      <c r="AL104" s="54" t="str">
        <f>IF(Migrationsartikel!AF103="ja","Denner Partner","")</f>
        <v/>
      </c>
      <c r="AM104" s="54" t="str">
        <f>IF(Migrationsartikel!AG103="ja","true","false")</f>
        <v>false</v>
      </c>
      <c r="AN104" s="54" t="str">
        <f t="shared" si="2"/>
        <v>PLU</v>
      </c>
      <c r="AO104" s="66" t="s">
        <v>219</v>
      </c>
      <c r="AP104" s="65" t="s">
        <v>1537</v>
      </c>
      <c r="AQ104" s="66" t="s">
        <v>217</v>
      </c>
      <c r="AR104" s="30" t="s">
        <v>219</v>
      </c>
    </row>
    <row r="105" spans="2:44" ht="21.75" customHeight="1" x14ac:dyDescent="0.45">
      <c r="B105" s="54" t="s">
        <v>99</v>
      </c>
      <c r="E105" s="55" t="s">
        <v>87</v>
      </c>
      <c r="F105" s="54" t="str">
        <f>"Warengruppe&gt;&gt;"&amp;_xlfn.TEXTJOIN("&gt;&gt;",TRUE,Migrationsartikel!V104:X104)</f>
        <v>Warengruppe&gt;&gt;Frische&gt;&gt;Molkereiprodukte &amp; Eier&gt;&gt;Milchprodukte</v>
      </c>
      <c r="H105" s="55" t="s">
        <v>109</v>
      </c>
      <c r="J105" s="79">
        <f>Migrationsartikel!B104</f>
        <v>0</v>
      </c>
      <c r="L105" s="54" t="str">
        <f>_xlfn.TEXTJOIN(" ",TRUE,Migrationsartikel!F104:H104)</f>
        <v>Molki Spezialitäten aus der Region 1Stk</v>
      </c>
      <c r="M105" s="54" t="str">
        <f>_xlfn.TEXTJOIN(" ",TRUE,Migrationsartikel!J104:L104)</f>
        <v>Spécialités laiterie de la région 1pce</v>
      </c>
      <c r="N105" s="54" t="str">
        <f>_xlfn.TEXTJOIN(" ",TRUE,Migrationsartikel!N104:P104)</f>
        <v>Specialità di latteria della regione 1pz</v>
      </c>
      <c r="O105" s="54" t="str">
        <f>Migrationsartikel!F104</f>
        <v>Molki Spezialitäten</v>
      </c>
      <c r="P105" s="54" t="str">
        <f>Migrationsartikel!J104</f>
        <v>Spécialités laiterie</v>
      </c>
      <c r="Q105" s="54" t="str">
        <f>Migrationsartikel!N104</f>
        <v>Specialità di latteria</v>
      </c>
      <c r="R105" s="54" t="str">
        <f>_xlfn.TEXTJOIN(" ",TRUE,Migrationsartikel!G104)</f>
        <v>aus der Region</v>
      </c>
      <c r="S105" s="54" t="str">
        <f>_xlfn.TEXTJOIN(" ",TRUE,Migrationsartikel!K104)</f>
        <v>de la région</v>
      </c>
      <c r="T105" s="54" t="str">
        <f>_xlfn.TEXTJOIN(" ",TRUE,Migrationsartikel!O104)</f>
        <v>della regione</v>
      </c>
      <c r="U105" s="54" t="str">
        <f>_xlfn.TEXTJOIN(" ",TRUE,Migrationsartikel!H104)</f>
        <v>1Stk</v>
      </c>
      <c r="V105" s="54" t="str">
        <f>_xlfn.TEXTJOIN(" ",TRUE,Migrationsartikel!L104)</f>
        <v>1pce</v>
      </c>
      <c r="W105" s="54" t="str">
        <f>_xlfn.TEXTJOIN(" ",TRUE,Migrationsartikel!P104)</f>
        <v>1pz</v>
      </c>
      <c r="X105" s="54" t="str">
        <f>Migrationsartikel!I104</f>
        <v>Molki Spezialitäten</v>
      </c>
      <c r="Y105" s="54" t="str">
        <f>Migrationsartikel!M104</f>
        <v>Spécialités laiterie</v>
      </c>
      <c r="Z105" s="54" t="str">
        <f>Migrationsartikel!Q104</f>
        <v>Specialità di latteria</v>
      </c>
      <c r="AA105" s="63">
        <f>Migrationsartikel!R104</f>
        <v>1</v>
      </c>
      <c r="AB105" s="54" t="str">
        <f>Migrationsartikel!T104</f>
        <v>Stück</v>
      </c>
      <c r="AC105" s="65">
        <f>Migrationsartikel!S104</f>
        <v>1</v>
      </c>
      <c r="AD105" s="54" t="str">
        <f>Migrationsartikel!U104</f>
        <v>(PCE) Stück</v>
      </c>
      <c r="AE105" s="55" t="s">
        <v>179</v>
      </c>
      <c r="AF105" s="67">
        <f>Migrationsartikel!AA104</f>
        <v>0</v>
      </c>
      <c r="AG105" s="55" t="s">
        <v>192</v>
      </c>
      <c r="AH105" s="54" t="str">
        <f>IF(Migrationsartikel!AB104="ja","true",FALSE)</f>
        <v>true</v>
      </c>
      <c r="AI105" s="54" t="str">
        <f>IF(Migrationsartikel!AC104="ja","true",FALSE)</f>
        <v>true</v>
      </c>
      <c r="AJ105" s="54" t="str">
        <f>IF(Migrationsartikel!AD104="ja","true",FALSE)</f>
        <v>true</v>
      </c>
      <c r="AK105" s="54" t="str">
        <f>IF(Migrationsartikel!AE104="ja","true",FALSE)</f>
        <v>true</v>
      </c>
      <c r="AL105" s="54" t="str">
        <f>IF(Migrationsartikel!AF104="ja","Denner Partner","")</f>
        <v/>
      </c>
      <c r="AM105" s="54" t="str">
        <f>IF(Migrationsartikel!AG104="ja","true","false")</f>
        <v>false</v>
      </c>
      <c r="AN105" s="54" t="str">
        <f t="shared" si="2"/>
        <v>Kassentastenbelegung (ohne GTIN/PLU)</v>
      </c>
      <c r="AO105" s="66" t="s">
        <v>219</v>
      </c>
      <c r="AP105" s="65" t="s">
        <v>1538</v>
      </c>
      <c r="AQ105" s="66" t="s">
        <v>217</v>
      </c>
      <c r="AR105" s="30" t="s">
        <v>219</v>
      </c>
    </row>
    <row r="106" spans="2:44" ht="21.75" customHeight="1" x14ac:dyDescent="0.45">
      <c r="B106" s="54" t="s">
        <v>99</v>
      </c>
      <c r="E106" s="55" t="s">
        <v>87</v>
      </c>
      <c r="F106" s="54" t="str">
        <f>"Warengruppe&gt;&gt;"&amp;_xlfn.TEXTJOIN("&gt;&gt;",TRUE,Migrationsartikel!V105:X105)</f>
        <v>Warengruppe&gt;&gt;Frische&gt;&gt;Käse&gt;&gt;Käse</v>
      </c>
      <c r="H106" s="55" t="s">
        <v>109</v>
      </c>
      <c r="J106" s="79">
        <f>Migrationsartikel!B105</f>
        <v>841</v>
      </c>
      <c r="L106" s="54" t="str">
        <f>_xlfn.TEXTJOIN(" ",TRUE,Migrationsartikel!F105:H105)</f>
        <v>Mutschli aus der Region 1Stk</v>
      </c>
      <c r="M106" s="54" t="str">
        <f>_xlfn.TEXTJOIN(" ",TRUE,Migrationsartikel!J105:L105)</f>
        <v>Tomme de la région 1pce</v>
      </c>
      <c r="N106" s="54" t="str">
        <f>_xlfn.TEXTJOIN(" ",TRUE,Migrationsartikel!N105:P105)</f>
        <v>Tomino della regione 1pz</v>
      </c>
      <c r="O106" s="54" t="str">
        <f>Migrationsartikel!F105</f>
        <v>Mutschli</v>
      </c>
      <c r="P106" s="54" t="str">
        <f>Migrationsartikel!J105</f>
        <v>Tomme</v>
      </c>
      <c r="Q106" s="54" t="str">
        <f>Migrationsartikel!N105</f>
        <v>Tomino</v>
      </c>
      <c r="R106" s="54" t="str">
        <f>_xlfn.TEXTJOIN(" ",TRUE,Migrationsartikel!G105)</f>
        <v>aus der Region</v>
      </c>
      <c r="S106" s="54" t="str">
        <f>_xlfn.TEXTJOIN(" ",TRUE,Migrationsartikel!K105)</f>
        <v>de la région</v>
      </c>
      <c r="T106" s="54" t="str">
        <f>_xlfn.TEXTJOIN(" ",TRUE,Migrationsartikel!O105)</f>
        <v>della regione</v>
      </c>
      <c r="U106" s="54" t="str">
        <f>_xlfn.TEXTJOIN(" ",TRUE,Migrationsartikel!H105)</f>
        <v>1Stk</v>
      </c>
      <c r="V106" s="54" t="str">
        <f>_xlfn.TEXTJOIN(" ",TRUE,Migrationsartikel!L105)</f>
        <v>1pce</v>
      </c>
      <c r="W106" s="54" t="str">
        <f>_xlfn.TEXTJOIN(" ",TRUE,Migrationsartikel!P105)</f>
        <v>1pz</v>
      </c>
      <c r="X106" s="54" t="str">
        <f>Migrationsartikel!I105</f>
        <v>Mutschli</v>
      </c>
      <c r="Y106" s="54" t="str">
        <f>Migrationsartikel!M105</f>
        <v>Tomme</v>
      </c>
      <c r="Z106" s="54" t="str">
        <f>Migrationsartikel!Q105</f>
        <v>Tomino</v>
      </c>
      <c r="AA106" s="63">
        <f>Migrationsartikel!R105</f>
        <v>1</v>
      </c>
      <c r="AB106" s="54" t="str">
        <f>Migrationsartikel!T105</f>
        <v>Gramm</v>
      </c>
      <c r="AC106" s="65">
        <f>Migrationsartikel!S105</f>
        <v>100</v>
      </c>
      <c r="AD106" s="54" t="str">
        <f>Migrationsartikel!U105</f>
        <v>(PCE) Stück</v>
      </c>
      <c r="AE106" s="55" t="s">
        <v>179</v>
      </c>
      <c r="AF106" s="67">
        <f>Migrationsartikel!AA105</f>
        <v>0</v>
      </c>
      <c r="AG106" s="55" t="s">
        <v>192</v>
      </c>
      <c r="AH106" s="54" t="str">
        <f>IF(Migrationsartikel!AB105="ja","true",FALSE)</f>
        <v>true</v>
      </c>
      <c r="AI106" s="54" t="str">
        <f>IF(Migrationsartikel!AC105="ja","true",FALSE)</f>
        <v>true</v>
      </c>
      <c r="AJ106" s="54" t="str">
        <f>IF(Migrationsartikel!AD105="ja","true",FALSE)</f>
        <v>true</v>
      </c>
      <c r="AK106" s="54" t="str">
        <f>IF(Migrationsartikel!AE105="ja","true",FALSE)</f>
        <v>true</v>
      </c>
      <c r="AL106" s="54" t="str">
        <f>IF(Migrationsartikel!AF105="ja","Denner Partner","")</f>
        <v/>
      </c>
      <c r="AM106" s="54" t="str">
        <f>IF(Migrationsartikel!AG105="ja","true","false")</f>
        <v>false</v>
      </c>
      <c r="AN106" s="54" t="str">
        <f t="shared" si="2"/>
        <v>PLU</v>
      </c>
      <c r="AO106" s="66" t="s">
        <v>219</v>
      </c>
      <c r="AP106" s="65" t="s">
        <v>1539</v>
      </c>
      <c r="AQ106" s="66" t="s">
        <v>217</v>
      </c>
      <c r="AR106" s="30" t="s">
        <v>219</v>
      </c>
    </row>
    <row r="107" spans="2:44" ht="21.75" customHeight="1" x14ac:dyDescent="0.45">
      <c r="B107" s="54" t="s">
        <v>99</v>
      </c>
      <c r="E107" s="55" t="s">
        <v>87</v>
      </c>
      <c r="F107" s="54" t="str">
        <f>"Warengruppe&gt;&gt;"&amp;_xlfn.TEXTJOIN("&gt;&gt;",TRUE,Migrationsartikel!V106:X106)</f>
        <v>Warengruppe&gt;&gt;Frische&gt;&gt;Molkereiprodukte &amp; Eier&gt;&gt;Eier</v>
      </c>
      <c r="H107" s="55" t="s">
        <v>109</v>
      </c>
      <c r="J107" s="79">
        <f>Migrationsartikel!B106</f>
        <v>0</v>
      </c>
      <c r="L107" s="54" t="str">
        <f>_xlfn.TEXTJOIN(" ",TRUE,Migrationsartikel!F106:H106)</f>
        <v>Picnic-Eier aus der Region 6Stk</v>
      </c>
      <c r="M107" s="54" t="str">
        <f>_xlfn.TEXTJOIN(" ",TRUE,Migrationsartikel!J106:L106)</f>
        <v>Oeufs picnic de la région 6pces</v>
      </c>
      <c r="N107" s="54" t="str">
        <f>_xlfn.TEXTJOIN(" ",TRUE,Migrationsartikel!N106:P106)</f>
        <v>Uova picnic della regione 6pz</v>
      </c>
      <c r="O107" s="54" t="str">
        <f>Migrationsartikel!F106</f>
        <v>Picnic-Eier</v>
      </c>
      <c r="P107" s="54" t="str">
        <f>Migrationsartikel!J106</f>
        <v>Oeufs picnic</v>
      </c>
      <c r="Q107" s="54" t="str">
        <f>Migrationsartikel!N106</f>
        <v>Uova picnic</v>
      </c>
      <c r="R107" s="54" t="str">
        <f>_xlfn.TEXTJOIN(" ",TRUE,Migrationsartikel!G106)</f>
        <v>aus der Region</v>
      </c>
      <c r="S107" s="54" t="str">
        <f>_xlfn.TEXTJOIN(" ",TRUE,Migrationsartikel!K106)</f>
        <v>de la région</v>
      </c>
      <c r="T107" s="54" t="str">
        <f>_xlfn.TEXTJOIN(" ",TRUE,Migrationsartikel!O106)</f>
        <v>della regione</v>
      </c>
      <c r="U107" s="54" t="str">
        <f>_xlfn.TEXTJOIN(" ",TRUE,Migrationsartikel!H106)</f>
        <v>6Stk</v>
      </c>
      <c r="V107" s="54" t="str">
        <f>_xlfn.TEXTJOIN(" ",TRUE,Migrationsartikel!L106)</f>
        <v>6pces</v>
      </c>
      <c r="W107" s="54" t="str">
        <f>_xlfn.TEXTJOIN(" ",TRUE,Migrationsartikel!P106)</f>
        <v>6pz</v>
      </c>
      <c r="X107" s="54" t="str">
        <f>Migrationsartikel!I106</f>
        <v>Picnic-Eier 6Stk</v>
      </c>
      <c r="Y107" s="54" t="str">
        <f>Migrationsartikel!M106</f>
        <v>Oeufs picnic 6pces</v>
      </c>
      <c r="Z107" s="54" t="str">
        <f>Migrationsartikel!Q106</f>
        <v>Uova picnic 6pz</v>
      </c>
      <c r="AA107" s="63">
        <f>Migrationsartikel!R106</f>
        <v>6</v>
      </c>
      <c r="AB107" s="54" t="str">
        <f>Migrationsartikel!T106</f>
        <v>Stück</v>
      </c>
      <c r="AC107" s="65">
        <f>Migrationsartikel!S106</f>
        <v>1</v>
      </c>
      <c r="AD107" s="54" t="str">
        <f>Migrationsartikel!U106</f>
        <v>(PCE) Stück</v>
      </c>
      <c r="AE107" s="55" t="s">
        <v>179</v>
      </c>
      <c r="AF107" s="67">
        <f>Migrationsartikel!AA106</f>
        <v>0</v>
      </c>
      <c r="AG107" s="55" t="s">
        <v>192</v>
      </c>
      <c r="AH107" s="54" t="str">
        <f>IF(Migrationsartikel!AB106="ja","true",FALSE)</f>
        <v>true</v>
      </c>
      <c r="AI107" s="54" t="str">
        <f>IF(Migrationsartikel!AC106="ja","true",FALSE)</f>
        <v>true</v>
      </c>
      <c r="AJ107" s="54" t="str">
        <f>IF(Migrationsartikel!AD106="ja","true",FALSE)</f>
        <v>true</v>
      </c>
      <c r="AK107" s="54" t="str">
        <f>IF(Migrationsartikel!AE106="ja","true",FALSE)</f>
        <v>true</v>
      </c>
      <c r="AL107" s="54" t="str">
        <f>IF(Migrationsartikel!AF106="ja","Denner Partner","")</f>
        <v/>
      </c>
      <c r="AM107" s="54" t="str">
        <f>IF(Migrationsartikel!AG106="ja","true","false")</f>
        <v>false</v>
      </c>
      <c r="AN107" s="54" t="str">
        <f t="shared" si="2"/>
        <v>Kassentastenbelegung (ohne GTIN/PLU)</v>
      </c>
      <c r="AO107" s="66" t="s">
        <v>219</v>
      </c>
      <c r="AP107" s="65" t="s">
        <v>1540</v>
      </c>
      <c r="AQ107" s="66" t="s">
        <v>217</v>
      </c>
      <c r="AR107" s="30" t="s">
        <v>219</v>
      </c>
    </row>
    <row r="108" spans="2:44" ht="21.75" customHeight="1" x14ac:dyDescent="0.45">
      <c r="B108" s="54" t="s">
        <v>99</v>
      </c>
      <c r="E108" s="55" t="s">
        <v>87</v>
      </c>
      <c r="F108" s="54" t="str">
        <f>"Warengruppe&gt;&gt;"&amp;_xlfn.TEXTJOIN("&gt;&gt;",TRUE,Migrationsartikel!V107:X107)</f>
        <v>Warengruppe&gt;&gt;Frische&gt;&gt;Molkereiprodukte &amp; Eier&gt;&gt;Eier</v>
      </c>
      <c r="H108" s="55" t="s">
        <v>109</v>
      </c>
      <c r="J108" s="79">
        <f>Migrationsartikel!B107</f>
        <v>0</v>
      </c>
      <c r="L108" s="54" t="str">
        <f>_xlfn.TEXTJOIN(" ",TRUE,Migrationsartikel!F107:H107)</f>
        <v>Picnic-Eier aus der Region 1Stk</v>
      </c>
      <c r="M108" s="54" t="str">
        <f>_xlfn.TEXTJOIN(" ",TRUE,Migrationsartikel!J107:L107)</f>
        <v>Oeuf picnic de la région 1pce</v>
      </c>
      <c r="N108" s="54" t="str">
        <f>_xlfn.TEXTJOIN(" ",TRUE,Migrationsartikel!N107:P107)</f>
        <v>Uovo picnic della regione 1pz</v>
      </c>
      <c r="O108" s="54" t="str">
        <f>Migrationsartikel!F107</f>
        <v>Picnic-Eier</v>
      </c>
      <c r="P108" s="54" t="str">
        <f>Migrationsartikel!J107</f>
        <v>Oeuf picnic</v>
      </c>
      <c r="Q108" s="54" t="str">
        <f>Migrationsartikel!N107</f>
        <v>Uovo picnic</v>
      </c>
      <c r="R108" s="54" t="str">
        <f>_xlfn.TEXTJOIN(" ",TRUE,Migrationsartikel!G107)</f>
        <v>aus der Region</v>
      </c>
      <c r="S108" s="54" t="str">
        <f>_xlfn.TEXTJOIN(" ",TRUE,Migrationsartikel!K107)</f>
        <v>de la région</v>
      </c>
      <c r="T108" s="54" t="str">
        <f>_xlfn.TEXTJOIN(" ",TRUE,Migrationsartikel!O107)</f>
        <v>della regione</v>
      </c>
      <c r="U108" s="54" t="str">
        <f>_xlfn.TEXTJOIN(" ",TRUE,Migrationsartikel!H107)</f>
        <v>1Stk</v>
      </c>
      <c r="V108" s="54" t="str">
        <f>_xlfn.TEXTJOIN(" ",TRUE,Migrationsartikel!L107)</f>
        <v>1pce</v>
      </c>
      <c r="W108" s="54" t="str">
        <f>_xlfn.TEXTJOIN(" ",TRUE,Migrationsartikel!P107)</f>
        <v>1pz</v>
      </c>
      <c r="X108" s="54" t="str">
        <f>Migrationsartikel!I107</f>
        <v>Picnic-Eier 1Stk</v>
      </c>
      <c r="Y108" s="54" t="str">
        <f>Migrationsartikel!M107</f>
        <v>Oeuf picnic 1pce</v>
      </c>
      <c r="Z108" s="54" t="str">
        <f>Migrationsartikel!Q107</f>
        <v>Uovo picnic 1pz</v>
      </c>
      <c r="AA108" s="63">
        <f>Migrationsartikel!R107</f>
        <v>1</v>
      </c>
      <c r="AB108" s="54" t="str">
        <f>Migrationsartikel!T107</f>
        <v>Stück</v>
      </c>
      <c r="AC108" s="65">
        <f>Migrationsartikel!S107</f>
        <v>1</v>
      </c>
      <c r="AD108" s="54" t="str">
        <f>Migrationsartikel!U107</f>
        <v>(PCE) Stück</v>
      </c>
      <c r="AE108" s="55" t="s">
        <v>179</v>
      </c>
      <c r="AF108" s="67">
        <f>Migrationsartikel!AA107</f>
        <v>0</v>
      </c>
      <c r="AG108" s="55" t="s">
        <v>192</v>
      </c>
      <c r="AH108" s="54" t="str">
        <f>IF(Migrationsartikel!AB107="ja","true",FALSE)</f>
        <v>true</v>
      </c>
      <c r="AI108" s="54" t="str">
        <f>IF(Migrationsartikel!AC107="ja","true",FALSE)</f>
        <v>true</v>
      </c>
      <c r="AJ108" s="54" t="str">
        <f>IF(Migrationsartikel!AD107="ja","true",FALSE)</f>
        <v>true</v>
      </c>
      <c r="AK108" s="54" t="str">
        <f>IF(Migrationsartikel!AE107="ja","true",FALSE)</f>
        <v>true</v>
      </c>
      <c r="AL108" s="54" t="str">
        <f>IF(Migrationsartikel!AF107="ja","Denner Partner","")</f>
        <v/>
      </c>
      <c r="AM108" s="54" t="str">
        <f>IF(Migrationsartikel!AG107="ja","true","false")</f>
        <v>false</v>
      </c>
      <c r="AN108" s="54" t="str">
        <f t="shared" si="2"/>
        <v>Kassentastenbelegung (ohne GTIN/PLU)</v>
      </c>
      <c r="AO108" s="66" t="s">
        <v>219</v>
      </c>
      <c r="AP108" s="65" t="s">
        <v>1541</v>
      </c>
      <c r="AQ108" s="66" t="s">
        <v>217</v>
      </c>
      <c r="AR108" s="30" t="s">
        <v>219</v>
      </c>
    </row>
    <row r="109" spans="2:44" ht="21.75" customHeight="1" x14ac:dyDescent="0.45">
      <c r="B109" s="54" t="s">
        <v>99</v>
      </c>
      <c r="E109" s="55" t="s">
        <v>87</v>
      </c>
      <c r="F109" s="54" t="str">
        <f>"Warengruppe&gt;&gt;"&amp;_xlfn.TEXTJOIN("&gt;&gt;",TRUE,Migrationsartikel!V108:X108)</f>
        <v>Warengruppe&gt;&gt;Frische&gt;&gt;Käse&gt;&gt;Käse</v>
      </c>
      <c r="H109" s="55" t="s">
        <v>109</v>
      </c>
      <c r="J109" s="79">
        <f>Migrationsartikel!B108</f>
        <v>842</v>
      </c>
      <c r="L109" s="54" t="str">
        <f>_xlfn.TEXTJOIN(" ",TRUE,Migrationsartikel!F108:H108)</f>
        <v>Raclette aus der Region 1Stk</v>
      </c>
      <c r="M109" s="54" t="str">
        <f>_xlfn.TEXTJOIN(" ",TRUE,Migrationsartikel!J108:L108)</f>
        <v>Raclette de la région 1pce</v>
      </c>
      <c r="N109" s="54" t="str">
        <f>_xlfn.TEXTJOIN(" ",TRUE,Migrationsartikel!N108:P108)</f>
        <v>Raclette della regione 1pz</v>
      </c>
      <c r="O109" s="54" t="str">
        <f>Migrationsartikel!F108</f>
        <v>Raclette</v>
      </c>
      <c r="P109" s="54" t="str">
        <f>Migrationsartikel!J108</f>
        <v>Raclette</v>
      </c>
      <c r="Q109" s="54" t="str">
        <f>Migrationsartikel!N108</f>
        <v>Raclette</v>
      </c>
      <c r="R109" s="54" t="str">
        <f>_xlfn.TEXTJOIN(" ",TRUE,Migrationsartikel!G108)</f>
        <v>aus der Region</v>
      </c>
      <c r="S109" s="54" t="str">
        <f>_xlfn.TEXTJOIN(" ",TRUE,Migrationsartikel!K108)</f>
        <v>de la région</v>
      </c>
      <c r="T109" s="54" t="str">
        <f>_xlfn.TEXTJOIN(" ",TRUE,Migrationsartikel!O108)</f>
        <v>della regione</v>
      </c>
      <c r="U109" s="54" t="str">
        <f>_xlfn.TEXTJOIN(" ",TRUE,Migrationsartikel!H108)</f>
        <v>1Stk</v>
      </c>
      <c r="V109" s="54" t="str">
        <f>_xlfn.TEXTJOIN(" ",TRUE,Migrationsartikel!L108)</f>
        <v>1pce</v>
      </c>
      <c r="W109" s="54" t="str">
        <f>_xlfn.TEXTJOIN(" ",TRUE,Migrationsartikel!P108)</f>
        <v>1pz</v>
      </c>
      <c r="X109" s="54" t="str">
        <f>Migrationsartikel!I108</f>
        <v>Raclette</v>
      </c>
      <c r="Y109" s="54" t="str">
        <f>Migrationsartikel!M108</f>
        <v>Raclette</v>
      </c>
      <c r="Z109" s="54" t="str">
        <f>Migrationsartikel!Q108</f>
        <v>Raclette</v>
      </c>
      <c r="AA109" s="63">
        <f>Migrationsartikel!R108</f>
        <v>1</v>
      </c>
      <c r="AB109" s="54" t="str">
        <f>Migrationsartikel!T108</f>
        <v>Gramm</v>
      </c>
      <c r="AC109" s="65">
        <f>Migrationsartikel!S108</f>
        <v>100</v>
      </c>
      <c r="AD109" s="54" t="str">
        <f>Migrationsartikel!U108</f>
        <v>(PCE) Stück</v>
      </c>
      <c r="AE109" s="55" t="s">
        <v>179</v>
      </c>
      <c r="AF109" s="67">
        <f>Migrationsartikel!AA108</f>
        <v>0</v>
      </c>
      <c r="AG109" s="55" t="s">
        <v>192</v>
      </c>
      <c r="AH109" s="54" t="str">
        <f>IF(Migrationsartikel!AB108="ja","true",FALSE)</f>
        <v>true</v>
      </c>
      <c r="AI109" s="54" t="str">
        <f>IF(Migrationsartikel!AC108="ja","true",FALSE)</f>
        <v>true</v>
      </c>
      <c r="AJ109" s="54" t="str">
        <f>IF(Migrationsartikel!AD108="ja","true",FALSE)</f>
        <v>true</v>
      </c>
      <c r="AK109" s="54" t="str">
        <f>IF(Migrationsartikel!AE108="ja","true",FALSE)</f>
        <v>true</v>
      </c>
      <c r="AL109" s="54" t="str">
        <f>IF(Migrationsartikel!AF108="ja","Denner Partner","")</f>
        <v/>
      </c>
      <c r="AM109" s="54" t="str">
        <f>IF(Migrationsartikel!AG108="ja","true","false")</f>
        <v>false</v>
      </c>
      <c r="AN109" s="54" t="str">
        <f t="shared" si="2"/>
        <v>PLU</v>
      </c>
      <c r="AO109" s="66" t="s">
        <v>219</v>
      </c>
      <c r="AP109" s="65" t="s">
        <v>1542</v>
      </c>
      <c r="AQ109" s="66" t="s">
        <v>217</v>
      </c>
      <c r="AR109" s="30" t="s">
        <v>219</v>
      </c>
    </row>
    <row r="110" spans="2:44" ht="21.75" customHeight="1" x14ac:dyDescent="0.45">
      <c r="B110" s="54" t="s">
        <v>99</v>
      </c>
      <c r="E110" s="55" t="s">
        <v>87</v>
      </c>
      <c r="F110" s="54" t="str">
        <f>"Warengruppe&gt;&gt;"&amp;_xlfn.TEXTJOIN("&gt;&gt;",TRUE,Migrationsartikel!V109:X109)</f>
        <v>Warengruppe&gt;&gt;Frische&gt;&gt;Fleisch- und Wurstwaren&gt;&gt;Wurstwaren</v>
      </c>
      <c r="H110" s="55" t="s">
        <v>109</v>
      </c>
      <c r="J110" s="79">
        <f>Migrationsartikel!B109</f>
        <v>866</v>
      </c>
      <c r="L110" s="54" t="str">
        <f>_xlfn.TEXTJOIN(" ",TRUE,Migrationsartikel!F109:H109)</f>
        <v>Rauchwurst aus der Region 2Stk</v>
      </c>
      <c r="M110" s="54" t="str">
        <f>_xlfn.TEXTJOIN(" ",TRUE,Migrationsartikel!J109:L109)</f>
        <v>Saucisse fumée de la région 2pces</v>
      </c>
      <c r="N110" s="54" t="str">
        <f>_xlfn.TEXTJOIN(" ",TRUE,Migrationsartikel!N109:P109)</f>
        <v>Salsiccia affumicata della regione 2pz</v>
      </c>
      <c r="O110" s="54" t="str">
        <f>Migrationsartikel!F109</f>
        <v>Rauchwurst</v>
      </c>
      <c r="P110" s="54" t="str">
        <f>Migrationsartikel!J109</f>
        <v>Saucisse fumée</v>
      </c>
      <c r="Q110" s="54" t="str">
        <f>Migrationsartikel!N109</f>
        <v>Salsiccia affumicata</v>
      </c>
      <c r="R110" s="54" t="str">
        <f>_xlfn.TEXTJOIN(" ",TRUE,Migrationsartikel!G109)</f>
        <v>aus der Region</v>
      </c>
      <c r="S110" s="54" t="str">
        <f>_xlfn.TEXTJOIN(" ",TRUE,Migrationsartikel!K109)</f>
        <v>de la région</v>
      </c>
      <c r="T110" s="54" t="str">
        <f>_xlfn.TEXTJOIN(" ",TRUE,Migrationsartikel!O109)</f>
        <v>della regione</v>
      </c>
      <c r="U110" s="54" t="str">
        <f>_xlfn.TEXTJOIN(" ",TRUE,Migrationsartikel!H109)</f>
        <v>2Stk</v>
      </c>
      <c r="V110" s="54" t="str">
        <f>_xlfn.TEXTJOIN(" ",TRUE,Migrationsartikel!L109)</f>
        <v>2pces</v>
      </c>
      <c r="W110" s="54" t="str">
        <f>_xlfn.TEXTJOIN(" ",TRUE,Migrationsartikel!P109)</f>
        <v>2pz</v>
      </c>
      <c r="X110" s="54" t="str">
        <f>Migrationsartikel!I109</f>
        <v>Rauchwurst 2Stk</v>
      </c>
      <c r="Y110" s="54" t="str">
        <f>Migrationsartikel!M109</f>
        <v>Saucisse fumée 2pces</v>
      </c>
      <c r="Z110" s="54" t="str">
        <f>Migrationsartikel!Q109</f>
        <v>Salsiccia affumicata 2pz</v>
      </c>
      <c r="AA110" s="63">
        <f>Migrationsartikel!R109</f>
        <v>2</v>
      </c>
      <c r="AB110" s="54" t="str">
        <f>Migrationsartikel!T109</f>
        <v>Gramm</v>
      </c>
      <c r="AC110" s="65">
        <f>Migrationsartikel!S109</f>
        <v>100</v>
      </c>
      <c r="AD110" s="54" t="str">
        <f>Migrationsartikel!U109</f>
        <v>(PCE) Stück</v>
      </c>
      <c r="AE110" s="55" t="s">
        <v>179</v>
      </c>
      <c r="AF110" s="67">
        <f>Migrationsartikel!AA109</f>
        <v>0</v>
      </c>
      <c r="AG110" s="55" t="s">
        <v>192</v>
      </c>
      <c r="AH110" s="54" t="str">
        <f>IF(Migrationsartikel!AB109="ja","true",FALSE)</f>
        <v>true</v>
      </c>
      <c r="AI110" s="54" t="str">
        <f>IF(Migrationsartikel!AC109="ja","true",FALSE)</f>
        <v>true</v>
      </c>
      <c r="AJ110" s="54" t="str">
        <f>IF(Migrationsartikel!AD109="ja","true",FALSE)</f>
        <v>true</v>
      </c>
      <c r="AK110" s="54" t="str">
        <f>IF(Migrationsartikel!AE109="ja","true",FALSE)</f>
        <v>true</v>
      </c>
      <c r="AL110" s="54" t="str">
        <f>IF(Migrationsartikel!AF109="ja","Denner Partner","")</f>
        <v/>
      </c>
      <c r="AM110" s="54" t="str">
        <f>IF(Migrationsartikel!AG109="ja","true","false")</f>
        <v>false</v>
      </c>
      <c r="AN110" s="54" t="str">
        <f t="shared" si="2"/>
        <v>PLU</v>
      </c>
      <c r="AO110" s="66" t="s">
        <v>219</v>
      </c>
      <c r="AP110" s="65" t="s">
        <v>1543</v>
      </c>
      <c r="AQ110" s="66" t="s">
        <v>217</v>
      </c>
      <c r="AR110" s="30" t="s">
        <v>219</v>
      </c>
    </row>
    <row r="111" spans="2:44" ht="21.75" customHeight="1" x14ac:dyDescent="0.45">
      <c r="B111" s="54" t="s">
        <v>99</v>
      </c>
      <c r="E111" s="55" t="s">
        <v>87</v>
      </c>
      <c r="F111" s="54" t="str">
        <f>"Warengruppe&gt;&gt;"&amp;_xlfn.TEXTJOIN("&gt;&gt;",TRUE,Migrationsartikel!V110:X110)</f>
        <v>Warengruppe&gt;&gt;Frische&gt;&gt;SB - Fleisch&gt;&gt;Fleisch</v>
      </c>
      <c r="H111" s="55" t="s">
        <v>109</v>
      </c>
      <c r="J111" s="79">
        <f>Migrationsartikel!B110</f>
        <v>830</v>
      </c>
      <c r="L111" s="54" t="str">
        <f>_xlfn.TEXTJOIN(" ",TRUE,Migrationsartikel!F110:H110)</f>
        <v>Rindstartar aus der Region 1Stk</v>
      </c>
      <c r="M111" s="54" t="str">
        <f>_xlfn.TEXTJOIN(" ",TRUE,Migrationsartikel!J110:L110)</f>
        <v>Tartare de boeuf de la région 1pce</v>
      </c>
      <c r="N111" s="54" t="str">
        <f>_xlfn.TEXTJOIN(" ",TRUE,Migrationsartikel!N110:P110)</f>
        <v>Tartare di manzo della regione 1pz</v>
      </c>
      <c r="O111" s="54" t="str">
        <f>Migrationsartikel!F110</f>
        <v>Rindstartar</v>
      </c>
      <c r="P111" s="54" t="str">
        <f>Migrationsartikel!J110</f>
        <v>Tartare de boeuf</v>
      </c>
      <c r="Q111" s="54" t="str">
        <f>Migrationsartikel!N110</f>
        <v>Tartare di manzo</v>
      </c>
      <c r="R111" s="54" t="str">
        <f>_xlfn.TEXTJOIN(" ",TRUE,Migrationsartikel!G110)</f>
        <v>aus der Region</v>
      </c>
      <c r="S111" s="54" t="str">
        <f>_xlfn.TEXTJOIN(" ",TRUE,Migrationsartikel!K110)</f>
        <v>de la région</v>
      </c>
      <c r="T111" s="54" t="str">
        <f>_xlfn.TEXTJOIN(" ",TRUE,Migrationsartikel!O110)</f>
        <v>della regione</v>
      </c>
      <c r="U111" s="54" t="str">
        <f>_xlfn.TEXTJOIN(" ",TRUE,Migrationsartikel!H110)</f>
        <v>1Stk</v>
      </c>
      <c r="V111" s="54" t="str">
        <f>_xlfn.TEXTJOIN(" ",TRUE,Migrationsartikel!L110)</f>
        <v>1pce</v>
      </c>
      <c r="W111" s="54" t="str">
        <f>_xlfn.TEXTJOIN(" ",TRUE,Migrationsartikel!P110)</f>
        <v>1pz</v>
      </c>
      <c r="X111" s="54" t="str">
        <f>Migrationsartikel!I110</f>
        <v>Rindstartar</v>
      </c>
      <c r="Y111" s="54" t="str">
        <f>Migrationsartikel!M110</f>
        <v>Tartare de boeuf</v>
      </c>
      <c r="Z111" s="54" t="str">
        <f>Migrationsartikel!Q110</f>
        <v>Tartare di manzo</v>
      </c>
      <c r="AA111" s="63">
        <f>Migrationsartikel!R110</f>
        <v>1</v>
      </c>
      <c r="AB111" s="54" t="str">
        <f>Migrationsartikel!T110</f>
        <v>Gramm</v>
      </c>
      <c r="AC111" s="65">
        <f>Migrationsartikel!S110</f>
        <v>100</v>
      </c>
      <c r="AD111" s="54" t="str">
        <f>Migrationsartikel!U110</f>
        <v>(PCE) Stück</v>
      </c>
      <c r="AE111" s="55" t="s">
        <v>179</v>
      </c>
      <c r="AF111" s="67">
        <f>Migrationsartikel!AA110</f>
        <v>0</v>
      </c>
      <c r="AG111" s="55" t="s">
        <v>192</v>
      </c>
      <c r="AH111" s="54" t="str">
        <f>IF(Migrationsartikel!AB110="ja","true",FALSE)</f>
        <v>true</v>
      </c>
      <c r="AI111" s="54" t="str">
        <f>IF(Migrationsartikel!AC110="ja","true",FALSE)</f>
        <v>true</v>
      </c>
      <c r="AJ111" s="54" t="str">
        <f>IF(Migrationsartikel!AD110="ja","true",FALSE)</f>
        <v>true</v>
      </c>
      <c r="AK111" s="54" t="str">
        <f>IF(Migrationsartikel!AE110="ja","true",FALSE)</f>
        <v>true</v>
      </c>
      <c r="AL111" s="54" t="str">
        <f>IF(Migrationsartikel!AF110="ja","Denner Partner","")</f>
        <v/>
      </c>
      <c r="AM111" s="54" t="str">
        <f>IF(Migrationsartikel!AG110="ja","true","false")</f>
        <v>false</v>
      </c>
      <c r="AN111" s="54" t="str">
        <f t="shared" si="2"/>
        <v>PLU</v>
      </c>
      <c r="AO111" s="66" t="s">
        <v>219</v>
      </c>
      <c r="AP111" s="65" t="s">
        <v>1544</v>
      </c>
      <c r="AQ111" s="66" t="s">
        <v>217</v>
      </c>
      <c r="AR111" s="30" t="s">
        <v>219</v>
      </c>
    </row>
    <row r="112" spans="2:44" ht="21.75" customHeight="1" x14ac:dyDescent="0.45">
      <c r="B112" s="54" t="s">
        <v>99</v>
      </c>
      <c r="E112" s="55" t="s">
        <v>87</v>
      </c>
      <c r="F112" s="54" t="str">
        <f>"Warengruppe&gt;&gt;"&amp;_xlfn.TEXTJOIN("&gt;&gt;",TRUE,Migrationsartikel!V111:X111)</f>
        <v>Warengruppe&gt;&gt;Frische&gt;&gt;Fleisch- und Wurstwaren&gt;&gt;Fleisch- und Wurstwaren andere</v>
      </c>
      <c r="H112" s="55" t="s">
        <v>109</v>
      </c>
      <c r="J112" s="79">
        <f>Migrationsartikel!B111</f>
        <v>0</v>
      </c>
      <c r="L112" s="54" t="str">
        <f>_xlfn.TEXTJOIN(" ",TRUE,Migrationsartikel!F111:H111)</f>
        <v>Theke Wurstwaren aus der Region 1Stk</v>
      </c>
      <c r="M112" s="54" t="str">
        <f>_xlfn.TEXTJOIN(" ",TRUE,Migrationsartikel!J111:L111)</f>
        <v>Comptoir charcuterie de la région 1pce</v>
      </c>
      <c r="N112" s="54" t="str">
        <f>_xlfn.TEXTJOIN(" ",TRUE,Migrationsartikel!N111:P111)</f>
        <v>Banco salumeria della regione 1pz</v>
      </c>
      <c r="O112" s="54" t="str">
        <f>Migrationsartikel!F111</f>
        <v>Theke Wurstwaren</v>
      </c>
      <c r="P112" s="54" t="str">
        <f>Migrationsartikel!J111</f>
        <v>Comptoir charcuterie</v>
      </c>
      <c r="Q112" s="54" t="str">
        <f>Migrationsartikel!N111</f>
        <v>Banco salumeria</v>
      </c>
      <c r="R112" s="54" t="str">
        <f>_xlfn.TEXTJOIN(" ",TRUE,Migrationsartikel!G111)</f>
        <v>aus der Region</v>
      </c>
      <c r="S112" s="54" t="str">
        <f>_xlfn.TEXTJOIN(" ",TRUE,Migrationsartikel!K111)</f>
        <v>de la région</v>
      </c>
      <c r="T112" s="54" t="str">
        <f>_xlfn.TEXTJOIN(" ",TRUE,Migrationsartikel!O111)</f>
        <v>della regione</v>
      </c>
      <c r="U112" s="54" t="str">
        <f>_xlfn.TEXTJOIN(" ",TRUE,Migrationsartikel!H111)</f>
        <v>1Stk</v>
      </c>
      <c r="V112" s="54" t="str">
        <f>_xlfn.TEXTJOIN(" ",TRUE,Migrationsartikel!L111)</f>
        <v>1pce</v>
      </c>
      <c r="W112" s="54" t="str">
        <f>_xlfn.TEXTJOIN(" ",TRUE,Migrationsartikel!P111)</f>
        <v>1pz</v>
      </c>
      <c r="X112" s="54" t="str">
        <f>Migrationsartikel!I111</f>
        <v>Theke Wurstwaren</v>
      </c>
      <c r="Y112" s="54" t="str">
        <f>Migrationsartikel!M111</f>
        <v>Comptoir charcuterie</v>
      </c>
      <c r="Z112" s="54" t="str">
        <f>Migrationsartikel!Q111</f>
        <v>Banco salumeria</v>
      </c>
      <c r="AA112" s="63">
        <f>Migrationsartikel!R111</f>
        <v>1</v>
      </c>
      <c r="AB112" s="54" t="str">
        <f>Migrationsartikel!T111</f>
        <v>Stück</v>
      </c>
      <c r="AC112" s="65">
        <f>Migrationsartikel!S111</f>
        <v>1</v>
      </c>
      <c r="AD112" s="54" t="str">
        <f>Migrationsartikel!U111</f>
        <v>(PCE) Stück</v>
      </c>
      <c r="AE112" s="55" t="s">
        <v>179</v>
      </c>
      <c r="AF112" s="67">
        <f>Migrationsartikel!AA111</f>
        <v>0</v>
      </c>
      <c r="AG112" s="55" t="s">
        <v>192</v>
      </c>
      <c r="AH112" s="54" t="str">
        <f>IF(Migrationsartikel!AB111="ja","true",FALSE)</f>
        <v>true</v>
      </c>
      <c r="AI112" s="54" t="str">
        <f>IF(Migrationsartikel!AC111="ja","true",FALSE)</f>
        <v>true</v>
      </c>
      <c r="AJ112" s="54" t="str">
        <f>IF(Migrationsartikel!AD111="ja","true",FALSE)</f>
        <v>true</v>
      </c>
      <c r="AK112" s="54" t="str">
        <f>IF(Migrationsartikel!AE111="ja","true",FALSE)</f>
        <v>true</v>
      </c>
      <c r="AL112" s="54" t="str">
        <f>IF(Migrationsartikel!AF111="ja","Denner Partner","")</f>
        <v/>
      </c>
      <c r="AM112" s="54" t="str">
        <f>IF(Migrationsartikel!AG111="ja","true","false")</f>
        <v>false</v>
      </c>
      <c r="AN112" s="54" t="str">
        <f t="shared" si="2"/>
        <v>Kassentastenbelegung (ohne GTIN/PLU)</v>
      </c>
      <c r="AO112" s="66" t="s">
        <v>219</v>
      </c>
      <c r="AP112" s="65" t="s">
        <v>1545</v>
      </c>
      <c r="AQ112" s="66" t="s">
        <v>217</v>
      </c>
      <c r="AR112" s="30" t="s">
        <v>219</v>
      </c>
    </row>
    <row r="113" spans="2:44" ht="21.75" customHeight="1" x14ac:dyDescent="0.45">
      <c r="B113" s="54" t="s">
        <v>99</v>
      </c>
      <c r="E113" s="55" t="s">
        <v>87</v>
      </c>
      <c r="F113" s="54" t="str">
        <f>"Warengruppe&gt;&gt;"&amp;_xlfn.TEXTJOIN("&gt;&gt;",TRUE,Migrationsartikel!V112:X112)</f>
        <v>Warengruppe&gt;&gt;Frische&gt;&gt;Molkereiprodukte &amp; Eier&gt;&gt;Eier</v>
      </c>
      <c r="H113" s="55" t="s">
        <v>109</v>
      </c>
      <c r="J113" s="79">
        <f>Migrationsartikel!B112</f>
        <v>0</v>
      </c>
      <c r="L113" s="54" t="str">
        <f>_xlfn.TEXTJOIN(" ",TRUE,Migrationsartikel!F112:H112)</f>
        <v>Wachteleier aus der Region 8Stk</v>
      </c>
      <c r="M113" s="54" t="str">
        <f>_xlfn.TEXTJOIN(" ",TRUE,Migrationsartikel!J112:L112)</f>
        <v>Oeufs de caille de la région 8pces</v>
      </c>
      <c r="N113" s="54" t="str">
        <f>_xlfn.TEXTJOIN(" ",TRUE,Migrationsartikel!N112:P112)</f>
        <v>Uova di quaglia della regione 8pz</v>
      </c>
      <c r="O113" s="54" t="str">
        <f>Migrationsartikel!F112</f>
        <v>Wachteleier</v>
      </c>
      <c r="P113" s="54" t="str">
        <f>Migrationsartikel!J112</f>
        <v>Oeufs de caille</v>
      </c>
      <c r="Q113" s="54" t="str">
        <f>Migrationsartikel!N112</f>
        <v>Uova di quaglia</v>
      </c>
      <c r="R113" s="54" t="str">
        <f>_xlfn.TEXTJOIN(" ",TRUE,Migrationsartikel!G112)</f>
        <v>aus der Region</v>
      </c>
      <c r="S113" s="54" t="str">
        <f>_xlfn.TEXTJOIN(" ",TRUE,Migrationsartikel!K112)</f>
        <v>de la région</v>
      </c>
      <c r="T113" s="54" t="str">
        <f>_xlfn.TEXTJOIN(" ",TRUE,Migrationsartikel!O112)</f>
        <v>della regione</v>
      </c>
      <c r="U113" s="54" t="str">
        <f>_xlfn.TEXTJOIN(" ",TRUE,Migrationsartikel!H112)</f>
        <v>8Stk</v>
      </c>
      <c r="V113" s="54" t="str">
        <f>_xlfn.TEXTJOIN(" ",TRUE,Migrationsartikel!L112)</f>
        <v>8pces</v>
      </c>
      <c r="W113" s="54" t="str">
        <f>_xlfn.TEXTJOIN(" ",TRUE,Migrationsartikel!P112)</f>
        <v>8pz</v>
      </c>
      <c r="X113" s="54" t="str">
        <f>Migrationsartikel!I112</f>
        <v>Wachteleier 8Stk</v>
      </c>
      <c r="Y113" s="54" t="str">
        <f>Migrationsartikel!M112</f>
        <v>Oeufs de caille 8pces</v>
      </c>
      <c r="Z113" s="54" t="str">
        <f>Migrationsartikel!Q112</f>
        <v>Uova di quaglia 8pz</v>
      </c>
      <c r="AA113" s="63">
        <f>Migrationsartikel!R112</f>
        <v>8</v>
      </c>
      <c r="AB113" s="54" t="str">
        <f>Migrationsartikel!T112</f>
        <v>Stück</v>
      </c>
      <c r="AC113" s="65">
        <f>Migrationsartikel!S112</f>
        <v>1</v>
      </c>
      <c r="AD113" s="54" t="str">
        <f>Migrationsartikel!U112</f>
        <v>(PCE) Stück</v>
      </c>
      <c r="AE113" s="55" t="s">
        <v>179</v>
      </c>
      <c r="AF113" s="67">
        <f>Migrationsartikel!AA112</f>
        <v>0</v>
      </c>
      <c r="AG113" s="55" t="s">
        <v>192</v>
      </c>
      <c r="AH113" s="54" t="str">
        <f>IF(Migrationsartikel!AB112="ja","true",FALSE)</f>
        <v>true</v>
      </c>
      <c r="AI113" s="54" t="str">
        <f>IF(Migrationsartikel!AC112="ja","true",FALSE)</f>
        <v>true</v>
      </c>
      <c r="AJ113" s="54" t="str">
        <f>IF(Migrationsartikel!AD112="ja","true",FALSE)</f>
        <v>true</v>
      </c>
      <c r="AK113" s="54" t="str">
        <f>IF(Migrationsartikel!AE112="ja","true",FALSE)</f>
        <v>true</v>
      </c>
      <c r="AL113" s="54" t="str">
        <f>IF(Migrationsartikel!AF112="ja","Denner Partner","")</f>
        <v/>
      </c>
      <c r="AM113" s="54" t="str">
        <f>IF(Migrationsartikel!AG112="ja","true","false")</f>
        <v>false</v>
      </c>
      <c r="AN113" s="54" t="str">
        <f t="shared" si="2"/>
        <v>Kassentastenbelegung (ohne GTIN/PLU)</v>
      </c>
      <c r="AO113" s="66" t="s">
        <v>219</v>
      </c>
      <c r="AP113" s="65" t="s">
        <v>1546</v>
      </c>
      <c r="AQ113" s="66" t="s">
        <v>217</v>
      </c>
      <c r="AR113" s="30" t="s">
        <v>219</v>
      </c>
    </row>
    <row r="114" spans="2:44" ht="21.75" customHeight="1" x14ac:dyDescent="0.45">
      <c r="B114" s="54" t="s">
        <v>99</v>
      </c>
      <c r="E114" s="55" t="s">
        <v>87</v>
      </c>
      <c r="F114" s="54" t="str">
        <f>"Warengruppe&gt;&gt;"&amp;_xlfn.TEXTJOIN("&gt;&gt;",TRUE,Migrationsartikel!V113:X113)</f>
        <v>Warengruppe&gt;&gt;Frische&gt;&gt;Molkereiprodukte &amp; Eier&gt;&gt;Eier</v>
      </c>
      <c r="H114" s="55" t="s">
        <v>109</v>
      </c>
      <c r="J114" s="79">
        <f>Migrationsartikel!B113</f>
        <v>0</v>
      </c>
      <c r="L114" s="54" t="str">
        <f>_xlfn.TEXTJOIN(" ",TRUE,Migrationsartikel!F113:H113)</f>
        <v>Wachteleier aus der Region 6Stk</v>
      </c>
      <c r="M114" s="54" t="str">
        <f>_xlfn.TEXTJOIN(" ",TRUE,Migrationsartikel!J113:L113)</f>
        <v>Oeufs de caille de la région 6pces</v>
      </c>
      <c r="N114" s="54" t="str">
        <f>_xlfn.TEXTJOIN(" ",TRUE,Migrationsartikel!N113:P113)</f>
        <v>Uova di quaglia della regione 6pz</v>
      </c>
      <c r="O114" s="54" t="str">
        <f>Migrationsartikel!F113</f>
        <v>Wachteleier</v>
      </c>
      <c r="P114" s="54" t="str">
        <f>Migrationsartikel!J113</f>
        <v>Oeufs de caille</v>
      </c>
      <c r="Q114" s="54" t="str">
        <f>Migrationsartikel!N113</f>
        <v>Uova di quaglia</v>
      </c>
      <c r="R114" s="54" t="str">
        <f>_xlfn.TEXTJOIN(" ",TRUE,Migrationsartikel!G113)</f>
        <v>aus der Region</v>
      </c>
      <c r="S114" s="54" t="str">
        <f>_xlfn.TEXTJOIN(" ",TRUE,Migrationsartikel!K113)</f>
        <v>de la région</v>
      </c>
      <c r="T114" s="54" t="str">
        <f>_xlfn.TEXTJOIN(" ",TRUE,Migrationsartikel!O113)</f>
        <v>della regione</v>
      </c>
      <c r="U114" s="54" t="str">
        <f>_xlfn.TEXTJOIN(" ",TRUE,Migrationsartikel!H113)</f>
        <v>6Stk</v>
      </c>
      <c r="V114" s="54" t="str">
        <f>_xlfn.TEXTJOIN(" ",TRUE,Migrationsartikel!L113)</f>
        <v>6pces</v>
      </c>
      <c r="W114" s="54" t="str">
        <f>_xlfn.TEXTJOIN(" ",TRUE,Migrationsartikel!P113)</f>
        <v>6pz</v>
      </c>
      <c r="X114" s="54" t="str">
        <f>Migrationsartikel!I113</f>
        <v>Wachteleier 6Stk</v>
      </c>
      <c r="Y114" s="54" t="str">
        <f>Migrationsartikel!M113</f>
        <v>Oeufs de caille 6pces</v>
      </c>
      <c r="Z114" s="54" t="str">
        <f>Migrationsartikel!Q113</f>
        <v>Uova di quaglia 6pz</v>
      </c>
      <c r="AA114" s="63">
        <f>Migrationsartikel!R113</f>
        <v>6</v>
      </c>
      <c r="AB114" s="54" t="str">
        <f>Migrationsartikel!T113</f>
        <v>Stück</v>
      </c>
      <c r="AC114" s="65">
        <f>Migrationsartikel!S113</f>
        <v>1</v>
      </c>
      <c r="AD114" s="54" t="str">
        <f>Migrationsartikel!U113</f>
        <v>(PCE) Stück</v>
      </c>
      <c r="AE114" s="55" t="s">
        <v>179</v>
      </c>
      <c r="AF114" s="67">
        <f>Migrationsartikel!AA113</f>
        <v>0</v>
      </c>
      <c r="AG114" s="55" t="s">
        <v>192</v>
      </c>
      <c r="AH114" s="54" t="str">
        <f>IF(Migrationsartikel!AB113="ja","true",FALSE)</f>
        <v>true</v>
      </c>
      <c r="AI114" s="54" t="str">
        <f>IF(Migrationsartikel!AC113="ja","true",FALSE)</f>
        <v>true</v>
      </c>
      <c r="AJ114" s="54" t="str">
        <f>IF(Migrationsartikel!AD113="ja","true",FALSE)</f>
        <v>true</v>
      </c>
      <c r="AK114" s="54" t="str">
        <f>IF(Migrationsartikel!AE113="ja","true",FALSE)</f>
        <v>true</v>
      </c>
      <c r="AL114" s="54" t="str">
        <f>IF(Migrationsartikel!AF113="ja","Denner Partner","")</f>
        <v/>
      </c>
      <c r="AM114" s="54" t="str">
        <f>IF(Migrationsartikel!AG113="ja","true","false")</f>
        <v>false</v>
      </c>
      <c r="AN114" s="54" t="str">
        <f t="shared" si="2"/>
        <v>Kassentastenbelegung (ohne GTIN/PLU)</v>
      </c>
      <c r="AO114" s="66" t="s">
        <v>219</v>
      </c>
      <c r="AP114" s="65" t="s">
        <v>1547</v>
      </c>
      <c r="AQ114" s="66" t="s">
        <v>217</v>
      </c>
      <c r="AR114" s="30" t="s">
        <v>219</v>
      </c>
    </row>
    <row r="115" spans="2:44" ht="21.75" customHeight="1" x14ac:dyDescent="0.45">
      <c r="B115" s="54" t="s">
        <v>99</v>
      </c>
      <c r="E115" s="55" t="s">
        <v>87</v>
      </c>
      <c r="F115" s="54" t="str">
        <f>"Warengruppe&gt;&gt;"&amp;_xlfn.TEXTJOIN("&gt;&gt;",TRUE,Migrationsartikel!V114:X114)</f>
        <v>Warengruppe&gt;&gt;Frische&gt;&gt;Molkereiprodukte &amp; Eier&gt;&gt;Eier</v>
      </c>
      <c r="H115" s="55" t="s">
        <v>109</v>
      </c>
      <c r="J115" s="79">
        <f>Migrationsartikel!B114</f>
        <v>0</v>
      </c>
      <c r="L115" s="54" t="str">
        <f>_xlfn.TEXTJOIN(" ",TRUE,Migrationsartikel!F114:H114)</f>
        <v>Wachteleier aus der Region 1Stk</v>
      </c>
      <c r="M115" s="54" t="str">
        <f>_xlfn.TEXTJOIN(" ",TRUE,Migrationsartikel!J114:L114)</f>
        <v>Oeufs de caille de la région 1pce</v>
      </c>
      <c r="N115" s="54" t="str">
        <f>_xlfn.TEXTJOIN(" ",TRUE,Migrationsartikel!N114:P114)</f>
        <v>Uova di quaglia della regione 1pz</v>
      </c>
      <c r="O115" s="54" t="str">
        <f>Migrationsartikel!F114</f>
        <v>Wachteleier</v>
      </c>
      <c r="P115" s="54" t="str">
        <f>Migrationsartikel!J114</f>
        <v>Oeufs de caille</v>
      </c>
      <c r="Q115" s="54" t="str">
        <f>Migrationsartikel!N114</f>
        <v>Uova di quaglia</v>
      </c>
      <c r="R115" s="54" t="str">
        <f>_xlfn.TEXTJOIN(" ",TRUE,Migrationsartikel!G114)</f>
        <v>aus der Region</v>
      </c>
      <c r="S115" s="54" t="str">
        <f>_xlfn.TEXTJOIN(" ",TRUE,Migrationsartikel!K114)</f>
        <v>de la région</v>
      </c>
      <c r="T115" s="54" t="str">
        <f>_xlfn.TEXTJOIN(" ",TRUE,Migrationsartikel!O114)</f>
        <v>della regione</v>
      </c>
      <c r="U115" s="54" t="str">
        <f>_xlfn.TEXTJOIN(" ",TRUE,Migrationsartikel!H114)</f>
        <v>1Stk</v>
      </c>
      <c r="V115" s="54" t="str">
        <f>_xlfn.TEXTJOIN(" ",TRUE,Migrationsartikel!L114)</f>
        <v>1pce</v>
      </c>
      <c r="W115" s="54" t="str">
        <f>_xlfn.TEXTJOIN(" ",TRUE,Migrationsartikel!P114)</f>
        <v>1pz</v>
      </c>
      <c r="X115" s="54" t="str">
        <f>Migrationsartikel!I114</f>
        <v>Wachteleier 1Stk</v>
      </c>
      <c r="Y115" s="54" t="str">
        <f>Migrationsartikel!M114</f>
        <v>Oeufs de caille</v>
      </c>
      <c r="Z115" s="54" t="str">
        <f>Migrationsartikel!Q114</f>
        <v>Uova di quaglia</v>
      </c>
      <c r="AA115" s="63">
        <f>Migrationsartikel!R114</f>
        <v>1</v>
      </c>
      <c r="AB115" s="54" t="str">
        <f>Migrationsartikel!T114</f>
        <v>Stück</v>
      </c>
      <c r="AC115" s="65">
        <f>Migrationsartikel!S114</f>
        <v>1</v>
      </c>
      <c r="AD115" s="54" t="str">
        <f>Migrationsartikel!U114</f>
        <v>(PCE) Stück</v>
      </c>
      <c r="AE115" s="55" t="s">
        <v>179</v>
      </c>
      <c r="AF115" s="67">
        <f>Migrationsartikel!AA114</f>
        <v>0</v>
      </c>
      <c r="AG115" s="55" t="s">
        <v>192</v>
      </c>
      <c r="AH115" s="54" t="str">
        <f>IF(Migrationsartikel!AB114="ja","true",FALSE)</f>
        <v>true</v>
      </c>
      <c r="AI115" s="54" t="str">
        <f>IF(Migrationsartikel!AC114="ja","true",FALSE)</f>
        <v>true</v>
      </c>
      <c r="AJ115" s="54" t="str">
        <f>IF(Migrationsartikel!AD114="ja","true",FALSE)</f>
        <v>true</v>
      </c>
      <c r="AK115" s="54" t="str">
        <f>IF(Migrationsartikel!AE114="ja","true",FALSE)</f>
        <v>true</v>
      </c>
      <c r="AL115" s="54" t="str">
        <f>IF(Migrationsartikel!AF114="ja","Denner Partner","")</f>
        <v/>
      </c>
      <c r="AM115" s="54" t="str">
        <f>IF(Migrationsartikel!AG114="ja","true","false")</f>
        <v>false</v>
      </c>
      <c r="AN115" s="54" t="str">
        <f t="shared" si="2"/>
        <v>Kassentastenbelegung (ohne GTIN/PLU)</v>
      </c>
      <c r="AO115" s="66" t="s">
        <v>219</v>
      </c>
      <c r="AP115" s="65" t="s">
        <v>1548</v>
      </c>
      <c r="AQ115" s="66" t="s">
        <v>217</v>
      </c>
      <c r="AR115" s="30" t="s">
        <v>219</v>
      </c>
    </row>
    <row r="116" spans="2:44" ht="21.75" customHeight="1" x14ac:dyDescent="0.45">
      <c r="B116" s="54" t="s">
        <v>99</v>
      </c>
      <c r="E116" s="55" t="s">
        <v>87</v>
      </c>
      <c r="F116" s="54" t="str">
        <f>"Warengruppe&gt;&gt;"&amp;_xlfn.TEXTJOIN("&gt;&gt;",TRUE,Migrationsartikel!V115:X115)</f>
        <v>Warengruppe&gt;&gt;Frische&gt;&gt;Fleisch- und Wurstwaren&gt;&gt;Fleisch- und Wurstwaren andere</v>
      </c>
      <c r="H116" s="55" t="s">
        <v>109</v>
      </c>
      <c r="J116" s="79">
        <f>Migrationsartikel!B115</f>
        <v>0</v>
      </c>
      <c r="L116" s="54" t="str">
        <f>_xlfn.TEXTJOIN(" ",TRUE,Migrationsartikel!F115:H115)</f>
        <v>Wurstwaren aus der Region 1Stk</v>
      </c>
      <c r="M116" s="54" t="str">
        <f>_xlfn.TEXTJOIN(" ",TRUE,Migrationsartikel!J115:L115)</f>
        <v>Charcuterie de la région 1pce</v>
      </c>
      <c r="N116" s="54" t="str">
        <f>_xlfn.TEXTJOIN(" ",TRUE,Migrationsartikel!N115:P115)</f>
        <v>Salumi della regione 1pz</v>
      </c>
      <c r="O116" s="54" t="str">
        <f>Migrationsartikel!F115</f>
        <v>Wurstwaren</v>
      </c>
      <c r="P116" s="54" t="str">
        <f>Migrationsartikel!J115</f>
        <v>Charcuterie</v>
      </c>
      <c r="Q116" s="54" t="str">
        <f>Migrationsartikel!N115</f>
        <v>Salumi</v>
      </c>
      <c r="R116" s="54" t="str">
        <f>_xlfn.TEXTJOIN(" ",TRUE,Migrationsartikel!G115)</f>
        <v>aus der Region</v>
      </c>
      <c r="S116" s="54" t="str">
        <f>_xlfn.TEXTJOIN(" ",TRUE,Migrationsartikel!K115)</f>
        <v>de la région</v>
      </c>
      <c r="T116" s="54" t="str">
        <f>_xlfn.TEXTJOIN(" ",TRUE,Migrationsartikel!O115)</f>
        <v>della regione</v>
      </c>
      <c r="U116" s="54" t="str">
        <f>_xlfn.TEXTJOIN(" ",TRUE,Migrationsartikel!H115)</f>
        <v>1Stk</v>
      </c>
      <c r="V116" s="54" t="str">
        <f>_xlfn.TEXTJOIN(" ",TRUE,Migrationsartikel!L115)</f>
        <v>1pce</v>
      </c>
      <c r="W116" s="54" t="str">
        <f>_xlfn.TEXTJOIN(" ",TRUE,Migrationsartikel!P115)</f>
        <v>1pz</v>
      </c>
      <c r="X116" s="54" t="str">
        <f>Migrationsartikel!I115</f>
        <v>Wurstwaren</v>
      </c>
      <c r="Y116" s="54" t="str">
        <f>Migrationsartikel!M115</f>
        <v>Charcuterie</v>
      </c>
      <c r="Z116" s="54" t="str">
        <f>Migrationsartikel!Q115</f>
        <v>Salumi</v>
      </c>
      <c r="AA116" s="63">
        <f>Migrationsartikel!R115</f>
        <v>1</v>
      </c>
      <c r="AB116" s="54" t="str">
        <f>Migrationsartikel!T115</f>
        <v>Stück</v>
      </c>
      <c r="AC116" s="65">
        <f>Migrationsartikel!S115</f>
        <v>1</v>
      </c>
      <c r="AD116" s="54" t="str">
        <f>Migrationsartikel!U115</f>
        <v>(PCE) Stück</v>
      </c>
      <c r="AE116" s="55" t="s">
        <v>179</v>
      </c>
      <c r="AF116" s="67">
        <f>Migrationsartikel!AA115</f>
        <v>0</v>
      </c>
      <c r="AG116" s="55" t="s">
        <v>192</v>
      </c>
      <c r="AH116" s="54" t="str">
        <f>IF(Migrationsartikel!AB115="ja","true",FALSE)</f>
        <v>true</v>
      </c>
      <c r="AI116" s="54" t="str">
        <f>IF(Migrationsartikel!AC115="ja","true",FALSE)</f>
        <v>true</v>
      </c>
      <c r="AJ116" s="54" t="str">
        <f>IF(Migrationsartikel!AD115="ja","true",FALSE)</f>
        <v>true</v>
      </c>
      <c r="AK116" s="54" t="str">
        <f>IF(Migrationsartikel!AE115="ja","true",FALSE)</f>
        <v>true</v>
      </c>
      <c r="AL116" s="54" t="str">
        <f>IF(Migrationsartikel!AF115="ja","Denner Partner","")</f>
        <v/>
      </c>
      <c r="AM116" s="54" t="str">
        <f>IF(Migrationsartikel!AG115="ja","true","false")</f>
        <v>false</v>
      </c>
      <c r="AN116" s="54" t="str">
        <f t="shared" si="2"/>
        <v>Kassentastenbelegung (ohne GTIN/PLU)</v>
      </c>
      <c r="AO116" s="66" t="s">
        <v>219</v>
      </c>
      <c r="AP116" s="65" t="s">
        <v>1549</v>
      </c>
      <c r="AQ116" s="66" t="s">
        <v>217</v>
      </c>
      <c r="AR116" s="30" t="s">
        <v>219</v>
      </c>
    </row>
    <row r="117" spans="2:44" ht="21.75" customHeight="1" x14ac:dyDescent="0.45">
      <c r="B117" s="54" t="s">
        <v>99</v>
      </c>
      <c r="E117" s="55" t="s">
        <v>87</v>
      </c>
      <c r="F117" s="54" t="str">
        <f>"Warengruppe&gt;&gt;"&amp;_xlfn.TEXTJOIN("&gt;&gt;",TRUE,Migrationsartikel!V116:X116)</f>
        <v>Warengruppe&gt;&gt;Frische&gt;&gt;Käse&gt;&gt;Käse</v>
      </c>
      <c r="H117" s="55" t="s">
        <v>109</v>
      </c>
      <c r="J117" s="79">
        <f>Migrationsartikel!B116</f>
        <v>0</v>
      </c>
      <c r="L117" s="54" t="str">
        <f>_xlfn.TEXTJOIN(" ",TRUE,Migrationsartikel!F116:H116)</f>
        <v>Zincarlin aus der Region 1Stk</v>
      </c>
      <c r="M117" s="54" t="str">
        <f>_xlfn.TEXTJOIN(" ",TRUE,Migrationsartikel!J116:L116)</f>
        <v>Zincarlin de la région 1pce</v>
      </c>
      <c r="N117" s="54" t="str">
        <f>_xlfn.TEXTJOIN(" ",TRUE,Migrationsartikel!N116:P116)</f>
        <v>Zincarlin della regione 1pz</v>
      </c>
      <c r="O117" s="54" t="str">
        <f>Migrationsartikel!F116</f>
        <v>Zincarlin</v>
      </c>
      <c r="P117" s="54" t="str">
        <f>Migrationsartikel!J116</f>
        <v>Zincarlin</v>
      </c>
      <c r="Q117" s="54" t="str">
        <f>Migrationsartikel!N116</f>
        <v>Zincarlin</v>
      </c>
      <c r="R117" s="54" t="str">
        <f>_xlfn.TEXTJOIN(" ",TRUE,Migrationsartikel!G116)</f>
        <v>aus der Region</v>
      </c>
      <c r="S117" s="54" t="str">
        <f>_xlfn.TEXTJOIN(" ",TRUE,Migrationsartikel!K116)</f>
        <v>de la région</v>
      </c>
      <c r="T117" s="54" t="str">
        <f>_xlfn.TEXTJOIN(" ",TRUE,Migrationsartikel!O116)</f>
        <v>della regione</v>
      </c>
      <c r="U117" s="54" t="str">
        <f>_xlfn.TEXTJOIN(" ",TRUE,Migrationsartikel!H116)</f>
        <v>1Stk</v>
      </c>
      <c r="V117" s="54" t="str">
        <f>_xlfn.TEXTJOIN(" ",TRUE,Migrationsartikel!L116)</f>
        <v>1pce</v>
      </c>
      <c r="W117" s="54" t="str">
        <f>_xlfn.TEXTJOIN(" ",TRUE,Migrationsartikel!P116)</f>
        <v>1pz</v>
      </c>
      <c r="X117" s="54" t="str">
        <f>Migrationsartikel!I116</f>
        <v>Zincarlin</v>
      </c>
      <c r="Y117" s="54" t="str">
        <f>Migrationsartikel!M116</f>
        <v>Zincarlin</v>
      </c>
      <c r="Z117" s="54" t="str">
        <f>Migrationsartikel!Q116</f>
        <v>Zincarlin</v>
      </c>
      <c r="AA117" s="63">
        <f>Migrationsartikel!R116</f>
        <v>1</v>
      </c>
      <c r="AB117" s="54" t="str">
        <f>Migrationsartikel!T116</f>
        <v>Stück</v>
      </c>
      <c r="AC117" s="65">
        <f>Migrationsartikel!S116</f>
        <v>1</v>
      </c>
      <c r="AD117" s="54" t="str">
        <f>Migrationsartikel!U116</f>
        <v>(PCE) Stück</v>
      </c>
      <c r="AE117" s="55" t="s">
        <v>179</v>
      </c>
      <c r="AF117" s="67">
        <f>Migrationsartikel!AA116</f>
        <v>0</v>
      </c>
      <c r="AG117" s="55" t="s">
        <v>192</v>
      </c>
      <c r="AH117" s="54" t="str">
        <f>IF(Migrationsartikel!AB116="ja","true",FALSE)</f>
        <v>true</v>
      </c>
      <c r="AI117" s="54" t="str">
        <f>IF(Migrationsartikel!AC116="ja","true",FALSE)</f>
        <v>true</v>
      </c>
      <c r="AJ117" s="54" t="str">
        <f>IF(Migrationsartikel!AD116="ja","true",FALSE)</f>
        <v>true</v>
      </c>
      <c r="AK117" s="54" t="str">
        <f>IF(Migrationsartikel!AE116="ja","true",FALSE)</f>
        <v>true</v>
      </c>
      <c r="AL117" s="54" t="str">
        <f>IF(Migrationsartikel!AF116="ja","Denner Partner","")</f>
        <v/>
      </c>
      <c r="AM117" s="54" t="str">
        <f>IF(Migrationsartikel!AG116="ja","true","false")</f>
        <v>false</v>
      </c>
      <c r="AN117" s="54" t="str">
        <f t="shared" si="2"/>
        <v>Kassentastenbelegung (ohne GTIN/PLU)</v>
      </c>
      <c r="AO117" s="66" t="s">
        <v>219</v>
      </c>
      <c r="AP117" s="65" t="s">
        <v>1550</v>
      </c>
      <c r="AQ117" s="66" t="s">
        <v>217</v>
      </c>
      <c r="AR117" s="30" t="s">
        <v>219</v>
      </c>
    </row>
    <row r="118" spans="2:44" ht="21.75" customHeight="1" x14ac:dyDescent="0.45">
      <c r="B118" s="54" t="s">
        <v>99</v>
      </c>
      <c r="E118" s="55" t="s">
        <v>87</v>
      </c>
      <c r="F118" s="54" t="str">
        <f>"Warengruppe&gt;&gt;"&amp;_xlfn.TEXTJOIN("&gt;&gt;",TRUE,Migrationsartikel!V117:X117)</f>
        <v>Warengruppe&gt;&gt;Getränke&gt;&gt;Spirituosen&gt;&gt;Spirituosen</v>
      </c>
      <c r="H118" s="55" t="s">
        <v>109</v>
      </c>
      <c r="J118" s="79">
        <f>Migrationsartikel!B117</f>
        <v>0</v>
      </c>
      <c r="L118" s="54" t="str">
        <f>_xlfn.TEXTJOIN(" ",TRUE,Migrationsartikel!F117:H117)</f>
        <v>Absinth aus der Region 1l</v>
      </c>
      <c r="M118" s="54" t="str">
        <f>_xlfn.TEXTJOIN(" ",TRUE,Migrationsartikel!J117:L117)</f>
        <v>Absinthe de la région 1l</v>
      </c>
      <c r="N118" s="54" t="str">
        <f>_xlfn.TEXTJOIN(" ",TRUE,Migrationsartikel!N117:P117)</f>
        <v>Assenzio della regione 1l</v>
      </c>
      <c r="O118" s="54" t="str">
        <f>Migrationsartikel!F117</f>
        <v>Absinth</v>
      </c>
      <c r="P118" s="54" t="str">
        <f>Migrationsartikel!J117</f>
        <v>Absinthe</v>
      </c>
      <c r="Q118" s="54" t="str">
        <f>Migrationsartikel!N117</f>
        <v>Assenzio</v>
      </c>
      <c r="R118" s="54" t="str">
        <f>_xlfn.TEXTJOIN(" ",TRUE,Migrationsartikel!G117)</f>
        <v>aus der Region</v>
      </c>
      <c r="S118" s="54" t="str">
        <f>_xlfn.TEXTJOIN(" ",TRUE,Migrationsartikel!K117)</f>
        <v>de la région</v>
      </c>
      <c r="T118" s="54" t="str">
        <f>_xlfn.TEXTJOIN(" ",TRUE,Migrationsartikel!O117)</f>
        <v>della regione</v>
      </c>
      <c r="U118" s="54" t="str">
        <f>_xlfn.TEXTJOIN(" ",TRUE,Migrationsartikel!H117)</f>
        <v>1l</v>
      </c>
      <c r="V118" s="54" t="str">
        <f>_xlfn.TEXTJOIN(" ",TRUE,Migrationsartikel!L117)</f>
        <v>1l</v>
      </c>
      <c r="W118" s="54" t="str">
        <f>_xlfn.TEXTJOIN(" ",TRUE,Migrationsartikel!P117)</f>
        <v>1l</v>
      </c>
      <c r="X118" s="54" t="str">
        <f>Migrationsartikel!I117</f>
        <v>Absinth 1l</v>
      </c>
      <c r="Y118" s="54" t="str">
        <f>Migrationsartikel!M117</f>
        <v>Absinthe 1l</v>
      </c>
      <c r="Z118" s="54" t="str">
        <f>Migrationsartikel!Q117</f>
        <v>Assenzio 1l</v>
      </c>
      <c r="AA118" s="63">
        <f>Migrationsartikel!R117</f>
        <v>1</v>
      </c>
      <c r="AB118" s="54" t="str">
        <f>Migrationsartikel!T117</f>
        <v>Centiliter</v>
      </c>
      <c r="AC118" s="65">
        <f>Migrationsartikel!S117</f>
        <v>10</v>
      </c>
      <c r="AD118" s="54" t="str">
        <f>Migrationsartikel!U117</f>
        <v>(PCE) Stück</v>
      </c>
      <c r="AE118" s="55" t="s">
        <v>179</v>
      </c>
      <c r="AF118" s="67">
        <f>Migrationsartikel!AA117</f>
        <v>0</v>
      </c>
      <c r="AG118" s="55" t="s">
        <v>192</v>
      </c>
      <c r="AH118" s="54" t="str">
        <f>IF(Migrationsartikel!AB117="ja","true",FALSE)</f>
        <v>true</v>
      </c>
      <c r="AI118" s="54" t="str">
        <f>IF(Migrationsartikel!AC117="ja","true",FALSE)</f>
        <v>true</v>
      </c>
      <c r="AJ118" s="54" t="str">
        <f>IF(Migrationsartikel!AD117="ja","true",FALSE)</f>
        <v>true</v>
      </c>
      <c r="AK118" s="54" t="str">
        <f>IF(Migrationsartikel!AE117="ja","true",FALSE)</f>
        <v>true</v>
      </c>
      <c r="AL118" s="54" t="str">
        <f>IF(Migrationsartikel!AF117="ja","Denner Partner","")</f>
        <v/>
      </c>
      <c r="AM118" s="54" t="str">
        <f>IF(Migrationsartikel!AG117="ja","true","false")</f>
        <v>false</v>
      </c>
      <c r="AN118" s="54" t="str">
        <f t="shared" si="2"/>
        <v>Kassentastenbelegung (ohne GTIN/PLU)</v>
      </c>
      <c r="AO118" s="66" t="s">
        <v>219</v>
      </c>
      <c r="AP118" s="65" t="s">
        <v>1551</v>
      </c>
      <c r="AQ118" s="66" t="s">
        <v>217</v>
      </c>
      <c r="AR118" s="30" t="s">
        <v>219</v>
      </c>
    </row>
    <row r="119" spans="2:44" ht="21.75" customHeight="1" x14ac:dyDescent="0.45">
      <c r="B119" s="54" t="s">
        <v>99</v>
      </c>
      <c r="E119" s="55" t="s">
        <v>87</v>
      </c>
      <c r="F119" s="54" t="str">
        <f>"Warengruppe&gt;&gt;"&amp;_xlfn.TEXTJOIN("&gt;&gt;",TRUE,Migrationsartikel!V118:X118)</f>
        <v>Warengruppe&gt;&gt;Getränke&gt;&gt;Spirituosen&gt;&gt;Spirituosen</v>
      </c>
      <c r="H119" s="55" t="s">
        <v>109</v>
      </c>
      <c r="J119" s="79">
        <f>Migrationsartikel!B118</f>
        <v>0</v>
      </c>
      <c r="L119" s="54" t="str">
        <f>_xlfn.TEXTJOIN(" ",TRUE,Migrationsartikel!F118:H118)</f>
        <v>Absinth aus der Region 50cl</v>
      </c>
      <c r="M119" s="54" t="str">
        <f>_xlfn.TEXTJOIN(" ",TRUE,Migrationsartikel!J118:L118)</f>
        <v>Absinthe de la région 50cl</v>
      </c>
      <c r="N119" s="54" t="str">
        <f>_xlfn.TEXTJOIN(" ",TRUE,Migrationsartikel!N118:P118)</f>
        <v>Assenzio della regione 50cl</v>
      </c>
      <c r="O119" s="54" t="str">
        <f>Migrationsartikel!F118</f>
        <v>Absinth</v>
      </c>
      <c r="P119" s="54" t="str">
        <f>Migrationsartikel!J118</f>
        <v>Absinthe</v>
      </c>
      <c r="Q119" s="54" t="str">
        <f>Migrationsartikel!N118</f>
        <v>Assenzio</v>
      </c>
      <c r="R119" s="54" t="str">
        <f>_xlfn.TEXTJOIN(" ",TRUE,Migrationsartikel!G118)</f>
        <v>aus der Region</v>
      </c>
      <c r="S119" s="54" t="str">
        <f>_xlfn.TEXTJOIN(" ",TRUE,Migrationsartikel!K118)</f>
        <v>de la région</v>
      </c>
      <c r="T119" s="54" t="str">
        <f>_xlfn.TEXTJOIN(" ",TRUE,Migrationsartikel!O118)</f>
        <v>della regione</v>
      </c>
      <c r="U119" s="54" t="str">
        <f>_xlfn.TEXTJOIN(" ",TRUE,Migrationsartikel!H118)</f>
        <v>50cl</v>
      </c>
      <c r="V119" s="54" t="str">
        <f>_xlfn.TEXTJOIN(" ",TRUE,Migrationsartikel!L118)</f>
        <v>50cl</v>
      </c>
      <c r="W119" s="54" t="str">
        <f>_xlfn.TEXTJOIN(" ",TRUE,Migrationsartikel!P118)</f>
        <v>50cl</v>
      </c>
      <c r="X119" s="54" t="str">
        <f>Migrationsartikel!I118</f>
        <v>Absinth 50cl</v>
      </c>
      <c r="Y119" s="54" t="str">
        <f>Migrationsartikel!M118</f>
        <v>Absinthe 50cl</v>
      </c>
      <c r="Z119" s="54" t="str">
        <f>Migrationsartikel!Q118</f>
        <v>Assenzio 50cl</v>
      </c>
      <c r="AA119" s="63">
        <f>Migrationsartikel!R118</f>
        <v>0.5</v>
      </c>
      <c r="AB119" s="54" t="str">
        <f>Migrationsartikel!T118</f>
        <v>Centiliter</v>
      </c>
      <c r="AC119" s="65">
        <f>Migrationsartikel!S118</f>
        <v>10</v>
      </c>
      <c r="AD119" s="54" t="str">
        <f>Migrationsartikel!U118</f>
        <v>(PCE) Stück</v>
      </c>
      <c r="AE119" s="55" t="s">
        <v>179</v>
      </c>
      <c r="AF119" s="67">
        <f>Migrationsartikel!AA118</f>
        <v>0</v>
      </c>
      <c r="AG119" s="55" t="s">
        <v>192</v>
      </c>
      <c r="AH119" s="54" t="str">
        <f>IF(Migrationsartikel!AB118="ja","true",FALSE)</f>
        <v>true</v>
      </c>
      <c r="AI119" s="54" t="str">
        <f>IF(Migrationsartikel!AC118="ja","true",FALSE)</f>
        <v>true</v>
      </c>
      <c r="AJ119" s="54" t="str">
        <f>IF(Migrationsartikel!AD118="ja","true",FALSE)</f>
        <v>true</v>
      </c>
      <c r="AK119" s="54" t="str">
        <f>IF(Migrationsartikel!AE118="ja","true",FALSE)</f>
        <v>true</v>
      </c>
      <c r="AL119" s="54" t="str">
        <f>IF(Migrationsartikel!AF118="ja","Denner Partner","")</f>
        <v/>
      </c>
      <c r="AM119" s="54" t="str">
        <f>IF(Migrationsartikel!AG118="ja","true","false")</f>
        <v>false</v>
      </c>
      <c r="AN119" s="54" t="str">
        <f t="shared" si="2"/>
        <v>Kassentastenbelegung (ohne GTIN/PLU)</v>
      </c>
      <c r="AO119" s="66" t="s">
        <v>219</v>
      </c>
      <c r="AP119" s="65" t="s">
        <v>1552</v>
      </c>
      <c r="AQ119" s="66" t="s">
        <v>217</v>
      </c>
      <c r="AR119" s="30" t="s">
        <v>219</v>
      </c>
    </row>
    <row r="120" spans="2:44" ht="21.75" customHeight="1" x14ac:dyDescent="0.45">
      <c r="B120" s="54" t="s">
        <v>99</v>
      </c>
      <c r="E120" s="55" t="s">
        <v>87</v>
      </c>
      <c r="F120" s="54" t="str">
        <f>"Warengruppe&gt;&gt;"&amp;_xlfn.TEXTJOIN("&gt;&gt;",TRUE,Migrationsartikel!V119:X119)</f>
        <v>Warengruppe&gt;&gt;Getränke&gt;&gt;Tafelgetränke&gt;&gt;Tafelgetränke</v>
      </c>
      <c r="H120" s="55" t="s">
        <v>109</v>
      </c>
      <c r="J120" s="79">
        <f>Migrationsartikel!B119</f>
        <v>0</v>
      </c>
      <c r="L120" s="54" t="str">
        <f>_xlfn.TEXTJOIN(" ",TRUE,Migrationsartikel!F119:H119)</f>
        <v>Apfelsaft aus der Region 33cl</v>
      </c>
      <c r="M120" s="54" t="str">
        <f>_xlfn.TEXTJOIN(" ",TRUE,Migrationsartikel!J119:L119)</f>
        <v>Jus de pomme de la région 33cl</v>
      </c>
      <c r="N120" s="54" t="str">
        <f>_xlfn.TEXTJOIN(" ",TRUE,Migrationsartikel!N119:P119)</f>
        <v>Succo di mela della regione 33cl</v>
      </c>
      <c r="O120" s="54" t="str">
        <f>Migrationsartikel!F119</f>
        <v>Apfelsaft</v>
      </c>
      <c r="P120" s="54" t="str">
        <f>Migrationsartikel!J119</f>
        <v>Jus de pomme</v>
      </c>
      <c r="Q120" s="54" t="str">
        <f>Migrationsartikel!N119</f>
        <v>Succo di mela</v>
      </c>
      <c r="R120" s="54" t="str">
        <f>_xlfn.TEXTJOIN(" ",TRUE,Migrationsartikel!G119)</f>
        <v>aus der Region</v>
      </c>
      <c r="S120" s="54" t="str">
        <f>_xlfn.TEXTJOIN(" ",TRUE,Migrationsartikel!K119)</f>
        <v>de la région</v>
      </c>
      <c r="T120" s="54" t="str">
        <f>_xlfn.TEXTJOIN(" ",TRUE,Migrationsartikel!O119)</f>
        <v>della regione</v>
      </c>
      <c r="U120" s="54" t="str">
        <f>_xlfn.TEXTJOIN(" ",TRUE,Migrationsartikel!H119)</f>
        <v>33cl</v>
      </c>
      <c r="V120" s="54" t="str">
        <f>_xlfn.TEXTJOIN(" ",TRUE,Migrationsartikel!L119)</f>
        <v>33cl</v>
      </c>
      <c r="W120" s="54" t="str">
        <f>_xlfn.TEXTJOIN(" ",TRUE,Migrationsartikel!P119)</f>
        <v>33cl</v>
      </c>
      <c r="X120" s="54" t="str">
        <f>Migrationsartikel!I119</f>
        <v>Apfelsaft 33cl</v>
      </c>
      <c r="Y120" s="54" t="str">
        <f>Migrationsartikel!M119</f>
        <v>Jus de pomme 33cl</v>
      </c>
      <c r="Z120" s="54" t="str">
        <f>Migrationsartikel!Q119</f>
        <v>Succo mela 33cl</v>
      </c>
      <c r="AA120" s="63">
        <f>Migrationsartikel!R119</f>
        <v>0.33</v>
      </c>
      <c r="AB120" s="54" t="str">
        <f>Migrationsartikel!T119</f>
        <v>Liter</v>
      </c>
      <c r="AC120" s="65">
        <f>Migrationsartikel!S119</f>
        <v>1</v>
      </c>
      <c r="AD120" s="54" t="str">
        <f>Migrationsartikel!U119</f>
        <v>(PCE) Stück</v>
      </c>
      <c r="AE120" s="55" t="s">
        <v>179</v>
      </c>
      <c r="AF120" s="67">
        <f>Migrationsartikel!AA119</f>
        <v>0</v>
      </c>
      <c r="AG120" s="55" t="s">
        <v>192</v>
      </c>
      <c r="AH120" s="54" t="str">
        <f>IF(Migrationsartikel!AB119="ja","true",FALSE)</f>
        <v>true</v>
      </c>
      <c r="AI120" s="54" t="str">
        <f>IF(Migrationsartikel!AC119="ja","true",FALSE)</f>
        <v>true</v>
      </c>
      <c r="AJ120" s="54" t="str">
        <f>IF(Migrationsartikel!AD119="ja","true",FALSE)</f>
        <v>true</v>
      </c>
      <c r="AK120" s="54" t="str">
        <f>IF(Migrationsartikel!AE119="ja","true",FALSE)</f>
        <v>true</v>
      </c>
      <c r="AL120" s="54" t="str">
        <f>IF(Migrationsartikel!AF119="ja","Denner Partner","")</f>
        <v/>
      </c>
      <c r="AM120" s="54" t="str">
        <f>IF(Migrationsartikel!AG119="ja","true","false")</f>
        <v>false</v>
      </c>
      <c r="AN120" s="54" t="str">
        <f t="shared" si="2"/>
        <v>Kassentastenbelegung (ohne GTIN/PLU)</v>
      </c>
      <c r="AO120" s="66" t="s">
        <v>219</v>
      </c>
      <c r="AP120" s="65" t="s">
        <v>1553</v>
      </c>
      <c r="AQ120" s="66" t="s">
        <v>217</v>
      </c>
      <c r="AR120" s="30" t="s">
        <v>219</v>
      </c>
    </row>
    <row r="121" spans="2:44" ht="21.75" customHeight="1" x14ac:dyDescent="0.45">
      <c r="B121" s="54" t="s">
        <v>99</v>
      </c>
      <c r="E121" s="55" t="s">
        <v>87</v>
      </c>
      <c r="F121" s="54" t="str">
        <f>"Warengruppe&gt;&gt;"&amp;_xlfn.TEXTJOIN("&gt;&gt;",TRUE,Migrationsartikel!V120:X120)</f>
        <v>Warengruppe&gt;&gt;Getränke&gt;&gt;Tafelgetränke&gt;&gt;Tafelgetränke</v>
      </c>
      <c r="H121" s="55" t="s">
        <v>109</v>
      </c>
      <c r="J121" s="79">
        <f>Migrationsartikel!B120</f>
        <v>0</v>
      </c>
      <c r="L121" s="54" t="str">
        <f>_xlfn.TEXTJOIN(" ",TRUE,Migrationsartikel!F120:H120)</f>
        <v>Apfelsaft aus der Region 50cl</v>
      </c>
      <c r="M121" s="54" t="str">
        <f>_xlfn.TEXTJOIN(" ",TRUE,Migrationsartikel!J120:L120)</f>
        <v>Jus de pomme de la région 50cl</v>
      </c>
      <c r="N121" s="54" t="str">
        <f>_xlfn.TEXTJOIN(" ",TRUE,Migrationsartikel!N120:P120)</f>
        <v>Succo di mela della regione 50cl</v>
      </c>
      <c r="O121" s="54" t="str">
        <f>Migrationsartikel!F120</f>
        <v>Apfelsaft</v>
      </c>
      <c r="P121" s="54" t="str">
        <f>Migrationsartikel!J120</f>
        <v>Jus de pomme</v>
      </c>
      <c r="Q121" s="54" t="str">
        <f>Migrationsartikel!N120</f>
        <v>Succo di mela</v>
      </c>
      <c r="R121" s="54" t="str">
        <f>_xlfn.TEXTJOIN(" ",TRUE,Migrationsartikel!G120)</f>
        <v>aus der Region</v>
      </c>
      <c r="S121" s="54" t="str">
        <f>_xlfn.TEXTJOIN(" ",TRUE,Migrationsartikel!K120)</f>
        <v>de la région</v>
      </c>
      <c r="T121" s="54" t="str">
        <f>_xlfn.TEXTJOIN(" ",TRUE,Migrationsartikel!O120)</f>
        <v>della regione</v>
      </c>
      <c r="U121" s="54" t="str">
        <f>_xlfn.TEXTJOIN(" ",TRUE,Migrationsartikel!H120)</f>
        <v>50cl</v>
      </c>
      <c r="V121" s="54" t="str">
        <f>_xlfn.TEXTJOIN(" ",TRUE,Migrationsartikel!L120)</f>
        <v>50cl</v>
      </c>
      <c r="W121" s="54" t="str">
        <f>_xlfn.TEXTJOIN(" ",TRUE,Migrationsartikel!P120)</f>
        <v>50cl</v>
      </c>
      <c r="X121" s="54" t="str">
        <f>Migrationsartikel!I120</f>
        <v>Apfelsaft 50cl</v>
      </c>
      <c r="Y121" s="54" t="str">
        <f>Migrationsartikel!M120</f>
        <v>Jus de pomme 50cl</v>
      </c>
      <c r="Z121" s="54" t="str">
        <f>Migrationsartikel!Q120</f>
        <v>Succo mela 50cl</v>
      </c>
      <c r="AA121" s="63">
        <f>Migrationsartikel!R120</f>
        <v>0.5</v>
      </c>
      <c r="AB121" s="54" t="str">
        <f>Migrationsartikel!T120</f>
        <v>Liter</v>
      </c>
      <c r="AC121" s="65">
        <f>Migrationsartikel!S120</f>
        <v>1</v>
      </c>
      <c r="AD121" s="54" t="str">
        <f>Migrationsartikel!U120</f>
        <v>(PCE) Stück</v>
      </c>
      <c r="AE121" s="55" t="s">
        <v>179</v>
      </c>
      <c r="AF121" s="67">
        <f>Migrationsartikel!AA120</f>
        <v>0</v>
      </c>
      <c r="AG121" s="55" t="s">
        <v>192</v>
      </c>
      <c r="AH121" s="54" t="str">
        <f>IF(Migrationsartikel!AB120="ja","true",FALSE)</f>
        <v>true</v>
      </c>
      <c r="AI121" s="54" t="str">
        <f>IF(Migrationsartikel!AC120="ja","true",FALSE)</f>
        <v>true</v>
      </c>
      <c r="AJ121" s="54" t="str">
        <f>IF(Migrationsartikel!AD120="ja","true",FALSE)</f>
        <v>true</v>
      </c>
      <c r="AK121" s="54" t="str">
        <f>IF(Migrationsartikel!AE120="ja","true",FALSE)</f>
        <v>true</v>
      </c>
      <c r="AL121" s="54" t="str">
        <f>IF(Migrationsartikel!AF120="ja","Denner Partner","")</f>
        <v/>
      </c>
      <c r="AM121" s="54" t="str">
        <f>IF(Migrationsartikel!AG120="ja","true","false")</f>
        <v>false</v>
      </c>
      <c r="AN121" s="54" t="str">
        <f t="shared" si="2"/>
        <v>Kassentastenbelegung (ohne GTIN/PLU)</v>
      </c>
      <c r="AO121" s="66" t="s">
        <v>219</v>
      </c>
      <c r="AP121" s="65" t="s">
        <v>1554</v>
      </c>
      <c r="AQ121" s="66" t="s">
        <v>217</v>
      </c>
      <c r="AR121" s="30" t="s">
        <v>219</v>
      </c>
    </row>
    <row r="122" spans="2:44" ht="21.75" customHeight="1" x14ac:dyDescent="0.45">
      <c r="B122" s="54" t="s">
        <v>99</v>
      </c>
      <c r="E122" s="55" t="s">
        <v>87</v>
      </c>
      <c r="F122" s="54" t="str">
        <f>"Warengruppe&gt;&gt;"&amp;_xlfn.TEXTJOIN("&gt;&gt;",TRUE,Migrationsartikel!V121:X121)</f>
        <v>Warengruppe&gt;&gt;Getränke&gt;&gt;Tafelgetränke&gt;&gt;Tafelgetränke</v>
      </c>
      <c r="H122" s="55" t="s">
        <v>109</v>
      </c>
      <c r="J122" s="79">
        <f>Migrationsartikel!B121</f>
        <v>0</v>
      </c>
      <c r="L122" s="54" t="str">
        <f>_xlfn.TEXTJOIN(" ",TRUE,Migrationsartikel!F121:H121)</f>
        <v>Apfelsaft aus der Region 1l</v>
      </c>
      <c r="M122" s="54" t="str">
        <f>_xlfn.TEXTJOIN(" ",TRUE,Migrationsartikel!J121:L121)</f>
        <v>Jus de pomme de la région 1l</v>
      </c>
      <c r="N122" s="54" t="str">
        <f>_xlfn.TEXTJOIN(" ",TRUE,Migrationsartikel!N121:P121)</f>
        <v>Succo di mela della regione 1l</v>
      </c>
      <c r="O122" s="54" t="str">
        <f>Migrationsartikel!F121</f>
        <v>Apfelsaft</v>
      </c>
      <c r="P122" s="54" t="str">
        <f>Migrationsartikel!J121</f>
        <v>Jus de pomme</v>
      </c>
      <c r="Q122" s="54" t="str">
        <f>Migrationsartikel!N121</f>
        <v>Succo di mela</v>
      </c>
      <c r="R122" s="54" t="str">
        <f>_xlfn.TEXTJOIN(" ",TRUE,Migrationsartikel!G121)</f>
        <v>aus der Region</v>
      </c>
      <c r="S122" s="54" t="str">
        <f>_xlfn.TEXTJOIN(" ",TRUE,Migrationsartikel!K121)</f>
        <v>de la région</v>
      </c>
      <c r="T122" s="54" t="str">
        <f>_xlfn.TEXTJOIN(" ",TRUE,Migrationsartikel!O121)</f>
        <v>della regione</v>
      </c>
      <c r="U122" s="54" t="str">
        <f>_xlfn.TEXTJOIN(" ",TRUE,Migrationsartikel!H121)</f>
        <v>1l</v>
      </c>
      <c r="V122" s="54" t="str">
        <f>_xlfn.TEXTJOIN(" ",TRUE,Migrationsartikel!L121)</f>
        <v>1l</v>
      </c>
      <c r="W122" s="54" t="str">
        <f>_xlfn.TEXTJOIN(" ",TRUE,Migrationsartikel!P121)</f>
        <v>1l</v>
      </c>
      <c r="X122" s="54" t="str">
        <f>Migrationsartikel!I121</f>
        <v>Apfelsaft 1l</v>
      </c>
      <c r="Y122" s="54" t="str">
        <f>Migrationsartikel!M121</f>
        <v>Jus de pomme 1l</v>
      </c>
      <c r="Z122" s="54" t="str">
        <f>Migrationsartikel!Q121</f>
        <v>Succo mela 1l</v>
      </c>
      <c r="AA122" s="63">
        <f>Migrationsartikel!R121</f>
        <v>1</v>
      </c>
      <c r="AB122" s="54" t="str">
        <f>Migrationsartikel!T121</f>
        <v>Liter</v>
      </c>
      <c r="AC122" s="65">
        <f>Migrationsartikel!S121</f>
        <v>1</v>
      </c>
      <c r="AD122" s="54" t="str">
        <f>Migrationsartikel!U121</f>
        <v>(PCE) Stück</v>
      </c>
      <c r="AE122" s="55" t="s">
        <v>179</v>
      </c>
      <c r="AF122" s="67">
        <f>Migrationsartikel!AA121</f>
        <v>0</v>
      </c>
      <c r="AG122" s="55" t="s">
        <v>192</v>
      </c>
      <c r="AH122" s="54" t="str">
        <f>IF(Migrationsartikel!AB121="ja","true",FALSE)</f>
        <v>true</v>
      </c>
      <c r="AI122" s="54" t="str">
        <f>IF(Migrationsartikel!AC121="ja","true",FALSE)</f>
        <v>true</v>
      </c>
      <c r="AJ122" s="54" t="str">
        <f>IF(Migrationsartikel!AD121="ja","true",FALSE)</f>
        <v>true</v>
      </c>
      <c r="AK122" s="54" t="str">
        <f>IF(Migrationsartikel!AE121="ja","true",FALSE)</f>
        <v>true</v>
      </c>
      <c r="AL122" s="54" t="str">
        <f>IF(Migrationsartikel!AF121="ja","Denner Partner","")</f>
        <v/>
      </c>
      <c r="AM122" s="54" t="str">
        <f>IF(Migrationsartikel!AG121="ja","true","false")</f>
        <v>false</v>
      </c>
      <c r="AN122" s="54" t="str">
        <f t="shared" si="2"/>
        <v>Kassentastenbelegung (ohne GTIN/PLU)</v>
      </c>
      <c r="AO122" s="66" t="s">
        <v>219</v>
      </c>
      <c r="AP122" s="65" t="s">
        <v>1555</v>
      </c>
      <c r="AQ122" s="66" t="s">
        <v>217</v>
      </c>
      <c r="AR122" s="30" t="s">
        <v>219</v>
      </c>
    </row>
    <row r="123" spans="2:44" ht="21.75" customHeight="1" x14ac:dyDescent="0.45">
      <c r="B123" s="54" t="s">
        <v>99</v>
      </c>
      <c r="E123" s="55" t="s">
        <v>87</v>
      </c>
      <c r="F123" s="54" t="str">
        <f>"Warengruppe&gt;&gt;"&amp;_xlfn.TEXTJOIN("&gt;&gt;",TRUE,Migrationsartikel!V122:X122)</f>
        <v>Warengruppe&gt;&gt;Getränke&gt;&gt;Tafelgetränke&gt;&gt;Tafelgetränke</v>
      </c>
      <c r="H123" s="55" t="s">
        <v>109</v>
      </c>
      <c r="J123" s="79">
        <f>Migrationsartikel!B122</f>
        <v>0</v>
      </c>
      <c r="L123" s="54" t="str">
        <f>_xlfn.TEXTJOIN(" ",TRUE,Migrationsartikel!F122:H122)</f>
        <v>Apfelsaft aus der Region 1.5l</v>
      </c>
      <c r="M123" s="54" t="str">
        <f>_xlfn.TEXTJOIN(" ",TRUE,Migrationsartikel!J122:L122)</f>
        <v>Jus de pomme de la région 1.5l</v>
      </c>
      <c r="N123" s="54" t="str">
        <f>_xlfn.TEXTJOIN(" ",TRUE,Migrationsartikel!N122:P122)</f>
        <v>Succo di mela della regione 1.5l</v>
      </c>
      <c r="O123" s="54" t="str">
        <f>Migrationsartikel!F122</f>
        <v>Apfelsaft</v>
      </c>
      <c r="P123" s="54" t="str">
        <f>Migrationsartikel!J122</f>
        <v>Jus de pomme</v>
      </c>
      <c r="Q123" s="54" t="str">
        <f>Migrationsartikel!N122</f>
        <v>Succo di mela</v>
      </c>
      <c r="R123" s="54" t="str">
        <f>_xlfn.TEXTJOIN(" ",TRUE,Migrationsartikel!G122)</f>
        <v>aus der Region</v>
      </c>
      <c r="S123" s="54" t="str">
        <f>_xlfn.TEXTJOIN(" ",TRUE,Migrationsartikel!K122)</f>
        <v>de la région</v>
      </c>
      <c r="T123" s="54" t="str">
        <f>_xlfn.TEXTJOIN(" ",TRUE,Migrationsartikel!O122)</f>
        <v>della regione</v>
      </c>
      <c r="U123" s="54" t="str">
        <f>_xlfn.TEXTJOIN(" ",TRUE,Migrationsartikel!H122)</f>
        <v>1.5l</v>
      </c>
      <c r="V123" s="54" t="str">
        <f>_xlfn.TEXTJOIN(" ",TRUE,Migrationsartikel!L122)</f>
        <v>1.5l</v>
      </c>
      <c r="W123" s="54" t="str">
        <f>_xlfn.TEXTJOIN(" ",TRUE,Migrationsartikel!P122)</f>
        <v>1.5l</v>
      </c>
      <c r="X123" s="54" t="str">
        <f>Migrationsartikel!I122</f>
        <v>Apfelsaft 1.5l</v>
      </c>
      <c r="Y123" s="54" t="str">
        <f>Migrationsartikel!M122</f>
        <v>Jus de pomme 1.5l</v>
      </c>
      <c r="Z123" s="54" t="str">
        <f>Migrationsartikel!Q122</f>
        <v>Succo mela 1.5l</v>
      </c>
      <c r="AA123" s="63">
        <f>Migrationsartikel!R122</f>
        <v>1.5</v>
      </c>
      <c r="AB123" s="54" t="str">
        <f>Migrationsartikel!T122</f>
        <v>Liter</v>
      </c>
      <c r="AC123" s="65">
        <f>Migrationsartikel!S122</f>
        <v>1</v>
      </c>
      <c r="AD123" s="54" t="str">
        <f>Migrationsartikel!U122</f>
        <v>(PCE) Stück</v>
      </c>
      <c r="AE123" s="55" t="s">
        <v>179</v>
      </c>
      <c r="AF123" s="67">
        <f>Migrationsartikel!AA122</f>
        <v>0</v>
      </c>
      <c r="AG123" s="55" t="s">
        <v>192</v>
      </c>
      <c r="AH123" s="54" t="str">
        <f>IF(Migrationsartikel!AB122="ja","true",FALSE)</f>
        <v>true</v>
      </c>
      <c r="AI123" s="54" t="str">
        <f>IF(Migrationsartikel!AC122="ja","true",FALSE)</f>
        <v>true</v>
      </c>
      <c r="AJ123" s="54" t="str">
        <f>IF(Migrationsartikel!AD122="ja","true",FALSE)</f>
        <v>true</v>
      </c>
      <c r="AK123" s="54" t="str">
        <f>IF(Migrationsartikel!AE122="ja","true",FALSE)</f>
        <v>true</v>
      </c>
      <c r="AL123" s="54" t="str">
        <f>IF(Migrationsartikel!AF122="ja","Denner Partner","")</f>
        <v/>
      </c>
      <c r="AM123" s="54" t="str">
        <f>IF(Migrationsartikel!AG122="ja","true","false")</f>
        <v>false</v>
      </c>
      <c r="AN123" s="54" t="str">
        <f t="shared" si="2"/>
        <v>Kassentastenbelegung (ohne GTIN/PLU)</v>
      </c>
      <c r="AO123" s="66" t="s">
        <v>219</v>
      </c>
      <c r="AP123" s="65" t="s">
        <v>1556</v>
      </c>
      <c r="AQ123" s="66" t="s">
        <v>217</v>
      </c>
      <c r="AR123" s="30" t="s">
        <v>219</v>
      </c>
    </row>
    <row r="124" spans="2:44" ht="21.75" customHeight="1" x14ac:dyDescent="0.45">
      <c r="B124" s="54" t="s">
        <v>99</v>
      </c>
      <c r="E124" s="55" t="s">
        <v>87</v>
      </c>
      <c r="F124" s="54" t="str">
        <f>"Warengruppe&gt;&gt;"&amp;_xlfn.TEXTJOIN("&gt;&gt;",TRUE,Migrationsartikel!V123:X123)</f>
        <v>Warengruppe&gt;&gt;Getränke&gt;&gt;Tafelgetränke&gt;&gt;Tafelgetränke</v>
      </c>
      <c r="H124" s="55" t="s">
        <v>109</v>
      </c>
      <c r="J124" s="79">
        <f>Migrationsartikel!B123</f>
        <v>0</v>
      </c>
      <c r="L124" s="54" t="str">
        <f>_xlfn.TEXTJOIN(" ",TRUE,Migrationsartikel!F123:H123)</f>
        <v>Apfelwein aus der Region 33cl</v>
      </c>
      <c r="M124" s="54" t="str">
        <f>_xlfn.TEXTJOIN(" ",TRUE,Migrationsartikel!J123:L123)</f>
        <v>Vin de pomme de la région 33cl</v>
      </c>
      <c r="N124" s="54" t="str">
        <f>_xlfn.TEXTJOIN(" ",TRUE,Migrationsartikel!N123:P123)</f>
        <v>Vino di mele della regione 33cl</v>
      </c>
      <c r="O124" s="54" t="str">
        <f>Migrationsartikel!F123</f>
        <v>Apfelwein</v>
      </c>
      <c r="P124" s="54" t="str">
        <f>Migrationsartikel!J123</f>
        <v>Vin de pomme</v>
      </c>
      <c r="Q124" s="54" t="str">
        <f>Migrationsartikel!N123</f>
        <v>Vino di mele</v>
      </c>
      <c r="R124" s="54" t="str">
        <f>_xlfn.TEXTJOIN(" ",TRUE,Migrationsartikel!G123)</f>
        <v>aus der Region</v>
      </c>
      <c r="S124" s="54" t="str">
        <f>_xlfn.TEXTJOIN(" ",TRUE,Migrationsartikel!K123)</f>
        <v>de la région</v>
      </c>
      <c r="T124" s="54" t="str">
        <f>_xlfn.TEXTJOIN(" ",TRUE,Migrationsartikel!O123)</f>
        <v>della regione</v>
      </c>
      <c r="U124" s="54" t="str">
        <f>_xlfn.TEXTJOIN(" ",TRUE,Migrationsartikel!H123)</f>
        <v>33cl</v>
      </c>
      <c r="V124" s="54" t="str">
        <f>_xlfn.TEXTJOIN(" ",TRUE,Migrationsartikel!L123)</f>
        <v>33cl</v>
      </c>
      <c r="W124" s="54" t="str">
        <f>_xlfn.TEXTJOIN(" ",TRUE,Migrationsartikel!P123)</f>
        <v>33cl</v>
      </c>
      <c r="X124" s="54" t="str">
        <f>Migrationsartikel!I123</f>
        <v>Apfelwein 33cl</v>
      </c>
      <c r="Y124" s="54" t="str">
        <f>Migrationsartikel!M123</f>
        <v>Vin de pomme 33cl</v>
      </c>
      <c r="Z124" s="54" t="str">
        <f>Migrationsartikel!Q123</f>
        <v>Vino di mele 33cl</v>
      </c>
      <c r="AA124" s="63">
        <f>Migrationsartikel!R123</f>
        <v>0.33</v>
      </c>
      <c r="AB124" s="54" t="str">
        <f>Migrationsartikel!T123</f>
        <v>Liter</v>
      </c>
      <c r="AC124" s="65">
        <f>Migrationsartikel!S123</f>
        <v>1</v>
      </c>
      <c r="AD124" s="54" t="str">
        <f>Migrationsartikel!U123</f>
        <v>(PCE) Stück</v>
      </c>
      <c r="AE124" s="55" t="s">
        <v>179</v>
      </c>
      <c r="AF124" s="67">
        <f>Migrationsartikel!AA123</f>
        <v>0</v>
      </c>
      <c r="AG124" s="55" t="s">
        <v>192</v>
      </c>
      <c r="AH124" s="54" t="str">
        <f>IF(Migrationsartikel!AB123="ja","true",FALSE)</f>
        <v>true</v>
      </c>
      <c r="AI124" s="54" t="str">
        <f>IF(Migrationsartikel!AC123="ja","true",FALSE)</f>
        <v>true</v>
      </c>
      <c r="AJ124" s="54" t="str">
        <f>IF(Migrationsartikel!AD123="ja","true",FALSE)</f>
        <v>true</v>
      </c>
      <c r="AK124" s="54" t="str">
        <f>IF(Migrationsartikel!AE123="ja","true",FALSE)</f>
        <v>true</v>
      </c>
      <c r="AL124" s="54" t="str">
        <f>IF(Migrationsartikel!AF123="ja","Denner Partner","")</f>
        <v/>
      </c>
      <c r="AM124" s="54" t="str">
        <f>IF(Migrationsartikel!AG123="ja","true","false")</f>
        <v>false</v>
      </c>
      <c r="AN124" s="54" t="str">
        <f t="shared" si="2"/>
        <v>Kassentastenbelegung (ohne GTIN/PLU)</v>
      </c>
      <c r="AO124" s="66" t="s">
        <v>219</v>
      </c>
      <c r="AP124" s="65" t="s">
        <v>1557</v>
      </c>
      <c r="AQ124" s="66" t="s">
        <v>217</v>
      </c>
      <c r="AR124" s="30" t="s">
        <v>219</v>
      </c>
    </row>
    <row r="125" spans="2:44" ht="21.75" customHeight="1" x14ac:dyDescent="0.45">
      <c r="B125" s="54" t="s">
        <v>99</v>
      </c>
      <c r="E125" s="55" t="s">
        <v>87</v>
      </c>
      <c r="F125" s="54" t="str">
        <f>"Warengruppe&gt;&gt;"&amp;_xlfn.TEXTJOIN("&gt;&gt;",TRUE,Migrationsartikel!V124:X124)</f>
        <v>Warengruppe&gt;&gt;Getränke&gt;&gt;Tafelgetränke&gt;&gt;Tafelgetränke</v>
      </c>
      <c r="H125" s="55" t="s">
        <v>109</v>
      </c>
      <c r="J125" s="79">
        <f>Migrationsartikel!B124</f>
        <v>0</v>
      </c>
      <c r="L125" s="54" t="str">
        <f>_xlfn.TEXTJOIN(" ",TRUE,Migrationsartikel!F124:H124)</f>
        <v>Apfelwein aus der Region 50cl</v>
      </c>
      <c r="M125" s="54" t="str">
        <f>_xlfn.TEXTJOIN(" ",TRUE,Migrationsartikel!J124:L124)</f>
        <v>Vin de pomme de la région 50cl</v>
      </c>
      <c r="N125" s="54" t="str">
        <f>_xlfn.TEXTJOIN(" ",TRUE,Migrationsartikel!N124:P124)</f>
        <v>Vino di mele della regione 50cl</v>
      </c>
      <c r="O125" s="54" t="str">
        <f>Migrationsartikel!F124</f>
        <v>Apfelwein</v>
      </c>
      <c r="P125" s="54" t="str">
        <f>Migrationsartikel!J124</f>
        <v>Vin de pomme</v>
      </c>
      <c r="Q125" s="54" t="str">
        <f>Migrationsartikel!N124</f>
        <v>Vino di mele</v>
      </c>
      <c r="R125" s="54" t="str">
        <f>_xlfn.TEXTJOIN(" ",TRUE,Migrationsartikel!G124)</f>
        <v>aus der Region</v>
      </c>
      <c r="S125" s="54" t="str">
        <f>_xlfn.TEXTJOIN(" ",TRUE,Migrationsartikel!K124)</f>
        <v>de la région</v>
      </c>
      <c r="T125" s="54" t="str">
        <f>_xlfn.TEXTJOIN(" ",TRUE,Migrationsartikel!O124)</f>
        <v>della regione</v>
      </c>
      <c r="U125" s="54" t="str">
        <f>_xlfn.TEXTJOIN(" ",TRUE,Migrationsartikel!H124)</f>
        <v>50cl</v>
      </c>
      <c r="V125" s="54" t="str">
        <f>_xlfn.TEXTJOIN(" ",TRUE,Migrationsartikel!L124)</f>
        <v>50cl</v>
      </c>
      <c r="W125" s="54" t="str">
        <f>_xlfn.TEXTJOIN(" ",TRUE,Migrationsartikel!P124)</f>
        <v>50cl</v>
      </c>
      <c r="X125" s="54" t="str">
        <f>Migrationsartikel!I124</f>
        <v>Apfelwein 50cl</v>
      </c>
      <c r="Y125" s="54" t="str">
        <f>Migrationsartikel!M124</f>
        <v>Vin de pomme 50cl</v>
      </c>
      <c r="Z125" s="54" t="str">
        <f>Migrationsartikel!Q124</f>
        <v>Vino di mele 50cl</v>
      </c>
      <c r="AA125" s="63">
        <f>Migrationsartikel!R124</f>
        <v>0.5</v>
      </c>
      <c r="AB125" s="54" t="str">
        <f>Migrationsartikel!T124</f>
        <v>Liter</v>
      </c>
      <c r="AC125" s="65">
        <f>Migrationsartikel!S124</f>
        <v>1</v>
      </c>
      <c r="AD125" s="54" t="str">
        <f>Migrationsartikel!U124</f>
        <v>(PCE) Stück</v>
      </c>
      <c r="AE125" s="55" t="s">
        <v>179</v>
      </c>
      <c r="AF125" s="67">
        <f>Migrationsartikel!AA124</f>
        <v>0</v>
      </c>
      <c r="AG125" s="55" t="s">
        <v>192</v>
      </c>
      <c r="AH125" s="54" t="str">
        <f>IF(Migrationsartikel!AB124="ja","true",FALSE)</f>
        <v>true</v>
      </c>
      <c r="AI125" s="54" t="str">
        <f>IF(Migrationsartikel!AC124="ja","true",FALSE)</f>
        <v>true</v>
      </c>
      <c r="AJ125" s="54" t="str">
        <f>IF(Migrationsartikel!AD124="ja","true",FALSE)</f>
        <v>true</v>
      </c>
      <c r="AK125" s="54" t="str">
        <f>IF(Migrationsartikel!AE124="ja","true",FALSE)</f>
        <v>true</v>
      </c>
      <c r="AL125" s="54" t="str">
        <f>IF(Migrationsartikel!AF124="ja","Denner Partner","")</f>
        <v/>
      </c>
      <c r="AM125" s="54" t="str">
        <f>IF(Migrationsartikel!AG124="ja","true","false")</f>
        <v>false</v>
      </c>
      <c r="AN125" s="54" t="str">
        <f t="shared" si="2"/>
        <v>Kassentastenbelegung (ohne GTIN/PLU)</v>
      </c>
      <c r="AO125" s="66" t="s">
        <v>219</v>
      </c>
      <c r="AP125" s="65" t="s">
        <v>1558</v>
      </c>
      <c r="AQ125" s="66" t="s">
        <v>217</v>
      </c>
      <c r="AR125" s="30" t="s">
        <v>219</v>
      </c>
    </row>
    <row r="126" spans="2:44" ht="21.75" customHeight="1" x14ac:dyDescent="0.45">
      <c r="B126" s="54" t="s">
        <v>99</v>
      </c>
      <c r="E126" s="55" t="s">
        <v>87</v>
      </c>
      <c r="F126" s="54" t="str">
        <f>"Warengruppe&gt;&gt;"&amp;_xlfn.TEXTJOIN("&gt;&gt;",TRUE,Migrationsartikel!V125:X125)</f>
        <v>Warengruppe&gt;&gt;Getränke&gt;&gt;Tafelgetränke&gt;&gt;Tafelgetränke</v>
      </c>
      <c r="H126" s="55" t="s">
        <v>109</v>
      </c>
      <c r="J126" s="79">
        <f>Migrationsartikel!B125</f>
        <v>0</v>
      </c>
      <c r="L126" s="54" t="str">
        <f>_xlfn.TEXTJOIN(" ",TRUE,Migrationsartikel!F125:H125)</f>
        <v>Apfelwein aus der Region 75cl</v>
      </c>
      <c r="M126" s="54" t="str">
        <f>_xlfn.TEXTJOIN(" ",TRUE,Migrationsartikel!J125:L125)</f>
        <v>Vin de pomme de la région 75cl</v>
      </c>
      <c r="N126" s="54" t="str">
        <f>_xlfn.TEXTJOIN(" ",TRUE,Migrationsartikel!N125:P125)</f>
        <v>Vino di mele della regione 75cl</v>
      </c>
      <c r="O126" s="54" t="str">
        <f>Migrationsartikel!F125</f>
        <v>Apfelwein</v>
      </c>
      <c r="P126" s="54" t="str">
        <f>Migrationsartikel!J125</f>
        <v>Vin de pomme</v>
      </c>
      <c r="Q126" s="54" t="str">
        <f>Migrationsartikel!N125</f>
        <v>Vino di mele</v>
      </c>
      <c r="R126" s="54" t="str">
        <f>_xlfn.TEXTJOIN(" ",TRUE,Migrationsartikel!G125)</f>
        <v>aus der Region</v>
      </c>
      <c r="S126" s="54" t="str">
        <f>_xlfn.TEXTJOIN(" ",TRUE,Migrationsartikel!K125)</f>
        <v>de la région</v>
      </c>
      <c r="T126" s="54" t="str">
        <f>_xlfn.TEXTJOIN(" ",TRUE,Migrationsartikel!O125)</f>
        <v>della regione</v>
      </c>
      <c r="U126" s="54" t="str">
        <f>_xlfn.TEXTJOIN(" ",TRUE,Migrationsartikel!H125)</f>
        <v>75cl</v>
      </c>
      <c r="V126" s="54" t="str">
        <f>_xlfn.TEXTJOIN(" ",TRUE,Migrationsartikel!L125)</f>
        <v>75cl</v>
      </c>
      <c r="W126" s="54" t="str">
        <f>_xlfn.TEXTJOIN(" ",TRUE,Migrationsartikel!P125)</f>
        <v>75cl</v>
      </c>
      <c r="X126" s="54" t="str">
        <f>Migrationsartikel!I125</f>
        <v>Apfelwein 75cl</v>
      </c>
      <c r="Y126" s="54" t="str">
        <f>Migrationsartikel!M125</f>
        <v>Vin de pomme 75cl</v>
      </c>
      <c r="Z126" s="54" t="str">
        <f>Migrationsartikel!Q125</f>
        <v>Vino di mele 75cl</v>
      </c>
      <c r="AA126" s="63">
        <f>Migrationsartikel!R125</f>
        <v>0.75</v>
      </c>
      <c r="AB126" s="54" t="str">
        <f>Migrationsartikel!T125</f>
        <v>Liter</v>
      </c>
      <c r="AC126" s="65">
        <f>Migrationsartikel!S125</f>
        <v>1</v>
      </c>
      <c r="AD126" s="54" t="str">
        <f>Migrationsartikel!U125</f>
        <v>(PCE) Stück</v>
      </c>
      <c r="AE126" s="55" t="s">
        <v>179</v>
      </c>
      <c r="AF126" s="67">
        <f>Migrationsartikel!AA125</f>
        <v>0</v>
      </c>
      <c r="AG126" s="55" t="s">
        <v>192</v>
      </c>
      <c r="AH126" s="54" t="str">
        <f>IF(Migrationsartikel!AB125="ja","true",FALSE)</f>
        <v>true</v>
      </c>
      <c r="AI126" s="54" t="str">
        <f>IF(Migrationsartikel!AC125="ja","true",FALSE)</f>
        <v>true</v>
      </c>
      <c r="AJ126" s="54" t="str">
        <f>IF(Migrationsartikel!AD125="ja","true",FALSE)</f>
        <v>true</v>
      </c>
      <c r="AK126" s="54" t="str">
        <f>IF(Migrationsartikel!AE125="ja","true",FALSE)</f>
        <v>true</v>
      </c>
      <c r="AL126" s="54" t="str">
        <f>IF(Migrationsartikel!AF125="ja","Denner Partner","")</f>
        <v/>
      </c>
      <c r="AM126" s="54" t="str">
        <f>IF(Migrationsartikel!AG125="ja","true","false")</f>
        <v>false</v>
      </c>
      <c r="AN126" s="54" t="str">
        <f t="shared" si="2"/>
        <v>Kassentastenbelegung (ohne GTIN/PLU)</v>
      </c>
      <c r="AO126" s="66" t="s">
        <v>219</v>
      </c>
      <c r="AP126" s="65" t="s">
        <v>1559</v>
      </c>
      <c r="AQ126" s="66" t="s">
        <v>217</v>
      </c>
      <c r="AR126" s="30" t="s">
        <v>219</v>
      </c>
    </row>
    <row r="127" spans="2:44" ht="21.75" customHeight="1" x14ac:dyDescent="0.45">
      <c r="B127" s="54" t="s">
        <v>99</v>
      </c>
      <c r="E127" s="55" t="s">
        <v>87</v>
      </c>
      <c r="F127" s="54" t="str">
        <f>"Warengruppe&gt;&gt;"&amp;_xlfn.TEXTJOIN("&gt;&gt;",TRUE,Migrationsartikel!V126:X126)</f>
        <v>Warengruppe&gt;&gt;Getränke&gt;&gt;Tafelgetränke&gt;&gt;Tafelgetränke</v>
      </c>
      <c r="H127" s="55" t="s">
        <v>109</v>
      </c>
      <c r="J127" s="79">
        <f>Migrationsartikel!B126</f>
        <v>0</v>
      </c>
      <c r="L127" s="54" t="str">
        <f>_xlfn.TEXTJOIN(" ",TRUE,Migrationsartikel!F126:H126)</f>
        <v>Apfelwein aus der Region 1l</v>
      </c>
      <c r="M127" s="54" t="str">
        <f>_xlfn.TEXTJOIN(" ",TRUE,Migrationsartikel!J126:L126)</f>
        <v>Vin de pomme de la région 1l</v>
      </c>
      <c r="N127" s="54" t="str">
        <f>_xlfn.TEXTJOIN(" ",TRUE,Migrationsartikel!N126:P126)</f>
        <v>Vino di mele della regione 1l</v>
      </c>
      <c r="O127" s="54" t="str">
        <f>Migrationsartikel!F126</f>
        <v>Apfelwein</v>
      </c>
      <c r="P127" s="54" t="str">
        <f>Migrationsartikel!J126</f>
        <v>Vin de pomme</v>
      </c>
      <c r="Q127" s="54" t="str">
        <f>Migrationsartikel!N126</f>
        <v>Vino di mele</v>
      </c>
      <c r="R127" s="54" t="str">
        <f>_xlfn.TEXTJOIN(" ",TRUE,Migrationsartikel!G126)</f>
        <v>aus der Region</v>
      </c>
      <c r="S127" s="54" t="str">
        <f>_xlfn.TEXTJOIN(" ",TRUE,Migrationsartikel!K126)</f>
        <v>de la région</v>
      </c>
      <c r="T127" s="54" t="str">
        <f>_xlfn.TEXTJOIN(" ",TRUE,Migrationsartikel!O126)</f>
        <v>della regione</v>
      </c>
      <c r="U127" s="54" t="str">
        <f>_xlfn.TEXTJOIN(" ",TRUE,Migrationsartikel!H126)</f>
        <v>1l</v>
      </c>
      <c r="V127" s="54" t="str">
        <f>_xlfn.TEXTJOIN(" ",TRUE,Migrationsartikel!L126)</f>
        <v>1l</v>
      </c>
      <c r="W127" s="54" t="str">
        <f>_xlfn.TEXTJOIN(" ",TRUE,Migrationsartikel!P126)</f>
        <v>1l</v>
      </c>
      <c r="X127" s="54" t="str">
        <f>Migrationsartikel!I126</f>
        <v>Apfelwein 1l</v>
      </c>
      <c r="Y127" s="54" t="str">
        <f>Migrationsartikel!M126</f>
        <v>Vin de pomme 1l</v>
      </c>
      <c r="Z127" s="54" t="str">
        <f>Migrationsartikel!Q126</f>
        <v>Vino di mele 1l</v>
      </c>
      <c r="AA127" s="63">
        <f>Migrationsartikel!R126</f>
        <v>1</v>
      </c>
      <c r="AB127" s="54" t="str">
        <f>Migrationsartikel!T126</f>
        <v>Liter</v>
      </c>
      <c r="AC127" s="65">
        <f>Migrationsartikel!S126</f>
        <v>1</v>
      </c>
      <c r="AD127" s="54" t="str">
        <f>Migrationsartikel!U126</f>
        <v>(PCE) Stück</v>
      </c>
      <c r="AE127" s="55" t="s">
        <v>179</v>
      </c>
      <c r="AF127" s="67">
        <f>Migrationsartikel!AA126</f>
        <v>0</v>
      </c>
      <c r="AG127" s="55" t="s">
        <v>192</v>
      </c>
      <c r="AH127" s="54" t="str">
        <f>IF(Migrationsartikel!AB126="ja","true",FALSE)</f>
        <v>true</v>
      </c>
      <c r="AI127" s="54" t="str">
        <f>IF(Migrationsartikel!AC126="ja","true",FALSE)</f>
        <v>true</v>
      </c>
      <c r="AJ127" s="54" t="str">
        <f>IF(Migrationsartikel!AD126="ja","true",FALSE)</f>
        <v>true</v>
      </c>
      <c r="AK127" s="54" t="str">
        <f>IF(Migrationsartikel!AE126="ja","true",FALSE)</f>
        <v>true</v>
      </c>
      <c r="AL127" s="54" t="str">
        <f>IF(Migrationsartikel!AF126="ja","Denner Partner","")</f>
        <v/>
      </c>
      <c r="AM127" s="54" t="str">
        <f>IF(Migrationsartikel!AG126="ja","true","false")</f>
        <v>false</v>
      </c>
      <c r="AN127" s="54" t="str">
        <f t="shared" si="2"/>
        <v>Kassentastenbelegung (ohne GTIN/PLU)</v>
      </c>
      <c r="AO127" s="66" t="s">
        <v>219</v>
      </c>
      <c r="AP127" s="65" t="s">
        <v>1560</v>
      </c>
      <c r="AQ127" s="66" t="s">
        <v>217</v>
      </c>
      <c r="AR127" s="30" t="s">
        <v>219</v>
      </c>
    </row>
    <row r="128" spans="2:44" ht="21.75" customHeight="1" x14ac:dyDescent="0.45">
      <c r="B128" s="54" t="s">
        <v>99</v>
      </c>
      <c r="E128" s="55" t="s">
        <v>87</v>
      </c>
      <c r="F128" s="54" t="str">
        <f>"Warengruppe&gt;&gt;"&amp;_xlfn.TEXTJOIN("&gt;&gt;",TRUE,Migrationsartikel!V127:X127)</f>
        <v>Warengruppe&gt;&gt;Getränke&gt;&gt;Tafelgetränke&gt;&gt;Tafelgetränke</v>
      </c>
      <c r="H128" s="55" t="s">
        <v>109</v>
      </c>
      <c r="J128" s="79">
        <f>Migrationsartikel!B127</f>
        <v>0</v>
      </c>
      <c r="L128" s="54" t="str">
        <f>_xlfn.TEXTJOIN(" ",TRUE,Migrationsartikel!F127:H127)</f>
        <v>Apfelwein aus der Region 1.5l</v>
      </c>
      <c r="M128" s="54" t="str">
        <f>_xlfn.TEXTJOIN(" ",TRUE,Migrationsartikel!J127:L127)</f>
        <v>Vin de pomme de la région 1.5l</v>
      </c>
      <c r="N128" s="54" t="str">
        <f>_xlfn.TEXTJOIN(" ",TRUE,Migrationsartikel!N127:P127)</f>
        <v>Vino di mele della regione 1.5l</v>
      </c>
      <c r="O128" s="54" t="str">
        <f>Migrationsartikel!F127</f>
        <v>Apfelwein</v>
      </c>
      <c r="P128" s="54" t="str">
        <f>Migrationsartikel!J127</f>
        <v>Vin de pomme</v>
      </c>
      <c r="Q128" s="54" t="str">
        <f>Migrationsartikel!N127</f>
        <v>Vino di mele</v>
      </c>
      <c r="R128" s="54" t="str">
        <f>_xlfn.TEXTJOIN(" ",TRUE,Migrationsartikel!G127)</f>
        <v>aus der Region</v>
      </c>
      <c r="S128" s="54" t="str">
        <f>_xlfn.TEXTJOIN(" ",TRUE,Migrationsartikel!K127)</f>
        <v>de la région</v>
      </c>
      <c r="T128" s="54" t="str">
        <f>_xlfn.TEXTJOIN(" ",TRUE,Migrationsartikel!O127)</f>
        <v>della regione</v>
      </c>
      <c r="U128" s="54" t="str">
        <f>_xlfn.TEXTJOIN(" ",TRUE,Migrationsartikel!H127)</f>
        <v>1.5l</v>
      </c>
      <c r="V128" s="54" t="str">
        <f>_xlfn.TEXTJOIN(" ",TRUE,Migrationsartikel!L127)</f>
        <v>1.5l</v>
      </c>
      <c r="W128" s="54" t="str">
        <f>_xlfn.TEXTJOIN(" ",TRUE,Migrationsartikel!P127)</f>
        <v>1.5l</v>
      </c>
      <c r="X128" s="54" t="str">
        <f>Migrationsartikel!I127</f>
        <v>Apfelwein 1.5l</v>
      </c>
      <c r="Y128" s="54" t="str">
        <f>Migrationsartikel!M127</f>
        <v>Vin de pomme 1.5l</v>
      </c>
      <c r="Z128" s="54" t="str">
        <f>Migrationsartikel!Q127</f>
        <v>Vino di mele 1.5l</v>
      </c>
      <c r="AA128" s="63">
        <f>Migrationsartikel!R127</f>
        <v>1.5</v>
      </c>
      <c r="AB128" s="54" t="str">
        <f>Migrationsartikel!T127</f>
        <v>Liter</v>
      </c>
      <c r="AC128" s="65">
        <f>Migrationsartikel!S127</f>
        <v>1</v>
      </c>
      <c r="AD128" s="54" t="str">
        <f>Migrationsartikel!U127</f>
        <v>(PCE) Stück</v>
      </c>
      <c r="AE128" s="55" t="s">
        <v>179</v>
      </c>
      <c r="AF128" s="67">
        <f>Migrationsartikel!AA127</f>
        <v>0</v>
      </c>
      <c r="AG128" s="55" t="s">
        <v>192</v>
      </c>
      <c r="AH128" s="54" t="str">
        <f>IF(Migrationsartikel!AB127="ja","true",FALSE)</f>
        <v>true</v>
      </c>
      <c r="AI128" s="54" t="str">
        <f>IF(Migrationsartikel!AC127="ja","true",FALSE)</f>
        <v>true</v>
      </c>
      <c r="AJ128" s="54" t="str">
        <f>IF(Migrationsartikel!AD127="ja","true",FALSE)</f>
        <v>true</v>
      </c>
      <c r="AK128" s="54" t="str">
        <f>IF(Migrationsartikel!AE127="ja","true",FALSE)</f>
        <v>true</v>
      </c>
      <c r="AL128" s="54" t="str">
        <f>IF(Migrationsartikel!AF127="ja","Denner Partner","")</f>
        <v/>
      </c>
      <c r="AM128" s="54" t="str">
        <f>IF(Migrationsartikel!AG127="ja","true","false")</f>
        <v>false</v>
      </c>
      <c r="AN128" s="54" t="str">
        <f t="shared" si="2"/>
        <v>Kassentastenbelegung (ohne GTIN/PLU)</v>
      </c>
      <c r="AO128" s="66" t="s">
        <v>219</v>
      </c>
      <c r="AP128" s="65" t="s">
        <v>1561</v>
      </c>
      <c r="AQ128" s="66" t="s">
        <v>217</v>
      </c>
      <c r="AR128" s="30" t="s">
        <v>219</v>
      </c>
    </row>
    <row r="129" spans="2:44" ht="21.75" customHeight="1" x14ac:dyDescent="0.45">
      <c r="B129" s="54" t="s">
        <v>99</v>
      </c>
      <c r="E129" s="55" t="s">
        <v>87</v>
      </c>
      <c r="F129" s="54" t="str">
        <f>"Warengruppe&gt;&gt;"&amp;_xlfn.TEXTJOIN("&gt;&gt;",TRUE,Migrationsartikel!V128:X128)</f>
        <v>Warengruppe&gt;&gt;Getränke&gt;&gt;Tafelgetränke&gt;&gt;Tafelgetränke</v>
      </c>
      <c r="H129" s="55" t="s">
        <v>109</v>
      </c>
      <c r="J129" s="79">
        <f>Migrationsartikel!B128</f>
        <v>0</v>
      </c>
      <c r="L129" s="54" t="str">
        <f>_xlfn.TEXTJOIN(" ",TRUE,Migrationsartikel!F128:H128)</f>
        <v>Apfelsaft aus der Region 10l</v>
      </c>
      <c r="M129" s="54" t="str">
        <f>_xlfn.TEXTJOIN(" ",TRUE,Migrationsartikel!J128:L128)</f>
        <v>Jus de pomme de la région 10l</v>
      </c>
      <c r="N129" s="54" t="str">
        <f>_xlfn.TEXTJOIN(" ",TRUE,Migrationsartikel!N128:P128)</f>
        <v>Succo di mela della regione 10l</v>
      </c>
      <c r="O129" s="54" t="str">
        <f>Migrationsartikel!F128</f>
        <v>Apfelsaft</v>
      </c>
      <c r="P129" s="54" t="str">
        <f>Migrationsartikel!J128</f>
        <v>Jus de pomme</v>
      </c>
      <c r="Q129" s="54" t="str">
        <f>Migrationsartikel!N128</f>
        <v>Succo di mela</v>
      </c>
      <c r="R129" s="54" t="str">
        <f>_xlfn.TEXTJOIN(" ",TRUE,Migrationsartikel!G128)</f>
        <v>aus der Region</v>
      </c>
      <c r="S129" s="54" t="str">
        <f>_xlfn.TEXTJOIN(" ",TRUE,Migrationsartikel!K128)</f>
        <v>de la région</v>
      </c>
      <c r="T129" s="54" t="str">
        <f>_xlfn.TEXTJOIN(" ",TRUE,Migrationsartikel!O128)</f>
        <v>della regione</v>
      </c>
      <c r="U129" s="54" t="str">
        <f>_xlfn.TEXTJOIN(" ",TRUE,Migrationsartikel!H128)</f>
        <v>10l</v>
      </c>
      <c r="V129" s="54" t="str">
        <f>_xlfn.TEXTJOIN(" ",TRUE,Migrationsartikel!L128)</f>
        <v>10l</v>
      </c>
      <c r="W129" s="54" t="str">
        <f>_xlfn.TEXTJOIN(" ",TRUE,Migrationsartikel!P128)</f>
        <v>10l</v>
      </c>
      <c r="X129" s="54" t="str">
        <f>Migrationsartikel!I128</f>
        <v>Apfelsaft 10l</v>
      </c>
      <c r="Y129" s="54" t="str">
        <f>Migrationsartikel!M128</f>
        <v>Jus de pomme 10l</v>
      </c>
      <c r="Z129" s="54" t="str">
        <f>Migrationsartikel!Q128</f>
        <v>Succo mela 10l</v>
      </c>
      <c r="AA129" s="63">
        <f>Migrationsartikel!R128</f>
        <v>10</v>
      </c>
      <c r="AB129" s="54" t="str">
        <f>Migrationsartikel!T128</f>
        <v>Liter</v>
      </c>
      <c r="AC129" s="65">
        <f>Migrationsartikel!S128</f>
        <v>1</v>
      </c>
      <c r="AD129" s="54" t="str">
        <f>Migrationsartikel!U128</f>
        <v>(PCE) Stück</v>
      </c>
      <c r="AE129" s="55" t="s">
        <v>179</v>
      </c>
      <c r="AF129" s="67">
        <f>Migrationsartikel!AA128</f>
        <v>0</v>
      </c>
      <c r="AG129" s="55" t="s">
        <v>192</v>
      </c>
      <c r="AH129" s="54" t="str">
        <f>IF(Migrationsartikel!AB128="ja","true",FALSE)</f>
        <v>true</v>
      </c>
      <c r="AI129" s="54" t="str">
        <f>IF(Migrationsartikel!AC128="ja","true",FALSE)</f>
        <v>true</v>
      </c>
      <c r="AJ129" s="54" t="str">
        <f>IF(Migrationsartikel!AD128="ja","true",FALSE)</f>
        <v>true</v>
      </c>
      <c r="AK129" s="54" t="str">
        <f>IF(Migrationsartikel!AE128="ja","true",FALSE)</f>
        <v>true</v>
      </c>
      <c r="AL129" s="54" t="str">
        <f>IF(Migrationsartikel!AF128="ja","Denner Partner","")</f>
        <v/>
      </c>
      <c r="AM129" s="54" t="str">
        <f>IF(Migrationsartikel!AG128="ja","true","false")</f>
        <v>false</v>
      </c>
      <c r="AN129" s="54" t="str">
        <f t="shared" si="2"/>
        <v>Kassentastenbelegung (ohne GTIN/PLU)</v>
      </c>
      <c r="AO129" s="66" t="s">
        <v>219</v>
      </c>
      <c r="AP129" s="65" t="s">
        <v>1562</v>
      </c>
      <c r="AQ129" s="66" t="s">
        <v>217</v>
      </c>
      <c r="AR129" s="30" t="s">
        <v>219</v>
      </c>
    </row>
    <row r="130" spans="2:44" ht="21.75" customHeight="1" x14ac:dyDescent="0.45">
      <c r="B130" s="54" t="s">
        <v>99</v>
      </c>
      <c r="E130" s="55" t="s">
        <v>87</v>
      </c>
      <c r="F130" s="54" t="str">
        <f>"Warengruppe&gt;&gt;"&amp;_xlfn.TEXTJOIN("&gt;&gt;",TRUE,Migrationsartikel!V129:X129)</f>
        <v>Warengruppe&gt;&gt;Getränke&gt;&gt;Tafelgetränke&gt;&gt;Tafelgetränke</v>
      </c>
      <c r="H130" s="55" t="s">
        <v>109</v>
      </c>
      <c r="J130" s="79">
        <f>Migrationsartikel!B129</f>
        <v>0</v>
      </c>
      <c r="L130" s="54" t="str">
        <f>_xlfn.TEXTJOIN(" ",TRUE,Migrationsartikel!F129:H129)</f>
        <v>Apfelsaft aus der Region 5l</v>
      </c>
      <c r="M130" s="54" t="str">
        <f>_xlfn.TEXTJOIN(" ",TRUE,Migrationsartikel!J129:L129)</f>
        <v>Jus de pomme de la région 5l</v>
      </c>
      <c r="N130" s="54" t="str">
        <f>_xlfn.TEXTJOIN(" ",TRUE,Migrationsartikel!N129:P129)</f>
        <v>Succo di mela della regione 5l</v>
      </c>
      <c r="O130" s="54" t="str">
        <f>Migrationsartikel!F129</f>
        <v>Apfelsaft</v>
      </c>
      <c r="P130" s="54" t="str">
        <f>Migrationsartikel!J129</f>
        <v>Jus de pomme</v>
      </c>
      <c r="Q130" s="54" t="str">
        <f>Migrationsartikel!N129</f>
        <v>Succo di mela</v>
      </c>
      <c r="R130" s="54" t="str">
        <f>_xlfn.TEXTJOIN(" ",TRUE,Migrationsartikel!G129)</f>
        <v>aus der Region</v>
      </c>
      <c r="S130" s="54" t="str">
        <f>_xlfn.TEXTJOIN(" ",TRUE,Migrationsartikel!K129)</f>
        <v>de la région</v>
      </c>
      <c r="T130" s="54" t="str">
        <f>_xlfn.TEXTJOIN(" ",TRUE,Migrationsartikel!O129)</f>
        <v>della regione</v>
      </c>
      <c r="U130" s="54" t="str">
        <f>_xlfn.TEXTJOIN(" ",TRUE,Migrationsartikel!H129)</f>
        <v>5l</v>
      </c>
      <c r="V130" s="54" t="str">
        <f>_xlfn.TEXTJOIN(" ",TRUE,Migrationsartikel!L129)</f>
        <v>5l</v>
      </c>
      <c r="W130" s="54" t="str">
        <f>_xlfn.TEXTJOIN(" ",TRUE,Migrationsartikel!P129)</f>
        <v>5l</v>
      </c>
      <c r="X130" s="54" t="str">
        <f>Migrationsartikel!I129</f>
        <v>Apfelsaft 5l</v>
      </c>
      <c r="Y130" s="54" t="str">
        <f>Migrationsartikel!M129</f>
        <v>Jus de pomme 5l</v>
      </c>
      <c r="Z130" s="54" t="str">
        <f>Migrationsartikel!Q129</f>
        <v>Succo mela 5l</v>
      </c>
      <c r="AA130" s="63">
        <f>Migrationsartikel!R129</f>
        <v>5</v>
      </c>
      <c r="AB130" s="54" t="str">
        <f>Migrationsartikel!T129</f>
        <v>Liter</v>
      </c>
      <c r="AC130" s="65">
        <f>Migrationsartikel!S129</f>
        <v>1</v>
      </c>
      <c r="AD130" s="54" t="str">
        <f>Migrationsartikel!U129</f>
        <v>(PCE) Stück</v>
      </c>
      <c r="AE130" s="55" t="s">
        <v>179</v>
      </c>
      <c r="AF130" s="67">
        <f>Migrationsartikel!AA129</f>
        <v>0</v>
      </c>
      <c r="AG130" s="55" t="s">
        <v>192</v>
      </c>
      <c r="AH130" s="54" t="str">
        <f>IF(Migrationsartikel!AB129="ja","true",FALSE)</f>
        <v>true</v>
      </c>
      <c r="AI130" s="54" t="str">
        <f>IF(Migrationsartikel!AC129="ja","true",FALSE)</f>
        <v>true</v>
      </c>
      <c r="AJ130" s="54" t="str">
        <f>IF(Migrationsartikel!AD129="ja","true",FALSE)</f>
        <v>true</v>
      </c>
      <c r="AK130" s="54" t="str">
        <f>IF(Migrationsartikel!AE129="ja","true",FALSE)</f>
        <v>true</v>
      </c>
      <c r="AL130" s="54" t="str">
        <f>IF(Migrationsartikel!AF129="ja","Denner Partner","")</f>
        <v/>
      </c>
      <c r="AM130" s="54" t="str">
        <f>IF(Migrationsartikel!AG129="ja","true","false")</f>
        <v>false</v>
      </c>
      <c r="AN130" s="54" t="str">
        <f t="shared" si="2"/>
        <v>Kassentastenbelegung (ohne GTIN/PLU)</v>
      </c>
      <c r="AO130" s="66" t="s">
        <v>219</v>
      </c>
      <c r="AP130" s="65" t="s">
        <v>1563</v>
      </c>
      <c r="AQ130" s="66" t="s">
        <v>217</v>
      </c>
      <c r="AR130" s="30" t="s">
        <v>219</v>
      </c>
    </row>
    <row r="131" spans="2:44" ht="21.75" customHeight="1" x14ac:dyDescent="0.45">
      <c r="B131" s="54" t="s">
        <v>99</v>
      </c>
      <c r="E131" s="55" t="s">
        <v>87</v>
      </c>
      <c r="F131" s="54" t="str">
        <f>"Warengruppe&gt;&gt;"&amp;_xlfn.TEXTJOIN("&gt;&gt;",TRUE,Migrationsartikel!V130:X130)</f>
        <v>Warengruppe&gt;&gt;Getränke&gt;&gt;Tafelgetränke&gt;&gt;Tafelgetränke</v>
      </c>
      <c r="H131" s="55" t="s">
        <v>109</v>
      </c>
      <c r="J131" s="79">
        <f>Migrationsartikel!B130</f>
        <v>0</v>
      </c>
      <c r="L131" s="54" t="str">
        <f>_xlfn.TEXTJOIN(" ",TRUE,Migrationsartikel!F130:H130)</f>
        <v>Apfelsaft aus der Region 3l</v>
      </c>
      <c r="M131" s="54" t="str">
        <f>_xlfn.TEXTJOIN(" ",TRUE,Migrationsartikel!J130:L130)</f>
        <v>Jus de pomme de la région 3l</v>
      </c>
      <c r="N131" s="54" t="str">
        <f>_xlfn.TEXTJOIN(" ",TRUE,Migrationsartikel!N130:P130)</f>
        <v>Succo di mela della regione 3l</v>
      </c>
      <c r="O131" s="54" t="str">
        <f>Migrationsartikel!F130</f>
        <v>Apfelsaft</v>
      </c>
      <c r="P131" s="54" t="str">
        <f>Migrationsartikel!J130</f>
        <v>Jus de pomme</v>
      </c>
      <c r="Q131" s="54" t="str">
        <f>Migrationsartikel!N130</f>
        <v>Succo di mela</v>
      </c>
      <c r="R131" s="54" t="str">
        <f>_xlfn.TEXTJOIN(" ",TRUE,Migrationsartikel!G130)</f>
        <v>aus der Region</v>
      </c>
      <c r="S131" s="54" t="str">
        <f>_xlfn.TEXTJOIN(" ",TRUE,Migrationsartikel!K130)</f>
        <v>de la région</v>
      </c>
      <c r="T131" s="54" t="str">
        <f>_xlfn.TEXTJOIN(" ",TRUE,Migrationsartikel!O130)</f>
        <v>della regione</v>
      </c>
      <c r="U131" s="54" t="str">
        <f>_xlfn.TEXTJOIN(" ",TRUE,Migrationsartikel!H130)</f>
        <v>3l</v>
      </c>
      <c r="V131" s="54" t="str">
        <f>_xlfn.TEXTJOIN(" ",TRUE,Migrationsartikel!L130)</f>
        <v>3l</v>
      </c>
      <c r="W131" s="54" t="str">
        <f>_xlfn.TEXTJOIN(" ",TRUE,Migrationsartikel!P130)</f>
        <v>3l</v>
      </c>
      <c r="X131" s="54" t="str">
        <f>Migrationsartikel!I130</f>
        <v>Apfelsaft 3l</v>
      </c>
      <c r="Y131" s="54" t="str">
        <f>Migrationsartikel!M130</f>
        <v>Jus de pomme 3l</v>
      </c>
      <c r="Z131" s="54" t="str">
        <f>Migrationsartikel!Q130</f>
        <v>Succo mela 3l</v>
      </c>
      <c r="AA131" s="63">
        <f>Migrationsartikel!R130</f>
        <v>3</v>
      </c>
      <c r="AB131" s="54" t="str">
        <f>Migrationsartikel!T130</f>
        <v>Liter</v>
      </c>
      <c r="AC131" s="65">
        <f>Migrationsartikel!S130</f>
        <v>1</v>
      </c>
      <c r="AD131" s="54" t="str">
        <f>Migrationsartikel!U130</f>
        <v>(PCE) Stück</v>
      </c>
      <c r="AE131" s="55" t="s">
        <v>179</v>
      </c>
      <c r="AF131" s="67">
        <f>Migrationsartikel!AA130</f>
        <v>0</v>
      </c>
      <c r="AG131" s="55" t="s">
        <v>192</v>
      </c>
      <c r="AH131" s="54" t="str">
        <f>IF(Migrationsartikel!AB130="ja","true",FALSE)</f>
        <v>true</v>
      </c>
      <c r="AI131" s="54" t="str">
        <f>IF(Migrationsartikel!AC130="ja","true",FALSE)</f>
        <v>true</v>
      </c>
      <c r="AJ131" s="54" t="str">
        <f>IF(Migrationsartikel!AD130="ja","true",FALSE)</f>
        <v>true</v>
      </c>
      <c r="AK131" s="54" t="str">
        <f>IF(Migrationsartikel!AE130="ja","true",FALSE)</f>
        <v>true</v>
      </c>
      <c r="AL131" s="54" t="str">
        <f>IF(Migrationsartikel!AF130="ja","Denner Partner","")</f>
        <v/>
      </c>
      <c r="AM131" s="54" t="str">
        <f>IF(Migrationsartikel!AG130="ja","true","false")</f>
        <v>false</v>
      </c>
      <c r="AN131" s="54" t="str">
        <f t="shared" si="2"/>
        <v>Kassentastenbelegung (ohne GTIN/PLU)</v>
      </c>
      <c r="AO131" s="66" t="s">
        <v>219</v>
      </c>
      <c r="AP131" s="65" t="s">
        <v>1564</v>
      </c>
      <c r="AQ131" s="66" t="s">
        <v>217</v>
      </c>
      <c r="AR131" s="30" t="s">
        <v>219</v>
      </c>
    </row>
    <row r="132" spans="2:44" ht="21.75" customHeight="1" x14ac:dyDescent="0.45">
      <c r="B132" s="54" t="s">
        <v>99</v>
      </c>
      <c r="E132" s="55" t="s">
        <v>87</v>
      </c>
      <c r="F132" s="54" t="str">
        <f>"Warengruppe&gt;&gt;"&amp;_xlfn.TEXTJOIN("&gt;&gt;",TRUE,Migrationsartikel!V131:X131)</f>
        <v>Warengruppe&gt;&gt;Getränke&gt;&gt;Bier&gt;&gt;Bier</v>
      </c>
      <c r="H132" s="55" t="s">
        <v>109</v>
      </c>
      <c r="J132" s="79">
        <f>Migrationsartikel!B131</f>
        <v>0</v>
      </c>
      <c r="L132" s="54" t="str">
        <f>_xlfn.TEXTJOIN(" ",TRUE,Migrationsartikel!F131:H131)</f>
        <v>Bier aus der Region 10x33cl</v>
      </c>
      <c r="M132" s="54" t="str">
        <f>_xlfn.TEXTJOIN(" ",TRUE,Migrationsartikel!J131:L131)</f>
        <v>Bière de la région 10x33cl</v>
      </c>
      <c r="N132" s="54" t="str">
        <f>_xlfn.TEXTJOIN(" ",TRUE,Migrationsartikel!N131:P131)</f>
        <v>Birra della regione 10x33cl</v>
      </c>
      <c r="O132" s="54" t="str">
        <f>Migrationsartikel!F131</f>
        <v>Bier</v>
      </c>
      <c r="P132" s="54" t="str">
        <f>Migrationsartikel!J131</f>
        <v>Bière</v>
      </c>
      <c r="Q132" s="54" t="str">
        <f>Migrationsartikel!N131</f>
        <v>Birra</v>
      </c>
      <c r="R132" s="54" t="str">
        <f>_xlfn.TEXTJOIN(" ",TRUE,Migrationsartikel!G131)</f>
        <v>aus der Region</v>
      </c>
      <c r="S132" s="54" t="str">
        <f>_xlfn.TEXTJOIN(" ",TRUE,Migrationsartikel!K131)</f>
        <v>de la région</v>
      </c>
      <c r="T132" s="54" t="str">
        <f>_xlfn.TEXTJOIN(" ",TRUE,Migrationsartikel!O131)</f>
        <v>della regione</v>
      </c>
      <c r="U132" s="54" t="str">
        <f>_xlfn.TEXTJOIN(" ",TRUE,Migrationsartikel!H131)</f>
        <v>10x33cl</v>
      </c>
      <c r="V132" s="54" t="str">
        <f>_xlfn.TEXTJOIN(" ",TRUE,Migrationsartikel!L131)</f>
        <v>10x33cl</v>
      </c>
      <c r="W132" s="54" t="str">
        <f>_xlfn.TEXTJOIN(" ",TRUE,Migrationsartikel!P131)</f>
        <v>10x33cl</v>
      </c>
      <c r="X132" s="54" t="str">
        <f>Migrationsartikel!I131</f>
        <v>Bier 10x33cl</v>
      </c>
      <c r="Y132" s="54" t="str">
        <f>Migrationsartikel!M131</f>
        <v>Bière 10x33cl</v>
      </c>
      <c r="Z132" s="54" t="str">
        <f>Migrationsartikel!Q131</f>
        <v>Birra 10x33cl</v>
      </c>
      <c r="AA132" s="63">
        <f>Migrationsartikel!R131</f>
        <v>0.33</v>
      </c>
      <c r="AB132" s="54" t="str">
        <f>Migrationsartikel!T131</f>
        <v>Centiliter</v>
      </c>
      <c r="AC132" s="65">
        <f>Migrationsartikel!S131</f>
        <v>10</v>
      </c>
      <c r="AD132" s="54" t="str">
        <f>Migrationsartikel!U131</f>
        <v>(PCE) Stück</v>
      </c>
      <c r="AE132" s="55" t="s">
        <v>179</v>
      </c>
      <c r="AF132" s="67">
        <f>Migrationsartikel!AA131</f>
        <v>0</v>
      </c>
      <c r="AG132" s="55" t="s">
        <v>192</v>
      </c>
      <c r="AH132" s="54" t="str">
        <f>IF(Migrationsartikel!AB131="ja","true",FALSE)</f>
        <v>true</v>
      </c>
      <c r="AI132" s="54" t="str">
        <f>IF(Migrationsartikel!AC131="ja","true",FALSE)</f>
        <v>true</v>
      </c>
      <c r="AJ132" s="54" t="str">
        <f>IF(Migrationsartikel!AD131="ja","true",FALSE)</f>
        <v>true</v>
      </c>
      <c r="AK132" s="54" t="str">
        <f>IF(Migrationsartikel!AE131="ja","true",FALSE)</f>
        <v>true</v>
      </c>
      <c r="AL132" s="54" t="str">
        <f>IF(Migrationsartikel!AF131="ja","Denner Partner","")</f>
        <v/>
      </c>
      <c r="AM132" s="54" t="str">
        <f>IF(Migrationsartikel!AG131="ja","true","false")</f>
        <v>false</v>
      </c>
      <c r="AN132" s="54" t="str">
        <f t="shared" ref="AN132:AN195" si="3">IF(AND(ISNUMBER(J132),J132&gt;=100,J132&lt;=999),"PLU",IF(AND(ISNUMBER(J132),J132&gt;999),"GTIN","Kassentastenbelegung (ohne GTIN/PLU)"))</f>
        <v>Kassentastenbelegung (ohne GTIN/PLU)</v>
      </c>
      <c r="AO132" s="66" t="s">
        <v>219</v>
      </c>
      <c r="AP132" s="65" t="s">
        <v>1565</v>
      </c>
      <c r="AQ132" s="66" t="s">
        <v>217</v>
      </c>
      <c r="AR132" s="30" t="s">
        <v>219</v>
      </c>
    </row>
    <row r="133" spans="2:44" ht="21.75" customHeight="1" x14ac:dyDescent="0.45">
      <c r="B133" s="54" t="s">
        <v>99</v>
      </c>
      <c r="E133" s="55" t="s">
        <v>87</v>
      </c>
      <c r="F133" s="54" t="str">
        <f>"Warengruppe&gt;&gt;"&amp;_xlfn.TEXTJOIN("&gt;&gt;",TRUE,Migrationsartikel!V132:X132)</f>
        <v>Warengruppe&gt;&gt;Getränke&gt;&gt;Bier&gt;&gt;Bier</v>
      </c>
      <c r="H133" s="55" t="s">
        <v>109</v>
      </c>
      <c r="J133" s="79">
        <f>Migrationsartikel!B132</f>
        <v>0</v>
      </c>
      <c r="L133" s="54" t="str">
        <f>_xlfn.TEXTJOIN(" ",TRUE,Migrationsartikel!F132:H132)</f>
        <v>Bier aus der Region 6x33cl</v>
      </c>
      <c r="M133" s="54" t="str">
        <f>_xlfn.TEXTJOIN(" ",TRUE,Migrationsartikel!J132:L132)</f>
        <v>Bière de la région 6x33cl</v>
      </c>
      <c r="N133" s="54" t="str">
        <f>_xlfn.TEXTJOIN(" ",TRUE,Migrationsartikel!N132:P132)</f>
        <v>Birra della regione 6x33cl</v>
      </c>
      <c r="O133" s="54" t="str">
        <f>Migrationsartikel!F132</f>
        <v>Bier</v>
      </c>
      <c r="P133" s="54" t="str">
        <f>Migrationsartikel!J132</f>
        <v>Bière</v>
      </c>
      <c r="Q133" s="54" t="str">
        <f>Migrationsartikel!N132</f>
        <v>Birra</v>
      </c>
      <c r="R133" s="54" t="str">
        <f>_xlfn.TEXTJOIN(" ",TRUE,Migrationsartikel!G132)</f>
        <v>aus der Region</v>
      </c>
      <c r="S133" s="54" t="str">
        <f>_xlfn.TEXTJOIN(" ",TRUE,Migrationsartikel!K132)</f>
        <v>de la région</v>
      </c>
      <c r="T133" s="54" t="str">
        <f>_xlfn.TEXTJOIN(" ",TRUE,Migrationsartikel!O132)</f>
        <v>della regione</v>
      </c>
      <c r="U133" s="54" t="str">
        <f>_xlfn.TEXTJOIN(" ",TRUE,Migrationsartikel!H132)</f>
        <v>6x33cl</v>
      </c>
      <c r="V133" s="54" t="str">
        <f>_xlfn.TEXTJOIN(" ",TRUE,Migrationsartikel!L132)</f>
        <v>6x33cl</v>
      </c>
      <c r="W133" s="54" t="str">
        <f>_xlfn.TEXTJOIN(" ",TRUE,Migrationsartikel!P132)</f>
        <v>6x33cl</v>
      </c>
      <c r="X133" s="54" t="str">
        <f>Migrationsartikel!I132</f>
        <v>Bier 6x33cl</v>
      </c>
      <c r="Y133" s="54" t="str">
        <f>Migrationsartikel!M132</f>
        <v>Bière 6x33cl</v>
      </c>
      <c r="Z133" s="54" t="str">
        <f>Migrationsartikel!Q132</f>
        <v>Birra 6x33cl</v>
      </c>
      <c r="AA133" s="63">
        <f>Migrationsartikel!R132</f>
        <v>0.33</v>
      </c>
      <c r="AB133" s="54" t="str">
        <f>Migrationsartikel!T132</f>
        <v>Centiliter</v>
      </c>
      <c r="AC133" s="65">
        <f>Migrationsartikel!S132</f>
        <v>10</v>
      </c>
      <c r="AD133" s="54" t="str">
        <f>Migrationsartikel!U132</f>
        <v>(PCE) Stück</v>
      </c>
      <c r="AE133" s="55" t="s">
        <v>179</v>
      </c>
      <c r="AF133" s="67">
        <f>Migrationsartikel!AA132</f>
        <v>0</v>
      </c>
      <c r="AG133" s="55" t="s">
        <v>192</v>
      </c>
      <c r="AH133" s="54" t="str">
        <f>IF(Migrationsartikel!AB132="ja","true",FALSE)</f>
        <v>true</v>
      </c>
      <c r="AI133" s="54" t="str">
        <f>IF(Migrationsartikel!AC132="ja","true",FALSE)</f>
        <v>true</v>
      </c>
      <c r="AJ133" s="54" t="str">
        <f>IF(Migrationsartikel!AD132="ja","true",FALSE)</f>
        <v>true</v>
      </c>
      <c r="AK133" s="54" t="str">
        <f>IF(Migrationsartikel!AE132="ja","true",FALSE)</f>
        <v>true</v>
      </c>
      <c r="AL133" s="54" t="str">
        <f>IF(Migrationsartikel!AF132="ja","Denner Partner","")</f>
        <v/>
      </c>
      <c r="AM133" s="54" t="str">
        <f>IF(Migrationsartikel!AG132="ja","true","false")</f>
        <v>false</v>
      </c>
      <c r="AN133" s="54" t="str">
        <f t="shared" si="3"/>
        <v>Kassentastenbelegung (ohne GTIN/PLU)</v>
      </c>
      <c r="AO133" s="66" t="s">
        <v>219</v>
      </c>
      <c r="AP133" s="65" t="s">
        <v>1566</v>
      </c>
      <c r="AQ133" s="66" t="s">
        <v>217</v>
      </c>
      <c r="AR133" s="30" t="s">
        <v>219</v>
      </c>
    </row>
    <row r="134" spans="2:44" ht="21.75" customHeight="1" x14ac:dyDescent="0.45">
      <c r="B134" s="54" t="s">
        <v>99</v>
      </c>
      <c r="E134" s="55" t="s">
        <v>87</v>
      </c>
      <c r="F134" s="54" t="str">
        <f>"Warengruppe&gt;&gt;"&amp;_xlfn.TEXTJOIN("&gt;&gt;",TRUE,Migrationsartikel!V133:X133)</f>
        <v>Warengruppe&gt;&gt;Getränke&gt;&gt;Bier&gt;&gt;Bier</v>
      </c>
      <c r="H134" s="55" t="s">
        <v>109</v>
      </c>
      <c r="J134" s="79">
        <f>Migrationsartikel!B133</f>
        <v>0</v>
      </c>
      <c r="L134" s="54" t="str">
        <f>_xlfn.TEXTJOIN(" ",TRUE,Migrationsartikel!F133:H133)</f>
        <v>Bier aus der Region 4x33cl</v>
      </c>
      <c r="M134" s="54" t="str">
        <f>_xlfn.TEXTJOIN(" ",TRUE,Migrationsartikel!J133:L133)</f>
        <v>Bière de la région 4x33cl</v>
      </c>
      <c r="N134" s="54" t="str">
        <f>_xlfn.TEXTJOIN(" ",TRUE,Migrationsartikel!N133:P133)</f>
        <v>Birra della regione 4x33cl</v>
      </c>
      <c r="O134" s="54" t="str">
        <f>Migrationsartikel!F133</f>
        <v>Bier</v>
      </c>
      <c r="P134" s="54" t="str">
        <f>Migrationsartikel!J133</f>
        <v>Bière</v>
      </c>
      <c r="Q134" s="54" t="str">
        <f>Migrationsartikel!N133</f>
        <v>Birra</v>
      </c>
      <c r="R134" s="54" t="str">
        <f>_xlfn.TEXTJOIN(" ",TRUE,Migrationsartikel!G133)</f>
        <v>aus der Region</v>
      </c>
      <c r="S134" s="54" t="str">
        <f>_xlfn.TEXTJOIN(" ",TRUE,Migrationsartikel!K133)</f>
        <v>de la région</v>
      </c>
      <c r="T134" s="54" t="str">
        <f>_xlfn.TEXTJOIN(" ",TRUE,Migrationsartikel!O133)</f>
        <v>della regione</v>
      </c>
      <c r="U134" s="54" t="str">
        <f>_xlfn.TEXTJOIN(" ",TRUE,Migrationsartikel!H133)</f>
        <v>4x33cl</v>
      </c>
      <c r="V134" s="54" t="str">
        <f>_xlfn.TEXTJOIN(" ",TRUE,Migrationsartikel!L133)</f>
        <v>4x33cl</v>
      </c>
      <c r="W134" s="54" t="str">
        <f>_xlfn.TEXTJOIN(" ",TRUE,Migrationsartikel!P133)</f>
        <v>4x33cl</v>
      </c>
      <c r="X134" s="54" t="str">
        <f>Migrationsartikel!I133</f>
        <v>Bier 4x33cl</v>
      </c>
      <c r="Y134" s="54" t="str">
        <f>Migrationsartikel!M133</f>
        <v>Bière 4x33cl</v>
      </c>
      <c r="Z134" s="54" t="str">
        <f>Migrationsartikel!Q133</f>
        <v>Birra 4x33cl</v>
      </c>
      <c r="AA134" s="63">
        <f>Migrationsartikel!R133</f>
        <v>0.33</v>
      </c>
      <c r="AB134" s="54" t="str">
        <f>Migrationsartikel!T133</f>
        <v>Centiliter</v>
      </c>
      <c r="AC134" s="65">
        <f>Migrationsartikel!S133</f>
        <v>10</v>
      </c>
      <c r="AD134" s="54" t="str">
        <f>Migrationsartikel!U133</f>
        <v>(PCE) Stück</v>
      </c>
      <c r="AE134" s="55" t="s">
        <v>179</v>
      </c>
      <c r="AF134" s="67">
        <f>Migrationsartikel!AA133</f>
        <v>0</v>
      </c>
      <c r="AG134" s="55" t="s">
        <v>192</v>
      </c>
      <c r="AH134" s="54" t="str">
        <f>IF(Migrationsartikel!AB133="ja","true",FALSE)</f>
        <v>true</v>
      </c>
      <c r="AI134" s="54" t="str">
        <f>IF(Migrationsartikel!AC133="ja","true",FALSE)</f>
        <v>true</v>
      </c>
      <c r="AJ134" s="54" t="str">
        <f>IF(Migrationsartikel!AD133="ja","true",FALSE)</f>
        <v>true</v>
      </c>
      <c r="AK134" s="54" t="str">
        <f>IF(Migrationsartikel!AE133="ja","true",FALSE)</f>
        <v>true</v>
      </c>
      <c r="AL134" s="54" t="str">
        <f>IF(Migrationsartikel!AF133="ja","Denner Partner","")</f>
        <v/>
      </c>
      <c r="AM134" s="54" t="str">
        <f>IF(Migrationsartikel!AG133="ja","true","false")</f>
        <v>false</v>
      </c>
      <c r="AN134" s="54" t="str">
        <f t="shared" si="3"/>
        <v>Kassentastenbelegung (ohne GTIN/PLU)</v>
      </c>
      <c r="AO134" s="66" t="s">
        <v>219</v>
      </c>
      <c r="AP134" s="65" t="s">
        <v>1567</v>
      </c>
      <c r="AQ134" s="66" t="s">
        <v>217</v>
      </c>
      <c r="AR134" s="30" t="s">
        <v>219</v>
      </c>
    </row>
    <row r="135" spans="2:44" ht="21.75" customHeight="1" x14ac:dyDescent="0.45">
      <c r="B135" s="54" t="s">
        <v>99</v>
      </c>
      <c r="E135" s="55" t="s">
        <v>87</v>
      </c>
      <c r="F135" s="54" t="str">
        <f>"Warengruppe&gt;&gt;"&amp;_xlfn.TEXTJOIN("&gt;&gt;",TRUE,Migrationsartikel!V134:X134)</f>
        <v>Warengruppe&gt;&gt;Getränke&gt;&gt;Bier&gt;&gt;Bier</v>
      </c>
      <c r="H135" s="55" t="s">
        <v>109</v>
      </c>
      <c r="J135" s="79">
        <f>Migrationsartikel!B134</f>
        <v>0</v>
      </c>
      <c r="L135" s="54" t="str">
        <f>_xlfn.TEXTJOIN(" ",TRUE,Migrationsartikel!F134:H134)</f>
        <v>Bier aus der Region 3x33cl</v>
      </c>
      <c r="M135" s="54" t="str">
        <f>_xlfn.TEXTJOIN(" ",TRUE,Migrationsartikel!J134:L134)</f>
        <v>Bière de la région 3x33cl</v>
      </c>
      <c r="N135" s="54" t="str">
        <f>_xlfn.TEXTJOIN(" ",TRUE,Migrationsartikel!N134:P134)</f>
        <v>Birra della regione 3x33cl</v>
      </c>
      <c r="O135" s="54" t="str">
        <f>Migrationsartikel!F134</f>
        <v>Bier</v>
      </c>
      <c r="P135" s="54" t="str">
        <f>Migrationsartikel!J134</f>
        <v>Bière</v>
      </c>
      <c r="Q135" s="54" t="str">
        <f>Migrationsartikel!N134</f>
        <v>Birra</v>
      </c>
      <c r="R135" s="54" t="str">
        <f>_xlfn.TEXTJOIN(" ",TRUE,Migrationsartikel!G134)</f>
        <v>aus der Region</v>
      </c>
      <c r="S135" s="54" t="str">
        <f>_xlfn.TEXTJOIN(" ",TRUE,Migrationsartikel!K134)</f>
        <v>de la région</v>
      </c>
      <c r="T135" s="54" t="str">
        <f>_xlfn.TEXTJOIN(" ",TRUE,Migrationsartikel!O134)</f>
        <v>della regione</v>
      </c>
      <c r="U135" s="54" t="str">
        <f>_xlfn.TEXTJOIN(" ",TRUE,Migrationsartikel!H134)</f>
        <v>3x33cl</v>
      </c>
      <c r="V135" s="54" t="str">
        <f>_xlfn.TEXTJOIN(" ",TRUE,Migrationsartikel!L134)</f>
        <v>3x33cl</v>
      </c>
      <c r="W135" s="54" t="str">
        <f>_xlfn.TEXTJOIN(" ",TRUE,Migrationsartikel!P134)</f>
        <v>3x33cl</v>
      </c>
      <c r="X135" s="54" t="str">
        <f>Migrationsartikel!I134</f>
        <v>Bier 3x33cl</v>
      </c>
      <c r="Y135" s="54" t="str">
        <f>Migrationsartikel!M134</f>
        <v>Bière 3x33cl</v>
      </c>
      <c r="Z135" s="54" t="str">
        <f>Migrationsartikel!Q134</f>
        <v>Birra 3x33cl</v>
      </c>
      <c r="AA135" s="63">
        <f>Migrationsartikel!R134</f>
        <v>0.33</v>
      </c>
      <c r="AB135" s="54" t="str">
        <f>Migrationsartikel!T134</f>
        <v>Centiliter</v>
      </c>
      <c r="AC135" s="65">
        <f>Migrationsartikel!S134</f>
        <v>10</v>
      </c>
      <c r="AD135" s="54" t="str">
        <f>Migrationsartikel!U134</f>
        <v>(PCE) Stück</v>
      </c>
      <c r="AE135" s="55" t="s">
        <v>179</v>
      </c>
      <c r="AF135" s="67">
        <f>Migrationsartikel!AA134</f>
        <v>0</v>
      </c>
      <c r="AG135" s="55" t="s">
        <v>192</v>
      </c>
      <c r="AH135" s="54" t="str">
        <f>IF(Migrationsartikel!AB134="ja","true",FALSE)</f>
        <v>true</v>
      </c>
      <c r="AI135" s="54" t="str">
        <f>IF(Migrationsartikel!AC134="ja","true",FALSE)</f>
        <v>true</v>
      </c>
      <c r="AJ135" s="54" t="str">
        <f>IF(Migrationsartikel!AD134="ja","true",FALSE)</f>
        <v>true</v>
      </c>
      <c r="AK135" s="54" t="str">
        <f>IF(Migrationsartikel!AE134="ja","true",FALSE)</f>
        <v>true</v>
      </c>
      <c r="AL135" s="54" t="str">
        <f>IF(Migrationsartikel!AF134="ja","Denner Partner","")</f>
        <v/>
      </c>
      <c r="AM135" s="54" t="str">
        <f>IF(Migrationsartikel!AG134="ja","true","false")</f>
        <v>false</v>
      </c>
      <c r="AN135" s="54" t="str">
        <f t="shared" si="3"/>
        <v>Kassentastenbelegung (ohne GTIN/PLU)</v>
      </c>
      <c r="AO135" s="66" t="s">
        <v>219</v>
      </c>
      <c r="AP135" s="65" t="s">
        <v>1568</v>
      </c>
      <c r="AQ135" s="66" t="s">
        <v>217</v>
      </c>
      <c r="AR135" s="30" t="s">
        <v>219</v>
      </c>
    </row>
    <row r="136" spans="2:44" ht="21.75" customHeight="1" x14ac:dyDescent="0.45">
      <c r="B136" s="54" t="s">
        <v>99</v>
      </c>
      <c r="E136" s="55" t="s">
        <v>87</v>
      </c>
      <c r="F136" s="54" t="str">
        <f>"Warengruppe&gt;&gt;"&amp;_xlfn.TEXTJOIN("&gt;&gt;",TRUE,Migrationsartikel!V135:X135)</f>
        <v>Warengruppe&gt;&gt;Getränke&gt;&gt;Bier&gt;&gt;Bier</v>
      </c>
      <c r="H136" s="55" t="s">
        <v>109</v>
      </c>
      <c r="J136" s="79">
        <f>Migrationsartikel!B135</f>
        <v>0</v>
      </c>
      <c r="L136" s="54" t="str">
        <f>_xlfn.TEXTJOIN(" ",TRUE,Migrationsartikel!F135:H135)</f>
        <v>Bier aus der Region 33cl</v>
      </c>
      <c r="M136" s="54" t="str">
        <f>_xlfn.TEXTJOIN(" ",TRUE,Migrationsartikel!J135:L135)</f>
        <v>Bière de la région 33cl</v>
      </c>
      <c r="N136" s="54" t="str">
        <f>_xlfn.TEXTJOIN(" ",TRUE,Migrationsartikel!N135:P135)</f>
        <v>Birra della regione 33cl</v>
      </c>
      <c r="O136" s="54" t="str">
        <f>Migrationsartikel!F135</f>
        <v>Bier</v>
      </c>
      <c r="P136" s="54" t="str">
        <f>Migrationsartikel!J135</f>
        <v>Bière</v>
      </c>
      <c r="Q136" s="54" t="str">
        <f>Migrationsartikel!N135</f>
        <v>Birra</v>
      </c>
      <c r="R136" s="54" t="str">
        <f>_xlfn.TEXTJOIN(" ",TRUE,Migrationsartikel!G135)</f>
        <v>aus der Region</v>
      </c>
      <c r="S136" s="54" t="str">
        <f>_xlfn.TEXTJOIN(" ",TRUE,Migrationsartikel!K135)</f>
        <v>de la région</v>
      </c>
      <c r="T136" s="54" t="str">
        <f>_xlfn.TEXTJOIN(" ",TRUE,Migrationsartikel!O135)</f>
        <v>della regione</v>
      </c>
      <c r="U136" s="54" t="str">
        <f>_xlfn.TEXTJOIN(" ",TRUE,Migrationsartikel!H135)</f>
        <v>33cl</v>
      </c>
      <c r="V136" s="54" t="str">
        <f>_xlfn.TEXTJOIN(" ",TRUE,Migrationsartikel!L135)</f>
        <v>33cl</v>
      </c>
      <c r="W136" s="54" t="str">
        <f>_xlfn.TEXTJOIN(" ",TRUE,Migrationsartikel!P135)</f>
        <v>33cl</v>
      </c>
      <c r="X136" s="54" t="str">
        <f>Migrationsartikel!I135</f>
        <v>Bier 33cl</v>
      </c>
      <c r="Y136" s="54" t="str">
        <f>Migrationsartikel!M135</f>
        <v>Bière 33cl</v>
      </c>
      <c r="Z136" s="54" t="str">
        <f>Migrationsartikel!Q135</f>
        <v>Birra 33cl</v>
      </c>
      <c r="AA136" s="63">
        <f>Migrationsartikel!R135</f>
        <v>0.33</v>
      </c>
      <c r="AB136" s="54" t="str">
        <f>Migrationsartikel!T135</f>
        <v>Centiliter</v>
      </c>
      <c r="AC136" s="65">
        <f>Migrationsartikel!S135</f>
        <v>10</v>
      </c>
      <c r="AD136" s="54" t="str">
        <f>Migrationsartikel!U135</f>
        <v>(PCE) Stück</v>
      </c>
      <c r="AE136" s="55" t="s">
        <v>179</v>
      </c>
      <c r="AF136" s="67">
        <f>Migrationsartikel!AA135</f>
        <v>0</v>
      </c>
      <c r="AG136" s="55" t="s">
        <v>192</v>
      </c>
      <c r="AH136" s="54" t="str">
        <f>IF(Migrationsartikel!AB135="ja","true",FALSE)</f>
        <v>true</v>
      </c>
      <c r="AI136" s="54" t="str">
        <f>IF(Migrationsartikel!AC135="ja","true",FALSE)</f>
        <v>true</v>
      </c>
      <c r="AJ136" s="54" t="str">
        <f>IF(Migrationsartikel!AD135="ja","true",FALSE)</f>
        <v>true</v>
      </c>
      <c r="AK136" s="54" t="str">
        <f>IF(Migrationsartikel!AE135="ja","true",FALSE)</f>
        <v>true</v>
      </c>
      <c r="AL136" s="54" t="str">
        <f>IF(Migrationsartikel!AF135="ja","Denner Partner","")</f>
        <v/>
      </c>
      <c r="AM136" s="54" t="str">
        <f>IF(Migrationsartikel!AG135="ja","true","false")</f>
        <v>false</v>
      </c>
      <c r="AN136" s="54" t="str">
        <f t="shared" si="3"/>
        <v>Kassentastenbelegung (ohne GTIN/PLU)</v>
      </c>
      <c r="AO136" s="66" t="s">
        <v>219</v>
      </c>
      <c r="AP136" s="65" t="s">
        <v>1569</v>
      </c>
      <c r="AQ136" s="66" t="s">
        <v>217</v>
      </c>
      <c r="AR136" s="30" t="s">
        <v>219</v>
      </c>
    </row>
    <row r="137" spans="2:44" ht="21.75" customHeight="1" x14ac:dyDescent="0.45">
      <c r="B137" s="54" t="s">
        <v>99</v>
      </c>
      <c r="E137" s="55" t="s">
        <v>87</v>
      </c>
      <c r="F137" s="54" t="str">
        <f>"Warengruppe&gt;&gt;"&amp;_xlfn.TEXTJOIN("&gt;&gt;",TRUE,Migrationsartikel!V136:X136)</f>
        <v>Warengruppe&gt;&gt;Getränke&gt;&gt;Bier&gt;&gt;Bier</v>
      </c>
      <c r="H137" s="55" t="s">
        <v>109</v>
      </c>
      <c r="J137" s="79">
        <f>Migrationsartikel!B136</f>
        <v>0</v>
      </c>
      <c r="L137" s="54" t="str">
        <f>_xlfn.TEXTJOIN(" ",TRUE,Migrationsartikel!F136:H136)</f>
        <v>Bier aus der Region 6x25cl</v>
      </c>
      <c r="M137" s="54" t="str">
        <f>_xlfn.TEXTJOIN(" ",TRUE,Migrationsartikel!J136:L136)</f>
        <v>Bière de la région 6x25cl</v>
      </c>
      <c r="N137" s="54" t="str">
        <f>_xlfn.TEXTJOIN(" ",TRUE,Migrationsartikel!N136:P136)</f>
        <v>Birra della regione 6x25cl</v>
      </c>
      <c r="O137" s="54" t="str">
        <f>Migrationsartikel!F136</f>
        <v>Bier</v>
      </c>
      <c r="P137" s="54" t="str">
        <f>Migrationsartikel!J136</f>
        <v>Bière</v>
      </c>
      <c r="Q137" s="54" t="str">
        <f>Migrationsartikel!N136</f>
        <v>Birra</v>
      </c>
      <c r="R137" s="54" t="str">
        <f>_xlfn.TEXTJOIN(" ",TRUE,Migrationsartikel!G136)</f>
        <v>aus der Region</v>
      </c>
      <c r="S137" s="54" t="str">
        <f>_xlfn.TEXTJOIN(" ",TRUE,Migrationsartikel!K136)</f>
        <v>de la région</v>
      </c>
      <c r="T137" s="54" t="str">
        <f>_xlfn.TEXTJOIN(" ",TRUE,Migrationsartikel!O136)</f>
        <v>della regione</v>
      </c>
      <c r="U137" s="54" t="str">
        <f>_xlfn.TEXTJOIN(" ",TRUE,Migrationsartikel!H136)</f>
        <v>6x25cl</v>
      </c>
      <c r="V137" s="54" t="str">
        <f>_xlfn.TEXTJOIN(" ",TRUE,Migrationsartikel!L136)</f>
        <v>6x25cl</v>
      </c>
      <c r="W137" s="54" t="str">
        <f>_xlfn.TEXTJOIN(" ",TRUE,Migrationsartikel!P136)</f>
        <v>6x25cl</v>
      </c>
      <c r="X137" s="54" t="str">
        <f>Migrationsartikel!I136</f>
        <v>Bier 6x25cl</v>
      </c>
      <c r="Y137" s="54" t="str">
        <f>Migrationsartikel!M136</f>
        <v>Bière 6x25cl</v>
      </c>
      <c r="Z137" s="54" t="str">
        <f>Migrationsartikel!Q136</f>
        <v>Birra 6x25cl</v>
      </c>
      <c r="AA137" s="63">
        <f>Migrationsartikel!R136</f>
        <v>0.25</v>
      </c>
      <c r="AB137" s="54" t="str">
        <f>Migrationsartikel!T136</f>
        <v>Centiliter</v>
      </c>
      <c r="AC137" s="65">
        <f>Migrationsartikel!S136</f>
        <v>10</v>
      </c>
      <c r="AD137" s="54" t="str">
        <f>Migrationsartikel!U136</f>
        <v>(PCE) Stück</v>
      </c>
      <c r="AE137" s="55" t="s">
        <v>179</v>
      </c>
      <c r="AF137" s="67">
        <f>Migrationsartikel!AA136</f>
        <v>0</v>
      </c>
      <c r="AG137" s="55" t="s">
        <v>192</v>
      </c>
      <c r="AH137" s="54" t="str">
        <f>IF(Migrationsartikel!AB136="ja","true",FALSE)</f>
        <v>true</v>
      </c>
      <c r="AI137" s="54" t="str">
        <f>IF(Migrationsartikel!AC136="ja","true",FALSE)</f>
        <v>true</v>
      </c>
      <c r="AJ137" s="54" t="str">
        <f>IF(Migrationsartikel!AD136="ja","true",FALSE)</f>
        <v>true</v>
      </c>
      <c r="AK137" s="54" t="str">
        <f>IF(Migrationsartikel!AE136="ja","true",FALSE)</f>
        <v>true</v>
      </c>
      <c r="AL137" s="54" t="str">
        <f>IF(Migrationsartikel!AF136="ja","Denner Partner","")</f>
        <v/>
      </c>
      <c r="AM137" s="54" t="str">
        <f>IF(Migrationsartikel!AG136="ja","true","false")</f>
        <v>false</v>
      </c>
      <c r="AN137" s="54" t="str">
        <f t="shared" si="3"/>
        <v>Kassentastenbelegung (ohne GTIN/PLU)</v>
      </c>
      <c r="AO137" s="66" t="s">
        <v>219</v>
      </c>
      <c r="AP137" s="65" t="s">
        <v>1570</v>
      </c>
      <c r="AQ137" s="66" t="s">
        <v>217</v>
      </c>
      <c r="AR137" s="30" t="s">
        <v>219</v>
      </c>
    </row>
    <row r="138" spans="2:44" ht="21.75" customHeight="1" x14ac:dyDescent="0.45">
      <c r="B138" s="54" t="s">
        <v>99</v>
      </c>
      <c r="E138" s="55" t="s">
        <v>87</v>
      </c>
      <c r="F138" s="54" t="str">
        <f>"Warengruppe&gt;&gt;"&amp;_xlfn.TEXTJOIN("&gt;&gt;",TRUE,Migrationsartikel!V137:X137)</f>
        <v>Warengruppe&gt;&gt;Getränke&gt;&gt;Bier&gt;&gt;Bier</v>
      </c>
      <c r="H138" s="55" t="s">
        <v>109</v>
      </c>
      <c r="J138" s="79">
        <f>Migrationsartikel!B137</f>
        <v>0</v>
      </c>
      <c r="L138" s="54" t="str">
        <f>_xlfn.TEXTJOIN(" ",TRUE,Migrationsartikel!F137:H137)</f>
        <v>Bier aus der Region 4x25cl</v>
      </c>
      <c r="M138" s="54" t="str">
        <f>_xlfn.TEXTJOIN(" ",TRUE,Migrationsartikel!J137:L137)</f>
        <v>Bière de la région 4x25cl</v>
      </c>
      <c r="N138" s="54" t="str">
        <f>_xlfn.TEXTJOIN(" ",TRUE,Migrationsartikel!N137:P137)</f>
        <v>Birra della regione 4x25cl</v>
      </c>
      <c r="O138" s="54" t="str">
        <f>Migrationsartikel!F137</f>
        <v>Bier</v>
      </c>
      <c r="P138" s="54" t="str">
        <f>Migrationsartikel!J137</f>
        <v>Bière</v>
      </c>
      <c r="Q138" s="54" t="str">
        <f>Migrationsartikel!N137</f>
        <v>Birra</v>
      </c>
      <c r="R138" s="54" t="str">
        <f>_xlfn.TEXTJOIN(" ",TRUE,Migrationsartikel!G137)</f>
        <v>aus der Region</v>
      </c>
      <c r="S138" s="54" t="str">
        <f>_xlfn.TEXTJOIN(" ",TRUE,Migrationsartikel!K137)</f>
        <v>de la région</v>
      </c>
      <c r="T138" s="54" t="str">
        <f>_xlfn.TEXTJOIN(" ",TRUE,Migrationsartikel!O137)</f>
        <v>della regione</v>
      </c>
      <c r="U138" s="54" t="str">
        <f>_xlfn.TEXTJOIN(" ",TRUE,Migrationsartikel!H137)</f>
        <v>4x25cl</v>
      </c>
      <c r="V138" s="54" t="str">
        <f>_xlfn.TEXTJOIN(" ",TRUE,Migrationsartikel!L137)</f>
        <v>4x25cl</v>
      </c>
      <c r="W138" s="54" t="str">
        <f>_xlfn.TEXTJOIN(" ",TRUE,Migrationsartikel!P137)</f>
        <v>4x25cl</v>
      </c>
      <c r="X138" s="54" t="str">
        <f>Migrationsartikel!I137</f>
        <v>Bier 4x25cl</v>
      </c>
      <c r="Y138" s="54" t="str">
        <f>Migrationsartikel!M137</f>
        <v>Bière 4x25cl</v>
      </c>
      <c r="Z138" s="54" t="str">
        <f>Migrationsartikel!Q137</f>
        <v>Birra 4x25cl</v>
      </c>
      <c r="AA138" s="63">
        <f>Migrationsartikel!R137</f>
        <v>0.25</v>
      </c>
      <c r="AB138" s="54" t="str">
        <f>Migrationsartikel!T137</f>
        <v>Centiliter</v>
      </c>
      <c r="AC138" s="65">
        <f>Migrationsartikel!S137</f>
        <v>10</v>
      </c>
      <c r="AD138" s="54" t="str">
        <f>Migrationsartikel!U137</f>
        <v>(PCE) Stück</v>
      </c>
      <c r="AE138" s="55" t="s">
        <v>179</v>
      </c>
      <c r="AF138" s="67">
        <f>Migrationsartikel!AA137</f>
        <v>0</v>
      </c>
      <c r="AG138" s="55" t="s">
        <v>192</v>
      </c>
      <c r="AH138" s="54" t="str">
        <f>IF(Migrationsartikel!AB137="ja","true",FALSE)</f>
        <v>true</v>
      </c>
      <c r="AI138" s="54" t="str">
        <f>IF(Migrationsartikel!AC137="ja","true",FALSE)</f>
        <v>true</v>
      </c>
      <c r="AJ138" s="54" t="str">
        <f>IF(Migrationsartikel!AD137="ja","true",FALSE)</f>
        <v>true</v>
      </c>
      <c r="AK138" s="54" t="str">
        <f>IF(Migrationsartikel!AE137="ja","true",FALSE)</f>
        <v>true</v>
      </c>
      <c r="AL138" s="54" t="str">
        <f>IF(Migrationsartikel!AF137="ja","Denner Partner","")</f>
        <v/>
      </c>
      <c r="AM138" s="54" t="str">
        <f>IF(Migrationsartikel!AG137="ja","true","false")</f>
        <v>false</v>
      </c>
      <c r="AN138" s="54" t="str">
        <f t="shared" si="3"/>
        <v>Kassentastenbelegung (ohne GTIN/PLU)</v>
      </c>
      <c r="AO138" s="66" t="s">
        <v>219</v>
      </c>
      <c r="AP138" s="65" t="s">
        <v>1571</v>
      </c>
      <c r="AQ138" s="66" t="s">
        <v>217</v>
      </c>
      <c r="AR138" s="30" t="s">
        <v>219</v>
      </c>
    </row>
    <row r="139" spans="2:44" ht="21.75" customHeight="1" x14ac:dyDescent="0.45">
      <c r="B139" s="54" t="s">
        <v>99</v>
      </c>
      <c r="E139" s="55" t="s">
        <v>87</v>
      </c>
      <c r="F139" s="54" t="str">
        <f>"Warengruppe&gt;&gt;"&amp;_xlfn.TEXTJOIN("&gt;&gt;",TRUE,Migrationsartikel!V138:X138)</f>
        <v>Warengruppe&gt;&gt;Getränke&gt;&gt;Bier&gt;&gt;Bier</v>
      </c>
      <c r="H139" s="55" t="s">
        <v>109</v>
      </c>
      <c r="J139" s="79">
        <f>Migrationsartikel!B138</f>
        <v>0</v>
      </c>
      <c r="L139" s="54" t="str">
        <f>_xlfn.TEXTJOIN(" ",TRUE,Migrationsartikel!F138:H138)</f>
        <v>Bier aus der Region 25cl</v>
      </c>
      <c r="M139" s="54" t="str">
        <f>_xlfn.TEXTJOIN(" ",TRUE,Migrationsartikel!J138:L138)</f>
        <v>Bière de la région 25cl</v>
      </c>
      <c r="N139" s="54" t="str">
        <f>_xlfn.TEXTJOIN(" ",TRUE,Migrationsartikel!N138:P138)</f>
        <v>Birra della regione 25cl</v>
      </c>
      <c r="O139" s="54" t="str">
        <f>Migrationsartikel!F138</f>
        <v>Bier</v>
      </c>
      <c r="P139" s="54" t="str">
        <f>Migrationsartikel!J138</f>
        <v>Bière</v>
      </c>
      <c r="Q139" s="54" t="str">
        <f>Migrationsartikel!N138</f>
        <v>Birra</v>
      </c>
      <c r="R139" s="54" t="str">
        <f>_xlfn.TEXTJOIN(" ",TRUE,Migrationsartikel!G138)</f>
        <v>aus der Region</v>
      </c>
      <c r="S139" s="54" t="str">
        <f>_xlfn.TEXTJOIN(" ",TRUE,Migrationsartikel!K138)</f>
        <v>de la région</v>
      </c>
      <c r="T139" s="54" t="str">
        <f>_xlfn.TEXTJOIN(" ",TRUE,Migrationsartikel!O138)</f>
        <v>della regione</v>
      </c>
      <c r="U139" s="54" t="str">
        <f>_xlfn.TEXTJOIN(" ",TRUE,Migrationsartikel!H138)</f>
        <v>25cl</v>
      </c>
      <c r="V139" s="54" t="str">
        <f>_xlfn.TEXTJOIN(" ",TRUE,Migrationsartikel!L138)</f>
        <v>25cl</v>
      </c>
      <c r="W139" s="54" t="str">
        <f>_xlfn.TEXTJOIN(" ",TRUE,Migrationsartikel!P138)</f>
        <v>25cl</v>
      </c>
      <c r="X139" s="54" t="str">
        <f>Migrationsartikel!I138</f>
        <v>Bier 25cl</v>
      </c>
      <c r="Y139" s="54" t="str">
        <f>Migrationsartikel!M138</f>
        <v>Bière 25cl</v>
      </c>
      <c r="Z139" s="54" t="str">
        <f>Migrationsartikel!Q138</f>
        <v>Birra 25cl</v>
      </c>
      <c r="AA139" s="63">
        <f>Migrationsartikel!R138</f>
        <v>0.25</v>
      </c>
      <c r="AB139" s="54" t="str">
        <f>Migrationsartikel!T138</f>
        <v>Centiliter</v>
      </c>
      <c r="AC139" s="65">
        <f>Migrationsartikel!S138</f>
        <v>10</v>
      </c>
      <c r="AD139" s="54" t="str">
        <f>Migrationsartikel!U138</f>
        <v>(PCE) Stück</v>
      </c>
      <c r="AE139" s="55" t="s">
        <v>179</v>
      </c>
      <c r="AF139" s="67">
        <f>Migrationsartikel!AA138</f>
        <v>0</v>
      </c>
      <c r="AG139" s="55" t="s">
        <v>192</v>
      </c>
      <c r="AH139" s="54" t="str">
        <f>IF(Migrationsartikel!AB138="ja","true",FALSE)</f>
        <v>true</v>
      </c>
      <c r="AI139" s="54" t="str">
        <f>IF(Migrationsartikel!AC138="ja","true",FALSE)</f>
        <v>true</v>
      </c>
      <c r="AJ139" s="54" t="str">
        <f>IF(Migrationsartikel!AD138="ja","true",FALSE)</f>
        <v>true</v>
      </c>
      <c r="AK139" s="54" t="str">
        <f>IF(Migrationsartikel!AE138="ja","true",FALSE)</f>
        <v>true</v>
      </c>
      <c r="AL139" s="54" t="str">
        <f>IF(Migrationsartikel!AF138="ja","Denner Partner","")</f>
        <v/>
      </c>
      <c r="AM139" s="54" t="str">
        <f>IF(Migrationsartikel!AG138="ja","true","false")</f>
        <v>false</v>
      </c>
      <c r="AN139" s="54" t="str">
        <f t="shared" si="3"/>
        <v>Kassentastenbelegung (ohne GTIN/PLU)</v>
      </c>
      <c r="AO139" s="66" t="s">
        <v>219</v>
      </c>
      <c r="AP139" s="65" t="s">
        <v>1572</v>
      </c>
      <c r="AQ139" s="66" t="s">
        <v>217</v>
      </c>
      <c r="AR139" s="30" t="s">
        <v>219</v>
      </c>
    </row>
    <row r="140" spans="2:44" ht="21.75" customHeight="1" x14ac:dyDescent="0.45">
      <c r="B140" s="54" t="s">
        <v>99</v>
      </c>
      <c r="E140" s="55" t="s">
        <v>87</v>
      </c>
      <c r="F140" s="54" t="str">
        <f>"Warengruppe&gt;&gt;"&amp;_xlfn.TEXTJOIN("&gt;&gt;",TRUE,Migrationsartikel!V139:X139)</f>
        <v>Warengruppe&gt;&gt;Getränke&gt;&gt;Bier&gt;&gt;Bier</v>
      </c>
      <c r="H140" s="55" t="s">
        <v>109</v>
      </c>
      <c r="J140" s="79">
        <f>Migrationsartikel!B139</f>
        <v>0</v>
      </c>
      <c r="L140" s="54" t="str">
        <f>_xlfn.TEXTJOIN(" ",TRUE,Migrationsartikel!F139:H139)</f>
        <v>Bier aus der Region 6x50cl</v>
      </c>
      <c r="M140" s="54" t="str">
        <f>_xlfn.TEXTJOIN(" ",TRUE,Migrationsartikel!J139:L139)</f>
        <v>Bière de la région 6x50cl</v>
      </c>
      <c r="N140" s="54" t="str">
        <f>_xlfn.TEXTJOIN(" ",TRUE,Migrationsartikel!N139:P139)</f>
        <v>Birra della regione 6x50cl</v>
      </c>
      <c r="O140" s="54" t="str">
        <f>Migrationsartikel!F139</f>
        <v>Bier</v>
      </c>
      <c r="P140" s="54" t="str">
        <f>Migrationsartikel!J139</f>
        <v>Bière</v>
      </c>
      <c r="Q140" s="54" t="str">
        <f>Migrationsartikel!N139</f>
        <v>Birra</v>
      </c>
      <c r="R140" s="54" t="str">
        <f>_xlfn.TEXTJOIN(" ",TRUE,Migrationsartikel!G139)</f>
        <v>aus der Region</v>
      </c>
      <c r="S140" s="54" t="str">
        <f>_xlfn.TEXTJOIN(" ",TRUE,Migrationsartikel!K139)</f>
        <v>de la région</v>
      </c>
      <c r="T140" s="54" t="str">
        <f>_xlfn.TEXTJOIN(" ",TRUE,Migrationsartikel!O139)</f>
        <v>della regione</v>
      </c>
      <c r="U140" s="54" t="str">
        <f>_xlfn.TEXTJOIN(" ",TRUE,Migrationsartikel!H139)</f>
        <v>6x50cl</v>
      </c>
      <c r="V140" s="54" t="str">
        <f>_xlfn.TEXTJOIN(" ",TRUE,Migrationsartikel!L139)</f>
        <v>6x50cl</v>
      </c>
      <c r="W140" s="54" t="str">
        <f>_xlfn.TEXTJOIN(" ",TRUE,Migrationsartikel!P139)</f>
        <v>6x50cl</v>
      </c>
      <c r="X140" s="54" t="str">
        <f>Migrationsartikel!I139</f>
        <v>Bier 6x50cl</v>
      </c>
      <c r="Y140" s="54" t="str">
        <f>Migrationsartikel!M139</f>
        <v>Bière 6x50cl</v>
      </c>
      <c r="Z140" s="54" t="str">
        <f>Migrationsartikel!Q139</f>
        <v>Birra 6x50cl</v>
      </c>
      <c r="AA140" s="63">
        <f>Migrationsartikel!R139</f>
        <v>0.5</v>
      </c>
      <c r="AB140" s="54" t="str">
        <f>Migrationsartikel!T139</f>
        <v>Centiliter</v>
      </c>
      <c r="AC140" s="65">
        <f>Migrationsartikel!S139</f>
        <v>10</v>
      </c>
      <c r="AD140" s="54" t="str">
        <f>Migrationsartikel!U139</f>
        <v>(PCE) Stück</v>
      </c>
      <c r="AE140" s="55" t="s">
        <v>179</v>
      </c>
      <c r="AF140" s="67">
        <f>Migrationsartikel!AA139</f>
        <v>0</v>
      </c>
      <c r="AG140" s="55" t="s">
        <v>192</v>
      </c>
      <c r="AH140" s="54" t="str">
        <f>IF(Migrationsartikel!AB139="ja","true",FALSE)</f>
        <v>true</v>
      </c>
      <c r="AI140" s="54" t="str">
        <f>IF(Migrationsartikel!AC139="ja","true",FALSE)</f>
        <v>true</v>
      </c>
      <c r="AJ140" s="54" t="str">
        <f>IF(Migrationsartikel!AD139="ja","true",FALSE)</f>
        <v>true</v>
      </c>
      <c r="AK140" s="54" t="str">
        <f>IF(Migrationsartikel!AE139="ja","true",FALSE)</f>
        <v>true</v>
      </c>
      <c r="AL140" s="54" t="str">
        <f>IF(Migrationsartikel!AF139="ja","Denner Partner","")</f>
        <v/>
      </c>
      <c r="AM140" s="54" t="str">
        <f>IF(Migrationsartikel!AG139="ja","true","false")</f>
        <v>false</v>
      </c>
      <c r="AN140" s="54" t="str">
        <f t="shared" si="3"/>
        <v>Kassentastenbelegung (ohne GTIN/PLU)</v>
      </c>
      <c r="AO140" s="66" t="s">
        <v>219</v>
      </c>
      <c r="AP140" s="65" t="s">
        <v>1573</v>
      </c>
      <c r="AQ140" s="66" t="s">
        <v>217</v>
      </c>
      <c r="AR140" s="30" t="s">
        <v>219</v>
      </c>
    </row>
    <row r="141" spans="2:44" ht="21.75" customHeight="1" x14ac:dyDescent="0.45">
      <c r="B141" s="54" t="s">
        <v>99</v>
      </c>
      <c r="E141" s="55" t="s">
        <v>87</v>
      </c>
      <c r="F141" s="54" t="str">
        <f>"Warengruppe&gt;&gt;"&amp;_xlfn.TEXTJOIN("&gt;&gt;",TRUE,Migrationsartikel!V140:X140)</f>
        <v>Warengruppe&gt;&gt;Getränke&gt;&gt;Bier&gt;&gt;Bier</v>
      </c>
      <c r="H141" s="55" t="s">
        <v>109</v>
      </c>
      <c r="J141" s="79">
        <f>Migrationsartikel!B140</f>
        <v>0</v>
      </c>
      <c r="L141" s="54" t="str">
        <f>_xlfn.TEXTJOIN(" ",TRUE,Migrationsartikel!F140:H140)</f>
        <v>Bier aus der Region 4x50cl</v>
      </c>
      <c r="M141" s="54" t="str">
        <f>_xlfn.TEXTJOIN(" ",TRUE,Migrationsartikel!J140:L140)</f>
        <v>Bière de la région 4x50cl</v>
      </c>
      <c r="N141" s="54" t="str">
        <f>_xlfn.TEXTJOIN(" ",TRUE,Migrationsartikel!N140:P140)</f>
        <v>Birra della regione 4x50cl</v>
      </c>
      <c r="O141" s="54" t="str">
        <f>Migrationsartikel!F140</f>
        <v>Bier</v>
      </c>
      <c r="P141" s="54" t="str">
        <f>Migrationsartikel!J140</f>
        <v>Bière</v>
      </c>
      <c r="Q141" s="54" t="str">
        <f>Migrationsartikel!N140</f>
        <v>Birra</v>
      </c>
      <c r="R141" s="54" t="str">
        <f>_xlfn.TEXTJOIN(" ",TRUE,Migrationsartikel!G140)</f>
        <v>aus der Region</v>
      </c>
      <c r="S141" s="54" t="str">
        <f>_xlfn.TEXTJOIN(" ",TRUE,Migrationsartikel!K140)</f>
        <v>de la région</v>
      </c>
      <c r="T141" s="54" t="str">
        <f>_xlfn.TEXTJOIN(" ",TRUE,Migrationsartikel!O140)</f>
        <v>della regione</v>
      </c>
      <c r="U141" s="54" t="str">
        <f>_xlfn.TEXTJOIN(" ",TRUE,Migrationsartikel!H140)</f>
        <v>4x50cl</v>
      </c>
      <c r="V141" s="54" t="str">
        <f>_xlfn.TEXTJOIN(" ",TRUE,Migrationsartikel!L140)</f>
        <v>4x50cl</v>
      </c>
      <c r="W141" s="54" t="str">
        <f>_xlfn.TEXTJOIN(" ",TRUE,Migrationsartikel!P140)</f>
        <v>4x50cl</v>
      </c>
      <c r="X141" s="54" t="str">
        <f>Migrationsartikel!I140</f>
        <v>Bier 4x50cl</v>
      </c>
      <c r="Y141" s="54" t="str">
        <f>Migrationsartikel!M140</f>
        <v>Bière 4x50cl</v>
      </c>
      <c r="Z141" s="54" t="str">
        <f>Migrationsartikel!Q140</f>
        <v>Birra 4x50cl</v>
      </c>
      <c r="AA141" s="63">
        <f>Migrationsartikel!R140</f>
        <v>0.5</v>
      </c>
      <c r="AB141" s="54" t="str">
        <f>Migrationsartikel!T140</f>
        <v>Centiliter</v>
      </c>
      <c r="AC141" s="65">
        <f>Migrationsartikel!S140</f>
        <v>10</v>
      </c>
      <c r="AD141" s="54" t="str">
        <f>Migrationsartikel!U140</f>
        <v>(PCE) Stück</v>
      </c>
      <c r="AE141" s="55" t="s">
        <v>179</v>
      </c>
      <c r="AF141" s="67">
        <f>Migrationsartikel!AA140</f>
        <v>0</v>
      </c>
      <c r="AG141" s="55" t="s">
        <v>192</v>
      </c>
      <c r="AH141" s="54" t="str">
        <f>IF(Migrationsartikel!AB140="ja","true",FALSE)</f>
        <v>true</v>
      </c>
      <c r="AI141" s="54" t="str">
        <f>IF(Migrationsartikel!AC140="ja","true",FALSE)</f>
        <v>true</v>
      </c>
      <c r="AJ141" s="54" t="str">
        <f>IF(Migrationsartikel!AD140="ja","true",FALSE)</f>
        <v>true</v>
      </c>
      <c r="AK141" s="54" t="str">
        <f>IF(Migrationsartikel!AE140="ja","true",FALSE)</f>
        <v>true</v>
      </c>
      <c r="AL141" s="54" t="str">
        <f>IF(Migrationsartikel!AF140="ja","Denner Partner","")</f>
        <v/>
      </c>
      <c r="AM141" s="54" t="str">
        <f>IF(Migrationsartikel!AG140="ja","true","false")</f>
        <v>false</v>
      </c>
      <c r="AN141" s="54" t="str">
        <f t="shared" si="3"/>
        <v>Kassentastenbelegung (ohne GTIN/PLU)</v>
      </c>
      <c r="AO141" s="66" t="s">
        <v>219</v>
      </c>
      <c r="AP141" s="65" t="s">
        <v>1574</v>
      </c>
      <c r="AQ141" s="66" t="s">
        <v>217</v>
      </c>
      <c r="AR141" s="30" t="s">
        <v>219</v>
      </c>
    </row>
    <row r="142" spans="2:44" ht="21.75" customHeight="1" x14ac:dyDescent="0.45">
      <c r="B142" s="54" t="s">
        <v>99</v>
      </c>
      <c r="E142" s="55" t="s">
        <v>87</v>
      </c>
      <c r="F142" s="54" t="str">
        <f>"Warengruppe&gt;&gt;"&amp;_xlfn.TEXTJOIN("&gt;&gt;",TRUE,Migrationsartikel!V141:X141)</f>
        <v>Warengruppe&gt;&gt;Getränke&gt;&gt;Bier&gt;&gt;Bier</v>
      </c>
      <c r="H142" s="55" t="s">
        <v>109</v>
      </c>
      <c r="J142" s="79">
        <f>Migrationsartikel!B141</f>
        <v>0</v>
      </c>
      <c r="L142" s="54" t="str">
        <f>_xlfn.TEXTJOIN(" ",TRUE,Migrationsartikel!F141:H141)</f>
        <v>Bier aus der Region 50cl</v>
      </c>
      <c r="M142" s="54" t="str">
        <f>_xlfn.TEXTJOIN(" ",TRUE,Migrationsartikel!J141:L141)</f>
        <v>Bière de la région 50cl</v>
      </c>
      <c r="N142" s="54" t="str">
        <f>_xlfn.TEXTJOIN(" ",TRUE,Migrationsartikel!N141:P141)</f>
        <v>Birra della regione 50cl</v>
      </c>
      <c r="O142" s="54" t="str">
        <f>Migrationsartikel!F141</f>
        <v>Bier</v>
      </c>
      <c r="P142" s="54" t="str">
        <f>Migrationsartikel!J141</f>
        <v>Bière</v>
      </c>
      <c r="Q142" s="54" t="str">
        <f>Migrationsartikel!N141</f>
        <v>Birra</v>
      </c>
      <c r="R142" s="54" t="str">
        <f>_xlfn.TEXTJOIN(" ",TRUE,Migrationsartikel!G141)</f>
        <v>aus der Region</v>
      </c>
      <c r="S142" s="54" t="str">
        <f>_xlfn.TEXTJOIN(" ",TRUE,Migrationsartikel!K141)</f>
        <v>de la région</v>
      </c>
      <c r="T142" s="54" t="str">
        <f>_xlfn.TEXTJOIN(" ",TRUE,Migrationsartikel!O141)</f>
        <v>della regione</v>
      </c>
      <c r="U142" s="54" t="str">
        <f>_xlfn.TEXTJOIN(" ",TRUE,Migrationsartikel!H141)</f>
        <v>50cl</v>
      </c>
      <c r="V142" s="54" t="str">
        <f>_xlfn.TEXTJOIN(" ",TRUE,Migrationsartikel!L141)</f>
        <v>50cl</v>
      </c>
      <c r="W142" s="54" t="str">
        <f>_xlfn.TEXTJOIN(" ",TRUE,Migrationsartikel!P141)</f>
        <v>50cl</v>
      </c>
      <c r="X142" s="54" t="str">
        <f>Migrationsartikel!I141</f>
        <v>Bier 50cl</v>
      </c>
      <c r="Y142" s="54" t="str">
        <f>Migrationsartikel!M141</f>
        <v>Bière 50cl</v>
      </c>
      <c r="Z142" s="54" t="str">
        <f>Migrationsartikel!Q141</f>
        <v>Birra 50cl</v>
      </c>
      <c r="AA142" s="63">
        <f>Migrationsartikel!R141</f>
        <v>0.5</v>
      </c>
      <c r="AB142" s="54" t="str">
        <f>Migrationsartikel!T141</f>
        <v>Centiliter</v>
      </c>
      <c r="AC142" s="65">
        <f>Migrationsartikel!S141</f>
        <v>10</v>
      </c>
      <c r="AD142" s="54" t="str">
        <f>Migrationsartikel!U141</f>
        <v>(PCE) Stück</v>
      </c>
      <c r="AE142" s="55" t="s">
        <v>179</v>
      </c>
      <c r="AF142" s="67">
        <f>Migrationsartikel!AA141</f>
        <v>0</v>
      </c>
      <c r="AG142" s="55" t="s">
        <v>192</v>
      </c>
      <c r="AH142" s="54" t="str">
        <f>IF(Migrationsartikel!AB141="ja","true",FALSE)</f>
        <v>true</v>
      </c>
      <c r="AI142" s="54" t="str">
        <f>IF(Migrationsartikel!AC141="ja","true",FALSE)</f>
        <v>true</v>
      </c>
      <c r="AJ142" s="54" t="str">
        <f>IF(Migrationsartikel!AD141="ja","true",FALSE)</f>
        <v>true</v>
      </c>
      <c r="AK142" s="54" t="str">
        <f>IF(Migrationsartikel!AE141="ja","true",FALSE)</f>
        <v>true</v>
      </c>
      <c r="AL142" s="54" t="str">
        <f>IF(Migrationsartikel!AF141="ja","Denner Partner","")</f>
        <v/>
      </c>
      <c r="AM142" s="54" t="str">
        <f>IF(Migrationsartikel!AG141="ja","true","false")</f>
        <v>false</v>
      </c>
      <c r="AN142" s="54" t="str">
        <f t="shared" si="3"/>
        <v>Kassentastenbelegung (ohne GTIN/PLU)</v>
      </c>
      <c r="AO142" s="66" t="s">
        <v>219</v>
      </c>
      <c r="AP142" s="65" t="s">
        <v>1575</v>
      </c>
      <c r="AQ142" s="66" t="s">
        <v>217</v>
      </c>
      <c r="AR142" s="30" t="s">
        <v>219</v>
      </c>
    </row>
    <row r="143" spans="2:44" ht="21.75" customHeight="1" x14ac:dyDescent="0.45">
      <c r="B143" s="54" t="s">
        <v>99</v>
      </c>
      <c r="E143" s="55" t="s">
        <v>87</v>
      </c>
      <c r="F143" s="54" t="str">
        <f>"Warengruppe&gt;&gt;"&amp;_xlfn.TEXTJOIN("&gt;&gt;",TRUE,Migrationsartikel!V142:X142)</f>
        <v>Warengruppe&gt;&gt;Getränke&gt;&gt;Bier&gt;&gt;Bier</v>
      </c>
      <c r="H143" s="55" t="s">
        <v>109</v>
      </c>
      <c r="J143" s="79">
        <f>Migrationsartikel!B142</f>
        <v>0</v>
      </c>
      <c r="L143" s="54" t="str">
        <f>_xlfn.TEXTJOIN(" ",TRUE,Migrationsartikel!F142:H142)</f>
        <v>Bier aus der Region 75cl</v>
      </c>
      <c r="M143" s="54" t="str">
        <f>_xlfn.TEXTJOIN(" ",TRUE,Migrationsartikel!J142:L142)</f>
        <v>Bière de la région 75cl</v>
      </c>
      <c r="N143" s="54" t="str">
        <f>_xlfn.TEXTJOIN(" ",TRUE,Migrationsartikel!N142:P142)</f>
        <v>Birra della regione 75cl</v>
      </c>
      <c r="O143" s="54" t="str">
        <f>Migrationsartikel!F142</f>
        <v>Bier</v>
      </c>
      <c r="P143" s="54" t="str">
        <f>Migrationsartikel!J142</f>
        <v>Bière</v>
      </c>
      <c r="Q143" s="54" t="str">
        <f>Migrationsartikel!N142</f>
        <v>Birra</v>
      </c>
      <c r="R143" s="54" t="str">
        <f>_xlfn.TEXTJOIN(" ",TRUE,Migrationsartikel!G142)</f>
        <v>aus der Region</v>
      </c>
      <c r="S143" s="54" t="str">
        <f>_xlfn.TEXTJOIN(" ",TRUE,Migrationsartikel!K142)</f>
        <v>de la région</v>
      </c>
      <c r="T143" s="54" t="str">
        <f>_xlfn.TEXTJOIN(" ",TRUE,Migrationsartikel!O142)</f>
        <v>della regione</v>
      </c>
      <c r="U143" s="54" t="str">
        <f>_xlfn.TEXTJOIN(" ",TRUE,Migrationsartikel!H142)</f>
        <v>75cl</v>
      </c>
      <c r="V143" s="54" t="str">
        <f>_xlfn.TEXTJOIN(" ",TRUE,Migrationsartikel!L142)</f>
        <v>75cl</v>
      </c>
      <c r="W143" s="54" t="str">
        <f>_xlfn.TEXTJOIN(" ",TRUE,Migrationsartikel!P142)</f>
        <v>75cl</v>
      </c>
      <c r="X143" s="54" t="str">
        <f>Migrationsartikel!I142</f>
        <v>Bier 75cl</v>
      </c>
      <c r="Y143" s="54" t="str">
        <f>Migrationsartikel!M142</f>
        <v>Bière 75cl</v>
      </c>
      <c r="Z143" s="54" t="str">
        <f>Migrationsartikel!Q142</f>
        <v>Birra 75cl</v>
      </c>
      <c r="AA143" s="63">
        <f>Migrationsartikel!R142</f>
        <v>0.75</v>
      </c>
      <c r="AB143" s="54" t="str">
        <f>Migrationsartikel!T142</f>
        <v>Centiliter</v>
      </c>
      <c r="AC143" s="65">
        <f>Migrationsartikel!S142</f>
        <v>10</v>
      </c>
      <c r="AD143" s="54" t="str">
        <f>Migrationsartikel!U142</f>
        <v>(PCE) Stück</v>
      </c>
      <c r="AE143" s="55" t="s">
        <v>179</v>
      </c>
      <c r="AF143" s="67">
        <f>Migrationsartikel!AA142</f>
        <v>0</v>
      </c>
      <c r="AG143" s="55" t="s">
        <v>192</v>
      </c>
      <c r="AH143" s="54" t="str">
        <f>IF(Migrationsartikel!AB142="ja","true",FALSE)</f>
        <v>true</v>
      </c>
      <c r="AI143" s="54" t="str">
        <f>IF(Migrationsartikel!AC142="ja","true",FALSE)</f>
        <v>true</v>
      </c>
      <c r="AJ143" s="54" t="str">
        <f>IF(Migrationsartikel!AD142="ja","true",FALSE)</f>
        <v>true</v>
      </c>
      <c r="AK143" s="54" t="str">
        <f>IF(Migrationsartikel!AE142="ja","true",FALSE)</f>
        <v>true</v>
      </c>
      <c r="AL143" s="54" t="str">
        <f>IF(Migrationsartikel!AF142="ja","Denner Partner","")</f>
        <v/>
      </c>
      <c r="AM143" s="54" t="str">
        <f>IF(Migrationsartikel!AG142="ja","true","false")</f>
        <v>false</v>
      </c>
      <c r="AN143" s="54" t="str">
        <f t="shared" si="3"/>
        <v>Kassentastenbelegung (ohne GTIN/PLU)</v>
      </c>
      <c r="AO143" s="66" t="s">
        <v>219</v>
      </c>
      <c r="AP143" s="65" t="s">
        <v>1576</v>
      </c>
      <c r="AQ143" s="66" t="s">
        <v>217</v>
      </c>
      <c r="AR143" s="30" t="s">
        <v>219</v>
      </c>
    </row>
    <row r="144" spans="2:44" ht="21.75" customHeight="1" x14ac:dyDescent="0.45">
      <c r="B144" s="54" t="s">
        <v>99</v>
      </c>
      <c r="E144" s="55" t="s">
        <v>87</v>
      </c>
      <c r="F144" s="54" t="str">
        <f>"Warengruppe&gt;&gt;"&amp;_xlfn.TEXTJOIN("&gt;&gt;",TRUE,Migrationsartikel!V143:X143)</f>
        <v>Warengruppe&gt;&gt;Getränke&gt;&gt;Spirituosen&gt;&gt;Spirituosen</v>
      </c>
      <c r="H144" s="55" t="s">
        <v>109</v>
      </c>
      <c r="J144" s="79">
        <f>Migrationsartikel!B143</f>
        <v>0</v>
      </c>
      <c r="L144" s="54" t="str">
        <f>_xlfn.TEXTJOIN(" ",TRUE,Migrationsartikel!F143:H143)</f>
        <v>Grappa aus der Region 1l</v>
      </c>
      <c r="M144" s="54" t="str">
        <f>_xlfn.TEXTJOIN(" ",TRUE,Migrationsartikel!J143:L143)</f>
        <v>Grappa de la région 1l</v>
      </c>
      <c r="N144" s="54" t="str">
        <f>_xlfn.TEXTJOIN(" ",TRUE,Migrationsartikel!N143:P143)</f>
        <v>Grappa della regione 1l</v>
      </c>
      <c r="O144" s="54" t="str">
        <f>Migrationsartikel!F143</f>
        <v>Grappa</v>
      </c>
      <c r="P144" s="54" t="str">
        <f>Migrationsartikel!J143</f>
        <v>Grappa</v>
      </c>
      <c r="Q144" s="54" t="str">
        <f>Migrationsartikel!N143</f>
        <v>Grappa</v>
      </c>
      <c r="R144" s="54" t="str">
        <f>_xlfn.TEXTJOIN(" ",TRUE,Migrationsartikel!G143)</f>
        <v>aus der Region</v>
      </c>
      <c r="S144" s="54" t="str">
        <f>_xlfn.TEXTJOIN(" ",TRUE,Migrationsartikel!K143)</f>
        <v>de la région</v>
      </c>
      <c r="T144" s="54" t="str">
        <f>_xlfn.TEXTJOIN(" ",TRUE,Migrationsartikel!O143)</f>
        <v>della regione</v>
      </c>
      <c r="U144" s="54" t="str">
        <f>_xlfn.TEXTJOIN(" ",TRUE,Migrationsartikel!H143)</f>
        <v>1l</v>
      </c>
      <c r="V144" s="54" t="str">
        <f>_xlfn.TEXTJOIN(" ",TRUE,Migrationsartikel!L143)</f>
        <v>1l</v>
      </c>
      <c r="W144" s="54" t="str">
        <f>_xlfn.TEXTJOIN(" ",TRUE,Migrationsartikel!P143)</f>
        <v>1l</v>
      </c>
      <c r="X144" s="54" t="str">
        <f>Migrationsartikel!I143</f>
        <v>Grappa 1l</v>
      </c>
      <c r="Y144" s="54" t="str">
        <f>Migrationsartikel!M143</f>
        <v>Grappa 1l</v>
      </c>
      <c r="Z144" s="54" t="str">
        <f>Migrationsartikel!Q143</f>
        <v>Grappa 1l</v>
      </c>
      <c r="AA144" s="63">
        <f>Migrationsartikel!R143</f>
        <v>1</v>
      </c>
      <c r="AB144" s="54" t="str">
        <f>Migrationsartikel!T143</f>
        <v>Centiliter</v>
      </c>
      <c r="AC144" s="65">
        <f>Migrationsartikel!S143</f>
        <v>10</v>
      </c>
      <c r="AD144" s="54" t="str">
        <f>Migrationsartikel!U143</f>
        <v>(PCE) Stück</v>
      </c>
      <c r="AE144" s="55" t="s">
        <v>179</v>
      </c>
      <c r="AF144" s="67">
        <f>Migrationsartikel!AA143</f>
        <v>0</v>
      </c>
      <c r="AG144" s="55" t="s">
        <v>192</v>
      </c>
      <c r="AH144" s="54" t="str">
        <f>IF(Migrationsartikel!AB143="ja","true",FALSE)</f>
        <v>true</v>
      </c>
      <c r="AI144" s="54" t="str">
        <f>IF(Migrationsartikel!AC143="ja","true",FALSE)</f>
        <v>true</v>
      </c>
      <c r="AJ144" s="54" t="str">
        <f>IF(Migrationsartikel!AD143="ja","true",FALSE)</f>
        <v>true</v>
      </c>
      <c r="AK144" s="54" t="str">
        <f>IF(Migrationsartikel!AE143="ja","true",FALSE)</f>
        <v>true</v>
      </c>
      <c r="AL144" s="54" t="str">
        <f>IF(Migrationsartikel!AF143="ja","Denner Partner","")</f>
        <v/>
      </c>
      <c r="AM144" s="54" t="str">
        <f>IF(Migrationsartikel!AG143="ja","true","false")</f>
        <v>false</v>
      </c>
      <c r="AN144" s="54" t="str">
        <f t="shared" si="3"/>
        <v>Kassentastenbelegung (ohne GTIN/PLU)</v>
      </c>
      <c r="AO144" s="66" t="s">
        <v>219</v>
      </c>
      <c r="AP144" s="65" t="s">
        <v>1577</v>
      </c>
      <c r="AQ144" s="66" t="s">
        <v>217</v>
      </c>
      <c r="AR144" s="30" t="s">
        <v>219</v>
      </c>
    </row>
    <row r="145" spans="2:44" ht="21.75" customHeight="1" x14ac:dyDescent="0.45">
      <c r="B145" s="54" t="s">
        <v>99</v>
      </c>
      <c r="E145" s="55" t="s">
        <v>87</v>
      </c>
      <c r="F145" s="54" t="str">
        <f>"Warengruppe&gt;&gt;"&amp;_xlfn.TEXTJOIN("&gt;&gt;",TRUE,Migrationsartikel!V144:X144)</f>
        <v>Warengruppe&gt;&gt;Getränke&gt;&gt;Spirituosen&gt;&gt;Spirituosen</v>
      </c>
      <c r="H145" s="55" t="s">
        <v>109</v>
      </c>
      <c r="J145" s="79">
        <f>Migrationsartikel!B144</f>
        <v>0</v>
      </c>
      <c r="L145" s="54" t="str">
        <f>_xlfn.TEXTJOIN(" ",TRUE,Migrationsartikel!F144:H144)</f>
        <v>Grappa aus der Region 50cl</v>
      </c>
      <c r="M145" s="54" t="str">
        <f>_xlfn.TEXTJOIN(" ",TRUE,Migrationsartikel!J144:L144)</f>
        <v>Grappa de la région 50cl</v>
      </c>
      <c r="N145" s="54" t="str">
        <f>_xlfn.TEXTJOIN(" ",TRUE,Migrationsartikel!N144:P144)</f>
        <v>Grappa della regione 50cl</v>
      </c>
      <c r="O145" s="54" t="str">
        <f>Migrationsartikel!F144</f>
        <v>Grappa</v>
      </c>
      <c r="P145" s="54" t="str">
        <f>Migrationsartikel!J144</f>
        <v>Grappa</v>
      </c>
      <c r="Q145" s="54" t="str">
        <f>Migrationsartikel!N144</f>
        <v>Grappa</v>
      </c>
      <c r="R145" s="54" t="str">
        <f>_xlfn.TEXTJOIN(" ",TRUE,Migrationsartikel!G144)</f>
        <v>aus der Region</v>
      </c>
      <c r="S145" s="54" t="str">
        <f>_xlfn.TEXTJOIN(" ",TRUE,Migrationsartikel!K144)</f>
        <v>de la région</v>
      </c>
      <c r="T145" s="54" t="str">
        <f>_xlfn.TEXTJOIN(" ",TRUE,Migrationsartikel!O144)</f>
        <v>della regione</v>
      </c>
      <c r="U145" s="54" t="str">
        <f>_xlfn.TEXTJOIN(" ",TRUE,Migrationsartikel!H144)</f>
        <v>50cl</v>
      </c>
      <c r="V145" s="54" t="str">
        <f>_xlfn.TEXTJOIN(" ",TRUE,Migrationsartikel!L144)</f>
        <v>50cl</v>
      </c>
      <c r="W145" s="54" t="str">
        <f>_xlfn.TEXTJOIN(" ",TRUE,Migrationsartikel!P144)</f>
        <v>50cl</v>
      </c>
      <c r="X145" s="54" t="str">
        <f>Migrationsartikel!I144</f>
        <v>Grappa 50cl</v>
      </c>
      <c r="Y145" s="54" t="str">
        <f>Migrationsartikel!M144</f>
        <v>Grappa 50cl</v>
      </c>
      <c r="Z145" s="54" t="str">
        <f>Migrationsartikel!Q144</f>
        <v>Grappa 50cl</v>
      </c>
      <c r="AA145" s="63">
        <f>Migrationsartikel!R144</f>
        <v>0.5</v>
      </c>
      <c r="AB145" s="54" t="str">
        <f>Migrationsartikel!T144</f>
        <v>Centiliter</v>
      </c>
      <c r="AC145" s="65">
        <f>Migrationsartikel!S144</f>
        <v>10</v>
      </c>
      <c r="AD145" s="54" t="str">
        <f>Migrationsartikel!U144</f>
        <v>(PCE) Stück</v>
      </c>
      <c r="AE145" s="55" t="s">
        <v>179</v>
      </c>
      <c r="AF145" s="67">
        <f>Migrationsartikel!AA144</f>
        <v>0</v>
      </c>
      <c r="AG145" s="55" t="s">
        <v>192</v>
      </c>
      <c r="AH145" s="54" t="str">
        <f>IF(Migrationsartikel!AB144="ja","true",FALSE)</f>
        <v>true</v>
      </c>
      <c r="AI145" s="54" t="str">
        <f>IF(Migrationsartikel!AC144="ja","true",FALSE)</f>
        <v>true</v>
      </c>
      <c r="AJ145" s="54" t="str">
        <f>IF(Migrationsartikel!AD144="ja","true",FALSE)</f>
        <v>true</v>
      </c>
      <c r="AK145" s="54" t="str">
        <f>IF(Migrationsartikel!AE144="ja","true",FALSE)</f>
        <v>true</v>
      </c>
      <c r="AL145" s="54" t="str">
        <f>IF(Migrationsartikel!AF144="ja","Denner Partner","")</f>
        <v/>
      </c>
      <c r="AM145" s="54" t="str">
        <f>IF(Migrationsartikel!AG144="ja","true","false")</f>
        <v>false</v>
      </c>
      <c r="AN145" s="54" t="str">
        <f t="shared" si="3"/>
        <v>Kassentastenbelegung (ohne GTIN/PLU)</v>
      </c>
      <c r="AO145" s="66" t="s">
        <v>219</v>
      </c>
      <c r="AP145" s="65" t="s">
        <v>1578</v>
      </c>
      <c r="AQ145" s="66" t="s">
        <v>217</v>
      </c>
      <c r="AR145" s="30" t="s">
        <v>219</v>
      </c>
    </row>
    <row r="146" spans="2:44" ht="21.75" customHeight="1" x14ac:dyDescent="0.45">
      <c r="B146" s="54" t="s">
        <v>99</v>
      </c>
      <c r="E146" s="55" t="s">
        <v>87</v>
      </c>
      <c r="F146" s="54" t="str">
        <f>"Warengruppe&gt;&gt;"&amp;_xlfn.TEXTJOIN("&gt;&gt;",TRUE,Migrationsartikel!V145:X145)</f>
        <v>Warengruppe&gt;&gt;Getränke&gt;&gt;Spirituosen&gt;&gt;Spirituosen</v>
      </c>
      <c r="H146" s="55" t="s">
        <v>109</v>
      </c>
      <c r="J146" s="79">
        <f>Migrationsartikel!B145</f>
        <v>0</v>
      </c>
      <c r="L146" s="54" t="str">
        <f>_xlfn.TEXTJOIN(" ",TRUE,Migrationsartikel!F145:H145)</f>
        <v>Grappa aus der Region 70cl</v>
      </c>
      <c r="M146" s="54" t="str">
        <f>_xlfn.TEXTJOIN(" ",TRUE,Migrationsartikel!J145:L145)</f>
        <v>Grappa de la région 70cl</v>
      </c>
      <c r="N146" s="54" t="str">
        <f>_xlfn.TEXTJOIN(" ",TRUE,Migrationsartikel!N145:P145)</f>
        <v>Grappa della regione 70cl</v>
      </c>
      <c r="O146" s="54" t="str">
        <f>Migrationsartikel!F145</f>
        <v>Grappa</v>
      </c>
      <c r="P146" s="54" t="str">
        <f>Migrationsartikel!J145</f>
        <v>Grappa</v>
      </c>
      <c r="Q146" s="54" t="str">
        <f>Migrationsartikel!N145</f>
        <v>Grappa</v>
      </c>
      <c r="R146" s="54" t="str">
        <f>_xlfn.TEXTJOIN(" ",TRUE,Migrationsartikel!G145)</f>
        <v>aus der Region</v>
      </c>
      <c r="S146" s="54" t="str">
        <f>_xlfn.TEXTJOIN(" ",TRUE,Migrationsartikel!K145)</f>
        <v>de la région</v>
      </c>
      <c r="T146" s="54" t="str">
        <f>_xlfn.TEXTJOIN(" ",TRUE,Migrationsartikel!O145)</f>
        <v>della regione</v>
      </c>
      <c r="U146" s="54" t="str">
        <f>_xlfn.TEXTJOIN(" ",TRUE,Migrationsartikel!H145)</f>
        <v>70cl</v>
      </c>
      <c r="V146" s="54" t="str">
        <f>_xlfn.TEXTJOIN(" ",TRUE,Migrationsartikel!L145)</f>
        <v>70cl</v>
      </c>
      <c r="W146" s="54" t="str">
        <f>_xlfn.TEXTJOIN(" ",TRUE,Migrationsartikel!P145)</f>
        <v>70cl</v>
      </c>
      <c r="X146" s="54" t="str">
        <f>Migrationsartikel!I145</f>
        <v>Grappa 70cl</v>
      </c>
      <c r="Y146" s="54" t="str">
        <f>Migrationsartikel!M145</f>
        <v>Grappa 70cl</v>
      </c>
      <c r="Z146" s="54" t="str">
        <f>Migrationsartikel!Q145</f>
        <v>Grappa 70cl</v>
      </c>
      <c r="AA146" s="63">
        <f>Migrationsartikel!R145</f>
        <v>0.7</v>
      </c>
      <c r="AB146" s="54" t="str">
        <f>Migrationsartikel!T145</f>
        <v>Centiliter</v>
      </c>
      <c r="AC146" s="65">
        <f>Migrationsartikel!S145</f>
        <v>10</v>
      </c>
      <c r="AD146" s="54" t="str">
        <f>Migrationsartikel!U145</f>
        <v>(PCE) Stück</v>
      </c>
      <c r="AE146" s="55" t="s">
        <v>179</v>
      </c>
      <c r="AF146" s="67">
        <f>Migrationsartikel!AA145</f>
        <v>0</v>
      </c>
      <c r="AG146" s="55" t="s">
        <v>192</v>
      </c>
      <c r="AH146" s="54" t="str">
        <f>IF(Migrationsartikel!AB145="ja","true",FALSE)</f>
        <v>true</v>
      </c>
      <c r="AI146" s="54" t="str">
        <f>IF(Migrationsartikel!AC145="ja","true",FALSE)</f>
        <v>true</v>
      </c>
      <c r="AJ146" s="54" t="str">
        <f>IF(Migrationsartikel!AD145="ja","true",FALSE)</f>
        <v>true</v>
      </c>
      <c r="AK146" s="54" t="str">
        <f>IF(Migrationsartikel!AE145="ja","true",FALSE)</f>
        <v>true</v>
      </c>
      <c r="AL146" s="54" t="str">
        <f>IF(Migrationsartikel!AF145="ja","Denner Partner","")</f>
        <v/>
      </c>
      <c r="AM146" s="54" t="str">
        <f>IF(Migrationsartikel!AG145="ja","true","false")</f>
        <v>false</v>
      </c>
      <c r="AN146" s="54" t="str">
        <f t="shared" si="3"/>
        <v>Kassentastenbelegung (ohne GTIN/PLU)</v>
      </c>
      <c r="AO146" s="66" t="s">
        <v>219</v>
      </c>
      <c r="AP146" s="65" t="s">
        <v>1579</v>
      </c>
      <c r="AQ146" s="66" t="s">
        <v>217</v>
      </c>
      <c r="AR146" s="30" t="s">
        <v>219</v>
      </c>
    </row>
    <row r="147" spans="2:44" ht="21.75" customHeight="1" x14ac:dyDescent="0.45">
      <c r="B147" s="54" t="s">
        <v>99</v>
      </c>
      <c r="E147" s="55" t="s">
        <v>87</v>
      </c>
      <c r="F147" s="54" t="str">
        <f>"Warengruppe&gt;&gt;"&amp;_xlfn.TEXTJOIN("&gt;&gt;",TRUE,Migrationsartikel!V146:X146)</f>
        <v>Warengruppe&gt;&gt;Getränke&gt;&gt;Kaffee und Tee&gt;&gt;Kaffee</v>
      </c>
      <c r="H147" s="55" t="s">
        <v>109</v>
      </c>
      <c r="J147" s="79">
        <f>Migrationsartikel!B146</f>
        <v>0</v>
      </c>
      <c r="L147" s="54" t="str">
        <f>_xlfn.TEXTJOIN(" ",TRUE,Migrationsartikel!F146:H146)</f>
        <v>Kaffee aus der Region 1Stk</v>
      </c>
      <c r="M147" s="54" t="str">
        <f>_xlfn.TEXTJOIN(" ",TRUE,Migrationsartikel!J146:L146)</f>
        <v>Café de la région 1pce</v>
      </c>
      <c r="N147" s="54" t="str">
        <f>_xlfn.TEXTJOIN(" ",TRUE,Migrationsartikel!N146:P146)</f>
        <v>Caffè della regione 1pz</v>
      </c>
      <c r="O147" s="54" t="str">
        <f>Migrationsartikel!F146</f>
        <v>Kaffee</v>
      </c>
      <c r="P147" s="54" t="str">
        <f>Migrationsartikel!J146</f>
        <v>Café</v>
      </c>
      <c r="Q147" s="54" t="str">
        <f>Migrationsartikel!N146</f>
        <v>Caffè</v>
      </c>
      <c r="R147" s="54" t="str">
        <f>_xlfn.TEXTJOIN(" ",TRUE,Migrationsartikel!G146)</f>
        <v>aus der Region</v>
      </c>
      <c r="S147" s="54" t="str">
        <f>_xlfn.TEXTJOIN(" ",TRUE,Migrationsartikel!K146)</f>
        <v>de la région</v>
      </c>
      <c r="T147" s="54" t="str">
        <f>_xlfn.TEXTJOIN(" ",TRUE,Migrationsartikel!O146)</f>
        <v>della regione</v>
      </c>
      <c r="U147" s="54" t="str">
        <f>_xlfn.TEXTJOIN(" ",TRUE,Migrationsartikel!H146)</f>
        <v>1Stk</v>
      </c>
      <c r="V147" s="54" t="str">
        <f>_xlfn.TEXTJOIN(" ",TRUE,Migrationsartikel!L146)</f>
        <v>1pce</v>
      </c>
      <c r="W147" s="54" t="str">
        <f>_xlfn.TEXTJOIN(" ",TRUE,Migrationsartikel!P146)</f>
        <v>1pz</v>
      </c>
      <c r="X147" s="54" t="str">
        <f>Migrationsartikel!I146</f>
        <v>Kaffee</v>
      </c>
      <c r="Y147" s="54" t="str">
        <f>Migrationsartikel!M146</f>
        <v>Café</v>
      </c>
      <c r="Z147" s="54" t="str">
        <f>Migrationsartikel!Q146</f>
        <v>Caffè</v>
      </c>
      <c r="AA147" s="63">
        <f>Migrationsartikel!R146</f>
        <v>1</v>
      </c>
      <c r="AB147" s="54" t="str">
        <f>Migrationsartikel!T146</f>
        <v>Centiliter</v>
      </c>
      <c r="AC147" s="65">
        <f>Migrationsartikel!S146</f>
        <v>10</v>
      </c>
      <c r="AD147" s="54" t="str">
        <f>Migrationsartikel!U146</f>
        <v>(PCE) Stück</v>
      </c>
      <c r="AE147" s="55" t="s">
        <v>179</v>
      </c>
      <c r="AF147" s="67">
        <f>Migrationsartikel!AA146</f>
        <v>0</v>
      </c>
      <c r="AG147" s="55" t="s">
        <v>192</v>
      </c>
      <c r="AH147" s="54" t="str">
        <f>IF(Migrationsartikel!AB146="ja","true",FALSE)</f>
        <v>true</v>
      </c>
      <c r="AI147" s="54" t="str">
        <f>IF(Migrationsartikel!AC146="ja","true",FALSE)</f>
        <v>true</v>
      </c>
      <c r="AJ147" s="54" t="str">
        <f>IF(Migrationsartikel!AD146="ja","true",FALSE)</f>
        <v>true</v>
      </c>
      <c r="AK147" s="54" t="str">
        <f>IF(Migrationsartikel!AE146="ja","true",FALSE)</f>
        <v>true</v>
      </c>
      <c r="AL147" s="54" t="str">
        <f>IF(Migrationsartikel!AF146="ja","Denner Partner","")</f>
        <v/>
      </c>
      <c r="AM147" s="54" t="str">
        <f>IF(Migrationsartikel!AG146="ja","true","false")</f>
        <v>false</v>
      </c>
      <c r="AN147" s="54" t="str">
        <f t="shared" si="3"/>
        <v>Kassentastenbelegung (ohne GTIN/PLU)</v>
      </c>
      <c r="AO147" s="66" t="s">
        <v>219</v>
      </c>
      <c r="AP147" s="65" t="s">
        <v>1580</v>
      </c>
      <c r="AQ147" s="66" t="s">
        <v>217</v>
      </c>
      <c r="AR147" s="30" t="s">
        <v>219</v>
      </c>
    </row>
    <row r="148" spans="2:44" ht="21.75" customHeight="1" x14ac:dyDescent="0.45">
      <c r="B148" s="54" t="s">
        <v>99</v>
      </c>
      <c r="E148" s="55" t="s">
        <v>87</v>
      </c>
      <c r="F148" s="54" t="str">
        <f>"Warengruppe&gt;&gt;"&amp;_xlfn.TEXTJOIN("&gt;&gt;",TRUE,Migrationsartikel!V147:X147)</f>
        <v>Warengruppe&gt;&gt;Getränke&gt;&gt;Kaffee und Tee&gt;&gt;Kaffee</v>
      </c>
      <c r="H148" s="55" t="s">
        <v>109</v>
      </c>
      <c r="J148" s="79">
        <f>Migrationsartikel!B147</f>
        <v>0</v>
      </c>
      <c r="L148" s="54" t="str">
        <f>_xlfn.TEXTJOIN(" ",TRUE,Migrationsartikel!F147:H147)</f>
        <v>Kaffee to go aus der Region 1Stk</v>
      </c>
      <c r="M148" s="54" t="str">
        <f>_xlfn.TEXTJOIN(" ",TRUE,Migrationsartikel!J147:L147)</f>
        <v>Café à l'emporter de la région 1pce</v>
      </c>
      <c r="N148" s="54" t="str">
        <f>_xlfn.TEXTJOIN(" ",TRUE,Migrationsartikel!N147:P147)</f>
        <v>Caffè da asporto della regione 1pz</v>
      </c>
      <c r="O148" s="54" t="str">
        <f>Migrationsartikel!F147</f>
        <v>Kaffee to go</v>
      </c>
      <c r="P148" s="54" t="str">
        <f>Migrationsartikel!J147</f>
        <v>Café à l'emporter</v>
      </c>
      <c r="Q148" s="54" t="str">
        <f>Migrationsartikel!N147</f>
        <v>Caffè da asporto</v>
      </c>
      <c r="R148" s="54" t="str">
        <f>_xlfn.TEXTJOIN(" ",TRUE,Migrationsartikel!G147)</f>
        <v>aus der Region</v>
      </c>
      <c r="S148" s="54" t="str">
        <f>_xlfn.TEXTJOIN(" ",TRUE,Migrationsartikel!K147)</f>
        <v>de la région</v>
      </c>
      <c r="T148" s="54" t="str">
        <f>_xlfn.TEXTJOIN(" ",TRUE,Migrationsartikel!O147)</f>
        <v>della regione</v>
      </c>
      <c r="U148" s="54" t="str">
        <f>_xlfn.TEXTJOIN(" ",TRUE,Migrationsartikel!H147)</f>
        <v>1Stk</v>
      </c>
      <c r="V148" s="54" t="str">
        <f>_xlfn.TEXTJOIN(" ",TRUE,Migrationsartikel!L147)</f>
        <v>1pce</v>
      </c>
      <c r="W148" s="54" t="str">
        <f>_xlfn.TEXTJOIN(" ",TRUE,Migrationsartikel!P147)</f>
        <v>1pz</v>
      </c>
      <c r="X148" s="54" t="str">
        <f>Migrationsartikel!I147</f>
        <v>Kaffee to go</v>
      </c>
      <c r="Y148" s="54" t="str">
        <f>Migrationsartikel!M147</f>
        <v>Café à l'emporter</v>
      </c>
      <c r="Z148" s="54" t="str">
        <f>Migrationsartikel!Q147</f>
        <v>Caffè da asporto</v>
      </c>
      <c r="AA148" s="63">
        <f>Migrationsartikel!R147</f>
        <v>1</v>
      </c>
      <c r="AB148" s="54" t="str">
        <f>Migrationsartikel!T147</f>
        <v>Centiliter</v>
      </c>
      <c r="AC148" s="65">
        <f>Migrationsartikel!S147</f>
        <v>10</v>
      </c>
      <c r="AD148" s="54" t="str">
        <f>Migrationsartikel!U147</f>
        <v>(PCE) Stück</v>
      </c>
      <c r="AE148" s="55" t="s">
        <v>179</v>
      </c>
      <c r="AF148" s="67">
        <f>Migrationsartikel!AA147</f>
        <v>0</v>
      </c>
      <c r="AG148" s="55" t="s">
        <v>192</v>
      </c>
      <c r="AH148" s="54" t="str">
        <f>IF(Migrationsartikel!AB147="ja","true",FALSE)</f>
        <v>true</v>
      </c>
      <c r="AI148" s="54" t="str">
        <f>IF(Migrationsartikel!AC147="ja","true",FALSE)</f>
        <v>true</v>
      </c>
      <c r="AJ148" s="54" t="str">
        <f>IF(Migrationsartikel!AD147="ja","true",FALSE)</f>
        <v>true</v>
      </c>
      <c r="AK148" s="54" t="str">
        <f>IF(Migrationsartikel!AE147="ja","true",FALSE)</f>
        <v>true</v>
      </c>
      <c r="AL148" s="54" t="str">
        <f>IF(Migrationsartikel!AF147="ja","Denner Partner","")</f>
        <v/>
      </c>
      <c r="AM148" s="54" t="str">
        <f>IF(Migrationsartikel!AG147="ja","true","false")</f>
        <v>false</v>
      </c>
      <c r="AN148" s="54" t="str">
        <f t="shared" si="3"/>
        <v>Kassentastenbelegung (ohne GTIN/PLU)</v>
      </c>
      <c r="AO148" s="66" t="s">
        <v>219</v>
      </c>
      <c r="AP148" s="65" t="s">
        <v>1581</v>
      </c>
      <c r="AQ148" s="66" t="s">
        <v>217</v>
      </c>
      <c r="AR148" s="30" t="s">
        <v>219</v>
      </c>
    </row>
    <row r="149" spans="2:44" ht="21.75" customHeight="1" x14ac:dyDescent="0.45">
      <c r="B149" s="54" t="s">
        <v>99</v>
      </c>
      <c r="E149" s="55" t="s">
        <v>87</v>
      </c>
      <c r="F149" s="54" t="str">
        <f>"Warengruppe&gt;&gt;"&amp;_xlfn.TEXTJOIN("&gt;&gt;",TRUE,Migrationsartikel!V148:X148)</f>
        <v>Warengruppe&gt;&gt;Getränke&gt;&gt;Spirituosen&gt;&gt;Spirituosen</v>
      </c>
      <c r="H149" s="55" t="s">
        <v>109</v>
      </c>
      <c r="J149" s="79">
        <f>Migrationsartikel!B148</f>
        <v>0</v>
      </c>
      <c r="L149" s="54" t="str">
        <f>_xlfn.TEXTJOIN(" ",TRUE,Migrationsartikel!F148:H148)</f>
        <v>Likör &amp; Schnaps aus der Region 1Stk</v>
      </c>
      <c r="M149" s="54" t="str">
        <f>_xlfn.TEXTJOIN(" ",TRUE,Migrationsartikel!J148:L148)</f>
        <v>Liqueurs &amp; eaux-de-vie de la région 1pce</v>
      </c>
      <c r="N149" s="54" t="str">
        <f>_xlfn.TEXTJOIN(" ",TRUE,Migrationsartikel!N148:P148)</f>
        <v>Liquori e distillati della regione 1pz</v>
      </c>
      <c r="O149" s="54" t="str">
        <f>Migrationsartikel!F148</f>
        <v>Likör &amp; Schnaps</v>
      </c>
      <c r="P149" s="54" t="str">
        <f>Migrationsartikel!J148</f>
        <v>Liqueurs &amp; eaux-de-vie</v>
      </c>
      <c r="Q149" s="54" t="str">
        <f>Migrationsartikel!N148</f>
        <v>Liquori e distillati</v>
      </c>
      <c r="R149" s="54" t="str">
        <f>_xlfn.TEXTJOIN(" ",TRUE,Migrationsartikel!G148)</f>
        <v>aus der Region</v>
      </c>
      <c r="S149" s="54" t="str">
        <f>_xlfn.TEXTJOIN(" ",TRUE,Migrationsartikel!K148)</f>
        <v>de la région</v>
      </c>
      <c r="T149" s="54" t="str">
        <f>_xlfn.TEXTJOIN(" ",TRUE,Migrationsartikel!O148)</f>
        <v>della regione</v>
      </c>
      <c r="U149" s="54" t="str">
        <f>_xlfn.TEXTJOIN(" ",TRUE,Migrationsartikel!H148)</f>
        <v>1Stk</v>
      </c>
      <c r="V149" s="54" t="str">
        <f>_xlfn.TEXTJOIN(" ",TRUE,Migrationsartikel!L148)</f>
        <v>1pce</v>
      </c>
      <c r="W149" s="54" t="str">
        <f>_xlfn.TEXTJOIN(" ",TRUE,Migrationsartikel!P148)</f>
        <v>1pz</v>
      </c>
      <c r="X149" s="54" t="str">
        <f>Migrationsartikel!I148</f>
        <v>Likör &amp; Schnaps</v>
      </c>
      <c r="Y149" s="54" t="str">
        <f>Migrationsartikel!M148</f>
        <v>Liqueurs &amp; eaux-de-vie</v>
      </c>
      <c r="Z149" s="54" t="str">
        <f>Migrationsartikel!Q148</f>
        <v>Liquori e distillati</v>
      </c>
      <c r="AA149" s="63">
        <f>Migrationsartikel!R148</f>
        <v>1</v>
      </c>
      <c r="AB149" s="54" t="str">
        <f>Migrationsartikel!T148</f>
        <v>Stück</v>
      </c>
      <c r="AC149" s="65">
        <f>Migrationsartikel!S148</f>
        <v>1</v>
      </c>
      <c r="AD149" s="54" t="str">
        <f>Migrationsartikel!U148</f>
        <v>(PCE) Stück</v>
      </c>
      <c r="AE149" s="55" t="s">
        <v>179</v>
      </c>
      <c r="AF149" s="67">
        <f>Migrationsartikel!AA148</f>
        <v>0</v>
      </c>
      <c r="AG149" s="55" t="s">
        <v>192</v>
      </c>
      <c r="AH149" s="54" t="str">
        <f>IF(Migrationsartikel!AB148="ja","true",FALSE)</f>
        <v>true</v>
      </c>
      <c r="AI149" s="54" t="str">
        <f>IF(Migrationsartikel!AC148="ja","true",FALSE)</f>
        <v>true</v>
      </c>
      <c r="AJ149" s="54" t="str">
        <f>IF(Migrationsartikel!AD148="ja","true",FALSE)</f>
        <v>true</v>
      </c>
      <c r="AK149" s="54" t="str">
        <f>IF(Migrationsartikel!AE148="ja","true",FALSE)</f>
        <v>true</v>
      </c>
      <c r="AL149" s="54" t="str">
        <f>IF(Migrationsartikel!AF148="ja","Denner Partner","")</f>
        <v/>
      </c>
      <c r="AM149" s="54" t="str">
        <f>IF(Migrationsartikel!AG148="ja","true","false")</f>
        <v>false</v>
      </c>
      <c r="AN149" s="54" t="str">
        <f t="shared" si="3"/>
        <v>Kassentastenbelegung (ohne GTIN/PLU)</v>
      </c>
      <c r="AO149" s="66" t="s">
        <v>219</v>
      </c>
      <c r="AP149" s="65" t="s">
        <v>1582</v>
      </c>
      <c r="AQ149" s="66" t="s">
        <v>217</v>
      </c>
      <c r="AR149" s="30" t="s">
        <v>219</v>
      </c>
    </row>
    <row r="150" spans="2:44" ht="21.75" customHeight="1" x14ac:dyDescent="0.45">
      <c r="B150" s="54" t="s">
        <v>99</v>
      </c>
      <c r="E150" s="55" t="s">
        <v>87</v>
      </c>
      <c r="F150" s="54" t="str">
        <f>"Warengruppe&gt;&gt;"&amp;_xlfn.TEXTJOIN("&gt;&gt;",TRUE,Migrationsartikel!V149:X149)</f>
        <v>Warengruppe&gt;&gt;Getränke&gt;&gt;Spirituosen&gt;&gt;Spirituosen</v>
      </c>
      <c r="H150" s="55" t="s">
        <v>109</v>
      </c>
      <c r="J150" s="79">
        <f>Migrationsartikel!B149</f>
        <v>0</v>
      </c>
      <c r="L150" s="54" t="str">
        <f>_xlfn.TEXTJOIN(" ",TRUE,Migrationsartikel!F149:H149)</f>
        <v>Limoncello aus der Region 1l</v>
      </c>
      <c r="M150" s="54" t="str">
        <f>_xlfn.TEXTJOIN(" ",TRUE,Migrationsartikel!J149:L149)</f>
        <v>Limoncello de la région 1l</v>
      </c>
      <c r="N150" s="54" t="str">
        <f>_xlfn.TEXTJOIN(" ",TRUE,Migrationsartikel!N149:P149)</f>
        <v>Limoncello della regione 1l</v>
      </c>
      <c r="O150" s="54" t="str">
        <f>Migrationsartikel!F149</f>
        <v>Limoncello</v>
      </c>
      <c r="P150" s="54" t="str">
        <f>Migrationsartikel!J149</f>
        <v>Limoncello</v>
      </c>
      <c r="Q150" s="54" t="str">
        <f>Migrationsartikel!N149</f>
        <v>Limoncello</v>
      </c>
      <c r="R150" s="54" t="str">
        <f>_xlfn.TEXTJOIN(" ",TRUE,Migrationsartikel!G149)</f>
        <v>aus der Region</v>
      </c>
      <c r="S150" s="54" t="str">
        <f>_xlfn.TEXTJOIN(" ",TRUE,Migrationsartikel!K149)</f>
        <v>de la région</v>
      </c>
      <c r="T150" s="54" t="str">
        <f>_xlfn.TEXTJOIN(" ",TRUE,Migrationsartikel!O149)</f>
        <v>della regione</v>
      </c>
      <c r="U150" s="54" t="str">
        <f>_xlfn.TEXTJOIN(" ",TRUE,Migrationsartikel!H149)</f>
        <v>1l</v>
      </c>
      <c r="V150" s="54" t="str">
        <f>_xlfn.TEXTJOIN(" ",TRUE,Migrationsartikel!L149)</f>
        <v>1l</v>
      </c>
      <c r="W150" s="54" t="str">
        <f>_xlfn.TEXTJOIN(" ",TRUE,Migrationsartikel!P149)</f>
        <v>1l</v>
      </c>
      <c r="X150" s="54" t="str">
        <f>Migrationsartikel!I149</f>
        <v>Limoncello 1l</v>
      </c>
      <c r="Y150" s="54" t="str">
        <f>Migrationsartikel!M149</f>
        <v>Limoncello 1l</v>
      </c>
      <c r="Z150" s="54" t="str">
        <f>Migrationsartikel!Q149</f>
        <v>Limoncello 1l</v>
      </c>
      <c r="AA150" s="63">
        <f>Migrationsartikel!R149</f>
        <v>1</v>
      </c>
      <c r="AB150" s="54" t="str">
        <f>Migrationsartikel!T149</f>
        <v>Centiliter</v>
      </c>
      <c r="AC150" s="65">
        <f>Migrationsartikel!S149</f>
        <v>10</v>
      </c>
      <c r="AD150" s="54" t="str">
        <f>Migrationsartikel!U149</f>
        <v>(PCE) Stück</v>
      </c>
      <c r="AE150" s="55" t="s">
        <v>179</v>
      </c>
      <c r="AF150" s="67">
        <f>Migrationsartikel!AA149</f>
        <v>0</v>
      </c>
      <c r="AG150" s="55" t="s">
        <v>192</v>
      </c>
      <c r="AH150" s="54" t="str">
        <f>IF(Migrationsartikel!AB149="ja","true",FALSE)</f>
        <v>true</v>
      </c>
      <c r="AI150" s="54" t="str">
        <f>IF(Migrationsartikel!AC149="ja","true",FALSE)</f>
        <v>true</v>
      </c>
      <c r="AJ150" s="54" t="str">
        <f>IF(Migrationsartikel!AD149="ja","true",FALSE)</f>
        <v>true</v>
      </c>
      <c r="AK150" s="54" t="str">
        <f>IF(Migrationsartikel!AE149="ja","true",FALSE)</f>
        <v>true</v>
      </c>
      <c r="AL150" s="54" t="str">
        <f>IF(Migrationsartikel!AF149="ja","Denner Partner","")</f>
        <v/>
      </c>
      <c r="AM150" s="54" t="str">
        <f>IF(Migrationsartikel!AG149="ja","true","false")</f>
        <v>false</v>
      </c>
      <c r="AN150" s="54" t="str">
        <f t="shared" si="3"/>
        <v>Kassentastenbelegung (ohne GTIN/PLU)</v>
      </c>
      <c r="AO150" s="66" t="s">
        <v>219</v>
      </c>
      <c r="AP150" s="65" t="s">
        <v>1583</v>
      </c>
      <c r="AQ150" s="66" t="s">
        <v>217</v>
      </c>
      <c r="AR150" s="30" t="s">
        <v>219</v>
      </c>
    </row>
    <row r="151" spans="2:44" ht="21.75" customHeight="1" x14ac:dyDescent="0.45">
      <c r="B151" s="54" t="s">
        <v>99</v>
      </c>
      <c r="E151" s="55" t="s">
        <v>87</v>
      </c>
      <c r="F151" s="54" t="str">
        <f>"Warengruppe&gt;&gt;"&amp;_xlfn.TEXTJOIN("&gt;&gt;",TRUE,Migrationsartikel!V150:X150)</f>
        <v>Warengruppe&gt;&gt;Getränke&gt;&gt;Spirituosen&gt;&gt;Spirituosen</v>
      </c>
      <c r="H151" s="55" t="s">
        <v>109</v>
      </c>
      <c r="J151" s="79">
        <f>Migrationsartikel!B150</f>
        <v>0</v>
      </c>
      <c r="L151" s="54" t="str">
        <f>_xlfn.TEXTJOIN(" ",TRUE,Migrationsartikel!F150:H150)</f>
        <v>Nocino aus der Region 1l</v>
      </c>
      <c r="M151" s="54" t="str">
        <f>_xlfn.TEXTJOIN(" ",TRUE,Migrationsartikel!J150:L150)</f>
        <v>Nocino de la région 1l</v>
      </c>
      <c r="N151" s="54" t="str">
        <f>_xlfn.TEXTJOIN(" ",TRUE,Migrationsartikel!N150:P150)</f>
        <v>Nocino della regione 1l</v>
      </c>
      <c r="O151" s="54" t="str">
        <f>Migrationsartikel!F150</f>
        <v>Nocino</v>
      </c>
      <c r="P151" s="54" t="str">
        <f>Migrationsartikel!J150</f>
        <v>Nocino</v>
      </c>
      <c r="Q151" s="54" t="str">
        <f>Migrationsartikel!N150</f>
        <v>Nocino</v>
      </c>
      <c r="R151" s="54" t="str">
        <f>_xlfn.TEXTJOIN(" ",TRUE,Migrationsartikel!G150)</f>
        <v>aus der Region</v>
      </c>
      <c r="S151" s="54" t="str">
        <f>_xlfn.TEXTJOIN(" ",TRUE,Migrationsartikel!K150)</f>
        <v>de la région</v>
      </c>
      <c r="T151" s="54" t="str">
        <f>_xlfn.TEXTJOIN(" ",TRUE,Migrationsartikel!O150)</f>
        <v>della regione</v>
      </c>
      <c r="U151" s="54" t="str">
        <f>_xlfn.TEXTJOIN(" ",TRUE,Migrationsartikel!H150)</f>
        <v>1l</v>
      </c>
      <c r="V151" s="54" t="str">
        <f>_xlfn.TEXTJOIN(" ",TRUE,Migrationsartikel!L150)</f>
        <v>1l</v>
      </c>
      <c r="W151" s="54" t="str">
        <f>_xlfn.TEXTJOIN(" ",TRUE,Migrationsartikel!P150)</f>
        <v>1l</v>
      </c>
      <c r="X151" s="54" t="str">
        <f>Migrationsartikel!I150</f>
        <v>Nocino 1l</v>
      </c>
      <c r="Y151" s="54" t="str">
        <f>Migrationsartikel!M150</f>
        <v>Nocino 1l</v>
      </c>
      <c r="Z151" s="54" t="str">
        <f>Migrationsartikel!Q150</f>
        <v>Nocino 1l</v>
      </c>
      <c r="AA151" s="63">
        <f>Migrationsartikel!R150</f>
        <v>1</v>
      </c>
      <c r="AB151" s="54" t="str">
        <f>Migrationsartikel!T150</f>
        <v>Centiliter</v>
      </c>
      <c r="AC151" s="65">
        <f>Migrationsartikel!S150</f>
        <v>10</v>
      </c>
      <c r="AD151" s="54" t="str">
        <f>Migrationsartikel!U150</f>
        <v>(PCE) Stück</v>
      </c>
      <c r="AE151" s="55" t="s">
        <v>179</v>
      </c>
      <c r="AF151" s="67">
        <f>Migrationsartikel!AA150</f>
        <v>0</v>
      </c>
      <c r="AG151" s="55" t="s">
        <v>192</v>
      </c>
      <c r="AH151" s="54" t="str">
        <f>IF(Migrationsartikel!AB150="ja","true",FALSE)</f>
        <v>true</v>
      </c>
      <c r="AI151" s="54" t="str">
        <f>IF(Migrationsartikel!AC150="ja","true",FALSE)</f>
        <v>true</v>
      </c>
      <c r="AJ151" s="54" t="str">
        <f>IF(Migrationsartikel!AD150="ja","true",FALSE)</f>
        <v>true</v>
      </c>
      <c r="AK151" s="54" t="str">
        <f>IF(Migrationsartikel!AE150="ja","true",FALSE)</f>
        <v>true</v>
      </c>
      <c r="AL151" s="54" t="str">
        <f>IF(Migrationsartikel!AF150="ja","Denner Partner","")</f>
        <v/>
      </c>
      <c r="AM151" s="54" t="str">
        <f>IF(Migrationsartikel!AG150="ja","true","false")</f>
        <v>false</v>
      </c>
      <c r="AN151" s="54" t="str">
        <f t="shared" si="3"/>
        <v>Kassentastenbelegung (ohne GTIN/PLU)</v>
      </c>
      <c r="AO151" s="66" t="s">
        <v>219</v>
      </c>
      <c r="AP151" s="65" t="s">
        <v>1584</v>
      </c>
      <c r="AQ151" s="66" t="s">
        <v>217</v>
      </c>
      <c r="AR151" s="30" t="s">
        <v>219</v>
      </c>
    </row>
    <row r="152" spans="2:44" ht="21.75" customHeight="1" x14ac:dyDescent="0.45">
      <c r="B152" s="54" t="s">
        <v>99</v>
      </c>
      <c r="E152" s="55" t="s">
        <v>87</v>
      </c>
      <c r="F152" s="54" t="str">
        <f>"Warengruppe&gt;&gt;"&amp;_xlfn.TEXTJOIN("&gt;&gt;",TRUE,Migrationsartikel!V151:X151)</f>
        <v>Warengruppe&gt;&gt;Getränke&gt;&gt;Spirituosen&gt;&gt;Spirituosen</v>
      </c>
      <c r="H152" s="55" t="s">
        <v>109</v>
      </c>
      <c r="J152" s="79">
        <f>Migrationsartikel!B151</f>
        <v>0</v>
      </c>
      <c r="L152" s="54" t="str">
        <f>_xlfn.TEXTJOIN(" ",TRUE,Migrationsartikel!F151:H151)</f>
        <v>Nocino aus der Region 50cl</v>
      </c>
      <c r="M152" s="54" t="str">
        <f>_xlfn.TEXTJOIN(" ",TRUE,Migrationsartikel!J151:L151)</f>
        <v>Nocino de la région 50cl</v>
      </c>
      <c r="N152" s="54" t="str">
        <f>_xlfn.TEXTJOIN(" ",TRUE,Migrationsartikel!N151:P151)</f>
        <v>Nocino della regione 50cl</v>
      </c>
      <c r="O152" s="54" t="str">
        <f>Migrationsartikel!F151</f>
        <v>Nocino</v>
      </c>
      <c r="P152" s="54" t="str">
        <f>Migrationsartikel!J151</f>
        <v>Nocino</v>
      </c>
      <c r="Q152" s="54" t="str">
        <f>Migrationsartikel!N151</f>
        <v>Nocino</v>
      </c>
      <c r="R152" s="54" t="str">
        <f>_xlfn.TEXTJOIN(" ",TRUE,Migrationsartikel!G151)</f>
        <v>aus der Region</v>
      </c>
      <c r="S152" s="54" t="str">
        <f>_xlfn.TEXTJOIN(" ",TRUE,Migrationsartikel!K151)</f>
        <v>de la région</v>
      </c>
      <c r="T152" s="54" t="str">
        <f>_xlfn.TEXTJOIN(" ",TRUE,Migrationsartikel!O151)</f>
        <v>della regione</v>
      </c>
      <c r="U152" s="54" t="str">
        <f>_xlfn.TEXTJOIN(" ",TRUE,Migrationsartikel!H151)</f>
        <v>50cl</v>
      </c>
      <c r="V152" s="54" t="str">
        <f>_xlfn.TEXTJOIN(" ",TRUE,Migrationsartikel!L151)</f>
        <v>50cl</v>
      </c>
      <c r="W152" s="54" t="str">
        <f>_xlfn.TEXTJOIN(" ",TRUE,Migrationsartikel!P151)</f>
        <v>50cl</v>
      </c>
      <c r="X152" s="54" t="str">
        <f>Migrationsartikel!I151</f>
        <v>Nocino 50cl</v>
      </c>
      <c r="Y152" s="54" t="str">
        <f>Migrationsartikel!M151</f>
        <v>Nocino 50cl</v>
      </c>
      <c r="Z152" s="54" t="str">
        <f>Migrationsartikel!Q151</f>
        <v>Nocino 50cl</v>
      </c>
      <c r="AA152" s="63">
        <f>Migrationsartikel!R151</f>
        <v>0.5</v>
      </c>
      <c r="AB152" s="54" t="str">
        <f>Migrationsartikel!T151</f>
        <v>Centiliter</v>
      </c>
      <c r="AC152" s="65">
        <f>Migrationsartikel!S151</f>
        <v>10</v>
      </c>
      <c r="AD152" s="54" t="str">
        <f>Migrationsartikel!U151</f>
        <v>(PCE) Stück</v>
      </c>
      <c r="AE152" s="55" t="s">
        <v>179</v>
      </c>
      <c r="AF152" s="67">
        <f>Migrationsartikel!AA151</f>
        <v>0</v>
      </c>
      <c r="AG152" s="55" t="s">
        <v>192</v>
      </c>
      <c r="AH152" s="54" t="str">
        <f>IF(Migrationsartikel!AB151="ja","true",FALSE)</f>
        <v>true</v>
      </c>
      <c r="AI152" s="54" t="str">
        <f>IF(Migrationsartikel!AC151="ja","true",FALSE)</f>
        <v>true</v>
      </c>
      <c r="AJ152" s="54" t="str">
        <f>IF(Migrationsartikel!AD151="ja","true",FALSE)</f>
        <v>true</v>
      </c>
      <c r="AK152" s="54" t="str">
        <f>IF(Migrationsartikel!AE151="ja","true",FALSE)</f>
        <v>true</v>
      </c>
      <c r="AL152" s="54" t="str">
        <f>IF(Migrationsartikel!AF151="ja","Denner Partner","")</f>
        <v/>
      </c>
      <c r="AM152" s="54" t="str">
        <f>IF(Migrationsartikel!AG151="ja","true","false")</f>
        <v>false</v>
      </c>
      <c r="AN152" s="54" t="str">
        <f t="shared" si="3"/>
        <v>Kassentastenbelegung (ohne GTIN/PLU)</v>
      </c>
      <c r="AO152" s="66" t="s">
        <v>219</v>
      </c>
      <c r="AP152" s="65" t="s">
        <v>1585</v>
      </c>
      <c r="AQ152" s="66" t="s">
        <v>217</v>
      </c>
      <c r="AR152" s="30" t="s">
        <v>219</v>
      </c>
    </row>
    <row r="153" spans="2:44" ht="21.75" customHeight="1" x14ac:dyDescent="0.45">
      <c r="B153" s="54" t="s">
        <v>99</v>
      </c>
      <c r="E153" s="55" t="s">
        <v>87</v>
      </c>
      <c r="F153" s="54" t="str">
        <f>"Warengruppe&gt;&gt;"&amp;_xlfn.TEXTJOIN("&gt;&gt;",TRUE,Migrationsartikel!V152:X152)</f>
        <v>Warengruppe&gt;&gt;Getränke&gt;&gt;Spirituosen&gt;&gt;Spirituosen</v>
      </c>
      <c r="H153" s="55" t="s">
        <v>109</v>
      </c>
      <c r="J153" s="79">
        <f>Migrationsartikel!B152</f>
        <v>0</v>
      </c>
      <c r="L153" s="54" t="str">
        <f>_xlfn.TEXTJOIN(" ",TRUE,Migrationsartikel!F152:H152)</f>
        <v>Nocino aus der Region 70cl</v>
      </c>
      <c r="M153" s="54" t="str">
        <f>_xlfn.TEXTJOIN(" ",TRUE,Migrationsartikel!J152:L152)</f>
        <v>Nocino de la région 70cl</v>
      </c>
      <c r="N153" s="54" t="str">
        <f>_xlfn.TEXTJOIN(" ",TRUE,Migrationsartikel!N152:P152)</f>
        <v>Nocino della regione 70cl</v>
      </c>
      <c r="O153" s="54" t="str">
        <f>Migrationsartikel!F152</f>
        <v>Nocino</v>
      </c>
      <c r="P153" s="54" t="str">
        <f>Migrationsartikel!J152</f>
        <v>Nocino</v>
      </c>
      <c r="Q153" s="54" t="str">
        <f>Migrationsartikel!N152</f>
        <v>Nocino</v>
      </c>
      <c r="R153" s="54" t="str">
        <f>_xlfn.TEXTJOIN(" ",TRUE,Migrationsartikel!G152)</f>
        <v>aus der Region</v>
      </c>
      <c r="S153" s="54" t="str">
        <f>_xlfn.TEXTJOIN(" ",TRUE,Migrationsartikel!K152)</f>
        <v>de la région</v>
      </c>
      <c r="T153" s="54" t="str">
        <f>_xlfn.TEXTJOIN(" ",TRUE,Migrationsartikel!O152)</f>
        <v>della regione</v>
      </c>
      <c r="U153" s="54" t="str">
        <f>_xlfn.TEXTJOIN(" ",TRUE,Migrationsartikel!H152)</f>
        <v>70cl</v>
      </c>
      <c r="V153" s="54" t="str">
        <f>_xlfn.TEXTJOIN(" ",TRUE,Migrationsartikel!L152)</f>
        <v>70cl</v>
      </c>
      <c r="W153" s="54" t="str">
        <f>_xlfn.TEXTJOIN(" ",TRUE,Migrationsartikel!P152)</f>
        <v>70cl</v>
      </c>
      <c r="X153" s="54" t="str">
        <f>Migrationsartikel!I152</f>
        <v>Nocino 70cl</v>
      </c>
      <c r="Y153" s="54" t="str">
        <f>Migrationsartikel!M152</f>
        <v>Nocino 70cl</v>
      </c>
      <c r="Z153" s="54" t="str">
        <f>Migrationsartikel!Q152</f>
        <v>Nocino 70cl</v>
      </c>
      <c r="AA153" s="63">
        <f>Migrationsartikel!R152</f>
        <v>0.7</v>
      </c>
      <c r="AB153" s="54" t="str">
        <f>Migrationsartikel!T152</f>
        <v>Centiliter</v>
      </c>
      <c r="AC153" s="65">
        <f>Migrationsartikel!S152</f>
        <v>10</v>
      </c>
      <c r="AD153" s="54" t="str">
        <f>Migrationsartikel!U152</f>
        <v>(PCE) Stück</v>
      </c>
      <c r="AE153" s="55" t="s">
        <v>179</v>
      </c>
      <c r="AF153" s="67">
        <f>Migrationsartikel!AA152</f>
        <v>0</v>
      </c>
      <c r="AG153" s="55" t="s">
        <v>192</v>
      </c>
      <c r="AH153" s="54" t="str">
        <f>IF(Migrationsartikel!AB152="ja","true",FALSE)</f>
        <v>true</v>
      </c>
      <c r="AI153" s="54" t="str">
        <f>IF(Migrationsartikel!AC152="ja","true",FALSE)</f>
        <v>true</v>
      </c>
      <c r="AJ153" s="54" t="str">
        <f>IF(Migrationsartikel!AD152="ja","true",FALSE)</f>
        <v>true</v>
      </c>
      <c r="AK153" s="54" t="str">
        <f>IF(Migrationsartikel!AE152="ja","true",FALSE)</f>
        <v>true</v>
      </c>
      <c r="AL153" s="54" t="str">
        <f>IF(Migrationsartikel!AF152="ja","Denner Partner","")</f>
        <v/>
      </c>
      <c r="AM153" s="54" t="str">
        <f>IF(Migrationsartikel!AG152="ja","true","false")</f>
        <v>false</v>
      </c>
      <c r="AN153" s="54" t="str">
        <f t="shared" si="3"/>
        <v>Kassentastenbelegung (ohne GTIN/PLU)</v>
      </c>
      <c r="AO153" s="66" t="s">
        <v>219</v>
      </c>
      <c r="AP153" s="65" t="s">
        <v>1586</v>
      </c>
      <c r="AQ153" s="66" t="s">
        <v>217</v>
      </c>
      <c r="AR153" s="30" t="s">
        <v>219</v>
      </c>
    </row>
    <row r="154" spans="2:44" ht="21.75" customHeight="1" x14ac:dyDescent="0.45">
      <c r="B154" s="54" t="s">
        <v>99</v>
      </c>
      <c r="E154" s="55" t="s">
        <v>87</v>
      </c>
      <c r="F154" s="54" t="str">
        <f>"Warengruppe&gt;&gt;"&amp;_xlfn.TEXTJOIN("&gt;&gt;",TRUE,Migrationsartikel!V153:X153)</f>
        <v>Warengruppe&gt;&gt;Getränke&gt;&gt;Tafelgetränke&gt;&gt;Tafelgetränke</v>
      </c>
      <c r="H154" s="55" t="s">
        <v>109</v>
      </c>
      <c r="J154" s="79">
        <f>Migrationsartikel!B153</f>
        <v>0</v>
      </c>
      <c r="L154" s="54" t="str">
        <f>_xlfn.TEXTJOIN(" ",TRUE,Migrationsartikel!F153:H153)</f>
        <v>Cider aus der Region 33cl</v>
      </c>
      <c r="M154" s="54" t="str">
        <f>_xlfn.TEXTJOIN(" ",TRUE,Migrationsartikel!J153:L153)</f>
        <v>Cidre de la région 33cl</v>
      </c>
      <c r="N154" s="54" t="str">
        <f>_xlfn.TEXTJOIN(" ",TRUE,Migrationsartikel!N153:P153)</f>
        <v>Sidro della regione 33cl</v>
      </c>
      <c r="O154" s="54" t="str">
        <f>Migrationsartikel!F153</f>
        <v>Cider</v>
      </c>
      <c r="P154" s="54" t="str">
        <f>Migrationsartikel!J153</f>
        <v>Cidre</v>
      </c>
      <c r="Q154" s="54" t="str">
        <f>Migrationsartikel!N153</f>
        <v>Sidro</v>
      </c>
      <c r="R154" s="54" t="str">
        <f>_xlfn.TEXTJOIN(" ",TRUE,Migrationsartikel!G153)</f>
        <v>aus der Region</v>
      </c>
      <c r="S154" s="54" t="str">
        <f>_xlfn.TEXTJOIN(" ",TRUE,Migrationsartikel!K153)</f>
        <v>de la région</v>
      </c>
      <c r="T154" s="54" t="str">
        <f>_xlfn.TEXTJOIN(" ",TRUE,Migrationsartikel!O153)</f>
        <v>della regione</v>
      </c>
      <c r="U154" s="54" t="str">
        <f>_xlfn.TEXTJOIN(" ",TRUE,Migrationsartikel!H153)</f>
        <v>33cl</v>
      </c>
      <c r="V154" s="54" t="str">
        <f>_xlfn.TEXTJOIN(" ",TRUE,Migrationsartikel!L153)</f>
        <v>33cl</v>
      </c>
      <c r="W154" s="54" t="str">
        <f>_xlfn.TEXTJOIN(" ",TRUE,Migrationsartikel!P153)</f>
        <v>33cl</v>
      </c>
      <c r="X154" s="54" t="str">
        <f>Migrationsartikel!I153</f>
        <v>Cider 33cl</v>
      </c>
      <c r="Y154" s="54" t="str">
        <f>Migrationsartikel!M153</f>
        <v>Cidre 33cl</v>
      </c>
      <c r="Z154" s="54" t="str">
        <f>Migrationsartikel!Q153</f>
        <v>Sidro 33cl</v>
      </c>
      <c r="AA154" s="63">
        <f>Migrationsartikel!R153</f>
        <v>0.33</v>
      </c>
      <c r="AB154" s="54" t="str">
        <f>Migrationsartikel!T153</f>
        <v>Liter</v>
      </c>
      <c r="AC154" s="65">
        <f>Migrationsartikel!S153</f>
        <v>1</v>
      </c>
      <c r="AD154" s="54" t="str">
        <f>Migrationsartikel!U153</f>
        <v>(PCE) Stück</v>
      </c>
      <c r="AE154" s="55" t="s">
        <v>179</v>
      </c>
      <c r="AF154" s="67">
        <f>Migrationsartikel!AA153</f>
        <v>0</v>
      </c>
      <c r="AG154" s="55" t="s">
        <v>192</v>
      </c>
      <c r="AH154" s="54" t="str">
        <f>IF(Migrationsartikel!AB153="ja","true",FALSE)</f>
        <v>true</v>
      </c>
      <c r="AI154" s="54" t="str">
        <f>IF(Migrationsartikel!AC153="ja","true",FALSE)</f>
        <v>true</v>
      </c>
      <c r="AJ154" s="54" t="str">
        <f>IF(Migrationsartikel!AD153="ja","true",FALSE)</f>
        <v>true</v>
      </c>
      <c r="AK154" s="54" t="str">
        <f>IF(Migrationsartikel!AE153="ja","true",FALSE)</f>
        <v>true</v>
      </c>
      <c r="AL154" s="54" t="str">
        <f>IF(Migrationsartikel!AF153="ja","Denner Partner","")</f>
        <v/>
      </c>
      <c r="AM154" s="54" t="str">
        <f>IF(Migrationsartikel!AG153="ja","true","false")</f>
        <v>false</v>
      </c>
      <c r="AN154" s="54" t="str">
        <f t="shared" si="3"/>
        <v>Kassentastenbelegung (ohne GTIN/PLU)</v>
      </c>
      <c r="AO154" s="66" t="s">
        <v>219</v>
      </c>
      <c r="AP154" s="65" t="s">
        <v>1587</v>
      </c>
      <c r="AQ154" s="66" t="s">
        <v>217</v>
      </c>
      <c r="AR154" s="30" t="s">
        <v>219</v>
      </c>
    </row>
    <row r="155" spans="2:44" ht="21.75" customHeight="1" x14ac:dyDescent="0.45">
      <c r="B155" s="54" t="s">
        <v>99</v>
      </c>
      <c r="E155" s="55" t="s">
        <v>87</v>
      </c>
      <c r="F155" s="54" t="str">
        <f>"Warengruppe&gt;&gt;"&amp;_xlfn.TEXTJOIN("&gt;&gt;",TRUE,Migrationsartikel!V154:X154)</f>
        <v>Warengruppe&gt;&gt;Getränke&gt;&gt;Tafelgetränke&gt;&gt;Tafelgetränke</v>
      </c>
      <c r="H155" s="55" t="s">
        <v>109</v>
      </c>
      <c r="J155" s="79">
        <f>Migrationsartikel!B154</f>
        <v>0</v>
      </c>
      <c r="L155" s="54" t="str">
        <f>_xlfn.TEXTJOIN(" ",TRUE,Migrationsartikel!F154:H154)</f>
        <v>Cider aus der Region 50cl</v>
      </c>
      <c r="M155" s="54" t="str">
        <f>_xlfn.TEXTJOIN(" ",TRUE,Migrationsartikel!J154:L154)</f>
        <v>Cidre de la région 50cl</v>
      </c>
      <c r="N155" s="54" t="str">
        <f>_xlfn.TEXTJOIN(" ",TRUE,Migrationsartikel!N154:P154)</f>
        <v>Sidro della regione 50cl</v>
      </c>
      <c r="O155" s="54" t="str">
        <f>Migrationsartikel!F154</f>
        <v>Cider</v>
      </c>
      <c r="P155" s="54" t="str">
        <f>Migrationsartikel!J154</f>
        <v>Cidre</v>
      </c>
      <c r="Q155" s="54" t="str">
        <f>Migrationsartikel!N154</f>
        <v>Sidro</v>
      </c>
      <c r="R155" s="54" t="str">
        <f>_xlfn.TEXTJOIN(" ",TRUE,Migrationsartikel!G154)</f>
        <v>aus der Region</v>
      </c>
      <c r="S155" s="54" t="str">
        <f>_xlfn.TEXTJOIN(" ",TRUE,Migrationsartikel!K154)</f>
        <v>de la région</v>
      </c>
      <c r="T155" s="54" t="str">
        <f>_xlfn.TEXTJOIN(" ",TRUE,Migrationsartikel!O154)</f>
        <v>della regione</v>
      </c>
      <c r="U155" s="54" t="str">
        <f>_xlfn.TEXTJOIN(" ",TRUE,Migrationsartikel!H154)</f>
        <v>50cl</v>
      </c>
      <c r="V155" s="54" t="str">
        <f>_xlfn.TEXTJOIN(" ",TRUE,Migrationsartikel!L154)</f>
        <v>50cl</v>
      </c>
      <c r="W155" s="54" t="str">
        <f>_xlfn.TEXTJOIN(" ",TRUE,Migrationsartikel!P154)</f>
        <v>50cl</v>
      </c>
      <c r="X155" s="54" t="str">
        <f>Migrationsartikel!I154</f>
        <v>Cider 50cl</v>
      </c>
      <c r="Y155" s="54" t="str">
        <f>Migrationsartikel!M154</f>
        <v>Cidre 50cl</v>
      </c>
      <c r="Z155" s="54" t="str">
        <f>Migrationsartikel!Q154</f>
        <v>Sidro 50cl</v>
      </c>
      <c r="AA155" s="63">
        <f>Migrationsartikel!R154</f>
        <v>0.5</v>
      </c>
      <c r="AB155" s="54" t="str">
        <f>Migrationsartikel!T154</f>
        <v>Liter</v>
      </c>
      <c r="AC155" s="65">
        <f>Migrationsartikel!S154</f>
        <v>1</v>
      </c>
      <c r="AD155" s="54" t="str">
        <f>Migrationsartikel!U154</f>
        <v>(PCE) Stück</v>
      </c>
      <c r="AE155" s="55" t="s">
        <v>179</v>
      </c>
      <c r="AF155" s="67">
        <f>Migrationsartikel!AA154</f>
        <v>0</v>
      </c>
      <c r="AG155" s="55" t="s">
        <v>192</v>
      </c>
      <c r="AH155" s="54" t="str">
        <f>IF(Migrationsartikel!AB154="ja","true",FALSE)</f>
        <v>true</v>
      </c>
      <c r="AI155" s="54" t="str">
        <f>IF(Migrationsartikel!AC154="ja","true",FALSE)</f>
        <v>true</v>
      </c>
      <c r="AJ155" s="54" t="str">
        <f>IF(Migrationsartikel!AD154="ja","true",FALSE)</f>
        <v>true</v>
      </c>
      <c r="AK155" s="54" t="str">
        <f>IF(Migrationsartikel!AE154="ja","true",FALSE)</f>
        <v>true</v>
      </c>
      <c r="AL155" s="54" t="str">
        <f>IF(Migrationsartikel!AF154="ja","Denner Partner","")</f>
        <v/>
      </c>
      <c r="AM155" s="54" t="str">
        <f>IF(Migrationsartikel!AG154="ja","true","false")</f>
        <v>false</v>
      </c>
      <c r="AN155" s="54" t="str">
        <f t="shared" si="3"/>
        <v>Kassentastenbelegung (ohne GTIN/PLU)</v>
      </c>
      <c r="AO155" s="66" t="s">
        <v>219</v>
      </c>
      <c r="AP155" s="65" t="s">
        <v>1588</v>
      </c>
      <c r="AQ155" s="66" t="s">
        <v>217</v>
      </c>
      <c r="AR155" s="30" t="s">
        <v>219</v>
      </c>
    </row>
    <row r="156" spans="2:44" ht="21.75" customHeight="1" x14ac:dyDescent="0.45">
      <c r="B156" s="54" t="s">
        <v>99</v>
      </c>
      <c r="E156" s="55" t="s">
        <v>87</v>
      </c>
      <c r="F156" s="54" t="str">
        <f>"Warengruppe&gt;&gt;"&amp;_xlfn.TEXTJOIN("&gt;&gt;",TRUE,Migrationsartikel!V155:X155)</f>
        <v>Warengruppe&gt;&gt;Getränke&gt;&gt;Tafelgetränke&gt;&gt;Tafelgetränke</v>
      </c>
      <c r="H156" s="55" t="s">
        <v>109</v>
      </c>
      <c r="J156" s="79">
        <f>Migrationsartikel!B155</f>
        <v>0</v>
      </c>
      <c r="L156" s="54" t="str">
        <f>_xlfn.TEXTJOIN(" ",TRUE,Migrationsartikel!F155:H155)</f>
        <v>Cider aus der Region 75cl</v>
      </c>
      <c r="M156" s="54" t="str">
        <f>_xlfn.TEXTJOIN(" ",TRUE,Migrationsartikel!J155:L155)</f>
        <v>Cidre de la région 75cl</v>
      </c>
      <c r="N156" s="54" t="str">
        <f>_xlfn.TEXTJOIN(" ",TRUE,Migrationsartikel!N155:P155)</f>
        <v>Sidro della regione 75cl</v>
      </c>
      <c r="O156" s="54" t="str">
        <f>Migrationsartikel!F155</f>
        <v>Cider</v>
      </c>
      <c r="P156" s="54" t="str">
        <f>Migrationsartikel!J155</f>
        <v>Cidre</v>
      </c>
      <c r="Q156" s="54" t="str">
        <f>Migrationsartikel!N155</f>
        <v>Sidro</v>
      </c>
      <c r="R156" s="54" t="str">
        <f>_xlfn.TEXTJOIN(" ",TRUE,Migrationsartikel!G155)</f>
        <v>aus der Region</v>
      </c>
      <c r="S156" s="54" t="str">
        <f>_xlfn.TEXTJOIN(" ",TRUE,Migrationsartikel!K155)</f>
        <v>de la région</v>
      </c>
      <c r="T156" s="54" t="str">
        <f>_xlfn.TEXTJOIN(" ",TRUE,Migrationsartikel!O155)</f>
        <v>della regione</v>
      </c>
      <c r="U156" s="54" t="str">
        <f>_xlfn.TEXTJOIN(" ",TRUE,Migrationsartikel!H155)</f>
        <v>75cl</v>
      </c>
      <c r="V156" s="54" t="str">
        <f>_xlfn.TEXTJOIN(" ",TRUE,Migrationsartikel!L155)</f>
        <v>75cl</v>
      </c>
      <c r="W156" s="54" t="str">
        <f>_xlfn.TEXTJOIN(" ",TRUE,Migrationsartikel!P155)</f>
        <v>75cl</v>
      </c>
      <c r="X156" s="54" t="str">
        <f>Migrationsartikel!I155</f>
        <v>Cider 75cl</v>
      </c>
      <c r="Y156" s="54" t="str">
        <f>Migrationsartikel!M155</f>
        <v>Cidre 75cl</v>
      </c>
      <c r="Z156" s="54" t="str">
        <f>Migrationsartikel!Q155</f>
        <v>Sidro 75cl</v>
      </c>
      <c r="AA156" s="63">
        <f>Migrationsartikel!R155</f>
        <v>0.75</v>
      </c>
      <c r="AB156" s="54" t="str">
        <f>Migrationsartikel!T155</f>
        <v>Liter</v>
      </c>
      <c r="AC156" s="65">
        <f>Migrationsartikel!S155</f>
        <v>1</v>
      </c>
      <c r="AD156" s="54" t="str">
        <f>Migrationsartikel!U155</f>
        <v>(PCE) Stück</v>
      </c>
      <c r="AE156" s="55" t="s">
        <v>179</v>
      </c>
      <c r="AF156" s="67">
        <f>Migrationsartikel!AA155</f>
        <v>0</v>
      </c>
      <c r="AG156" s="55" t="s">
        <v>192</v>
      </c>
      <c r="AH156" s="54" t="str">
        <f>IF(Migrationsartikel!AB155="ja","true",FALSE)</f>
        <v>true</v>
      </c>
      <c r="AI156" s="54" t="str">
        <f>IF(Migrationsartikel!AC155="ja","true",FALSE)</f>
        <v>true</v>
      </c>
      <c r="AJ156" s="54" t="str">
        <f>IF(Migrationsartikel!AD155="ja","true",FALSE)</f>
        <v>true</v>
      </c>
      <c r="AK156" s="54" t="str">
        <f>IF(Migrationsartikel!AE155="ja","true",FALSE)</f>
        <v>true</v>
      </c>
      <c r="AL156" s="54" t="str">
        <f>IF(Migrationsartikel!AF155="ja","Denner Partner","")</f>
        <v/>
      </c>
      <c r="AM156" s="54" t="str">
        <f>IF(Migrationsartikel!AG155="ja","true","false")</f>
        <v>false</v>
      </c>
      <c r="AN156" s="54" t="str">
        <f t="shared" si="3"/>
        <v>Kassentastenbelegung (ohne GTIN/PLU)</v>
      </c>
      <c r="AO156" s="66" t="s">
        <v>219</v>
      </c>
      <c r="AP156" s="65" t="s">
        <v>1589</v>
      </c>
      <c r="AQ156" s="66" t="s">
        <v>217</v>
      </c>
      <c r="AR156" s="30" t="s">
        <v>219</v>
      </c>
    </row>
    <row r="157" spans="2:44" ht="21.75" customHeight="1" x14ac:dyDescent="0.45">
      <c r="B157" s="54" t="s">
        <v>99</v>
      </c>
      <c r="E157" s="55" t="s">
        <v>87</v>
      </c>
      <c r="F157" s="54" t="str">
        <f>"Warengruppe&gt;&gt;"&amp;_xlfn.TEXTJOIN("&gt;&gt;",TRUE,Migrationsartikel!V156:X156)</f>
        <v>Warengruppe&gt;&gt;Getränke&gt;&gt;Tafelgetränke&gt;&gt;Tafelgetränke</v>
      </c>
      <c r="H157" s="55" t="s">
        <v>109</v>
      </c>
      <c r="J157" s="79">
        <f>Migrationsartikel!B156</f>
        <v>0</v>
      </c>
      <c r="L157" s="54" t="str">
        <f>_xlfn.TEXTJOIN(" ",TRUE,Migrationsartikel!F156:H156)</f>
        <v>Cider aus der Region 1l</v>
      </c>
      <c r="M157" s="54" t="str">
        <f>_xlfn.TEXTJOIN(" ",TRUE,Migrationsartikel!J156:L156)</f>
        <v>Cidre de la région 1l</v>
      </c>
      <c r="N157" s="54" t="str">
        <f>_xlfn.TEXTJOIN(" ",TRUE,Migrationsartikel!N156:P156)</f>
        <v>Sidro della regione 1l</v>
      </c>
      <c r="O157" s="54" t="str">
        <f>Migrationsartikel!F156</f>
        <v>Cider</v>
      </c>
      <c r="P157" s="54" t="str">
        <f>Migrationsartikel!J156</f>
        <v>Cidre</v>
      </c>
      <c r="Q157" s="54" t="str">
        <f>Migrationsartikel!N156</f>
        <v>Sidro</v>
      </c>
      <c r="R157" s="54" t="str">
        <f>_xlfn.TEXTJOIN(" ",TRUE,Migrationsartikel!G156)</f>
        <v>aus der Region</v>
      </c>
      <c r="S157" s="54" t="str">
        <f>_xlfn.TEXTJOIN(" ",TRUE,Migrationsartikel!K156)</f>
        <v>de la région</v>
      </c>
      <c r="T157" s="54" t="str">
        <f>_xlfn.TEXTJOIN(" ",TRUE,Migrationsartikel!O156)</f>
        <v>della regione</v>
      </c>
      <c r="U157" s="54" t="str">
        <f>_xlfn.TEXTJOIN(" ",TRUE,Migrationsartikel!H156)</f>
        <v>1l</v>
      </c>
      <c r="V157" s="54" t="str">
        <f>_xlfn.TEXTJOIN(" ",TRUE,Migrationsartikel!L156)</f>
        <v>1l</v>
      </c>
      <c r="W157" s="54" t="str">
        <f>_xlfn.TEXTJOIN(" ",TRUE,Migrationsartikel!P156)</f>
        <v>1l</v>
      </c>
      <c r="X157" s="54" t="str">
        <f>Migrationsartikel!I156</f>
        <v>Cider 1l</v>
      </c>
      <c r="Y157" s="54" t="str">
        <f>Migrationsartikel!M156</f>
        <v>Cidre 1l</v>
      </c>
      <c r="Z157" s="54" t="str">
        <f>Migrationsartikel!Q156</f>
        <v>Sidro 1l</v>
      </c>
      <c r="AA157" s="63">
        <f>Migrationsartikel!R156</f>
        <v>1</v>
      </c>
      <c r="AB157" s="54" t="str">
        <f>Migrationsartikel!T156</f>
        <v>Liter</v>
      </c>
      <c r="AC157" s="65">
        <f>Migrationsartikel!S156</f>
        <v>1</v>
      </c>
      <c r="AD157" s="54" t="str">
        <f>Migrationsartikel!U156</f>
        <v>(PCE) Stück</v>
      </c>
      <c r="AE157" s="55" t="s">
        <v>179</v>
      </c>
      <c r="AF157" s="67">
        <f>Migrationsartikel!AA156</f>
        <v>0</v>
      </c>
      <c r="AG157" s="55" t="s">
        <v>192</v>
      </c>
      <c r="AH157" s="54" t="str">
        <f>IF(Migrationsartikel!AB156="ja","true",FALSE)</f>
        <v>true</v>
      </c>
      <c r="AI157" s="54" t="str">
        <f>IF(Migrationsartikel!AC156="ja","true",FALSE)</f>
        <v>true</v>
      </c>
      <c r="AJ157" s="54" t="str">
        <f>IF(Migrationsartikel!AD156="ja","true",FALSE)</f>
        <v>true</v>
      </c>
      <c r="AK157" s="54" t="str">
        <f>IF(Migrationsartikel!AE156="ja","true",FALSE)</f>
        <v>true</v>
      </c>
      <c r="AL157" s="54" t="str">
        <f>IF(Migrationsartikel!AF156="ja","Denner Partner","")</f>
        <v/>
      </c>
      <c r="AM157" s="54" t="str">
        <f>IF(Migrationsartikel!AG156="ja","true","false")</f>
        <v>false</v>
      </c>
      <c r="AN157" s="54" t="str">
        <f t="shared" si="3"/>
        <v>Kassentastenbelegung (ohne GTIN/PLU)</v>
      </c>
      <c r="AO157" s="66" t="s">
        <v>219</v>
      </c>
      <c r="AP157" s="65" t="s">
        <v>1590</v>
      </c>
      <c r="AQ157" s="66" t="s">
        <v>217</v>
      </c>
      <c r="AR157" s="30" t="s">
        <v>219</v>
      </c>
    </row>
    <row r="158" spans="2:44" ht="21.75" customHeight="1" x14ac:dyDescent="0.45">
      <c r="B158" s="54" t="s">
        <v>99</v>
      </c>
      <c r="E158" s="55" t="s">
        <v>87</v>
      </c>
      <c r="F158" s="54" t="str">
        <f>"Warengruppe&gt;&gt;"&amp;_xlfn.TEXTJOIN("&gt;&gt;",TRUE,Migrationsartikel!V157:X157)</f>
        <v>Warengruppe&gt;&gt;Getränke&gt;&gt;Tafelgetränke&gt;&gt;Tafelgetränke</v>
      </c>
      <c r="H158" s="55" t="s">
        <v>109</v>
      </c>
      <c r="J158" s="79">
        <f>Migrationsartikel!B157</f>
        <v>0</v>
      </c>
      <c r="L158" s="54" t="str">
        <f>_xlfn.TEXTJOIN(" ",TRUE,Migrationsartikel!F157:H157)</f>
        <v>Sirup aus der Region 35cl</v>
      </c>
      <c r="M158" s="54" t="str">
        <f>_xlfn.TEXTJOIN(" ",TRUE,Migrationsartikel!J157:L157)</f>
        <v>Sirop de la région 35cl</v>
      </c>
      <c r="N158" s="54" t="str">
        <f>_xlfn.TEXTJOIN(" ",TRUE,Migrationsartikel!N157:P157)</f>
        <v>Sciroppo della regione 35cl</v>
      </c>
      <c r="O158" s="54" t="str">
        <f>Migrationsartikel!F157</f>
        <v>Sirup</v>
      </c>
      <c r="P158" s="54" t="str">
        <f>Migrationsartikel!J157</f>
        <v>Sirop</v>
      </c>
      <c r="Q158" s="54" t="str">
        <f>Migrationsartikel!N157</f>
        <v>Sciroppo</v>
      </c>
      <c r="R158" s="54" t="str">
        <f>_xlfn.TEXTJOIN(" ",TRUE,Migrationsartikel!G157)</f>
        <v>aus der Region</v>
      </c>
      <c r="S158" s="54" t="str">
        <f>_xlfn.TEXTJOIN(" ",TRUE,Migrationsartikel!K157)</f>
        <v>de la région</v>
      </c>
      <c r="T158" s="54" t="str">
        <f>_xlfn.TEXTJOIN(" ",TRUE,Migrationsartikel!O157)</f>
        <v>della regione</v>
      </c>
      <c r="U158" s="54" t="str">
        <f>_xlfn.TEXTJOIN(" ",TRUE,Migrationsartikel!H157)</f>
        <v>35cl</v>
      </c>
      <c r="V158" s="54" t="str">
        <f>_xlfn.TEXTJOIN(" ",TRUE,Migrationsartikel!L157)</f>
        <v>35cl</v>
      </c>
      <c r="W158" s="54" t="str">
        <f>_xlfn.TEXTJOIN(" ",TRUE,Migrationsartikel!P157)</f>
        <v>35cl</v>
      </c>
      <c r="X158" s="54" t="str">
        <f>Migrationsartikel!I157</f>
        <v>Sirup 35cl</v>
      </c>
      <c r="Y158" s="54" t="str">
        <f>Migrationsartikel!M157</f>
        <v>Sirop 35cl</v>
      </c>
      <c r="Z158" s="54" t="str">
        <f>Migrationsartikel!Q157</f>
        <v>Sciroppo 35cl</v>
      </c>
      <c r="AA158" s="63">
        <f>Migrationsartikel!R157</f>
        <v>0.35</v>
      </c>
      <c r="AB158" s="54" t="str">
        <f>Migrationsartikel!T157</f>
        <v>Liter</v>
      </c>
      <c r="AC158" s="65">
        <f>Migrationsartikel!S157</f>
        <v>1</v>
      </c>
      <c r="AD158" s="54" t="str">
        <f>Migrationsartikel!U157</f>
        <v>(PCE) Stück</v>
      </c>
      <c r="AE158" s="55" t="s">
        <v>179</v>
      </c>
      <c r="AF158" s="67">
        <f>Migrationsartikel!AA157</f>
        <v>0</v>
      </c>
      <c r="AG158" s="55" t="s">
        <v>192</v>
      </c>
      <c r="AH158" s="54" t="str">
        <f>IF(Migrationsartikel!AB157="ja","true",FALSE)</f>
        <v>true</v>
      </c>
      <c r="AI158" s="54" t="str">
        <f>IF(Migrationsartikel!AC157="ja","true",FALSE)</f>
        <v>true</v>
      </c>
      <c r="AJ158" s="54" t="str">
        <f>IF(Migrationsartikel!AD157="ja","true",FALSE)</f>
        <v>true</v>
      </c>
      <c r="AK158" s="54" t="str">
        <f>IF(Migrationsartikel!AE157="ja","true",FALSE)</f>
        <v>true</v>
      </c>
      <c r="AL158" s="54" t="str">
        <f>IF(Migrationsartikel!AF157="ja","Denner Partner","")</f>
        <v/>
      </c>
      <c r="AM158" s="54" t="str">
        <f>IF(Migrationsartikel!AG157="ja","true","false")</f>
        <v>false</v>
      </c>
      <c r="AN158" s="54" t="str">
        <f t="shared" si="3"/>
        <v>Kassentastenbelegung (ohne GTIN/PLU)</v>
      </c>
      <c r="AO158" s="66" t="s">
        <v>219</v>
      </c>
      <c r="AP158" s="65" t="s">
        <v>1591</v>
      </c>
      <c r="AQ158" s="66" t="s">
        <v>217</v>
      </c>
      <c r="AR158" s="30" t="s">
        <v>219</v>
      </c>
    </row>
    <row r="159" spans="2:44" ht="21.75" customHeight="1" x14ac:dyDescent="0.45">
      <c r="B159" s="54" t="s">
        <v>99</v>
      </c>
      <c r="E159" s="55" t="s">
        <v>87</v>
      </c>
      <c r="F159" s="54" t="str">
        <f>"Warengruppe&gt;&gt;"&amp;_xlfn.TEXTJOIN("&gt;&gt;",TRUE,Migrationsartikel!V158:X158)</f>
        <v>Warengruppe&gt;&gt;Getränke&gt;&gt;Tafelgetränke&gt;&gt;Tafelgetränke</v>
      </c>
      <c r="H159" s="55" t="s">
        <v>109</v>
      </c>
      <c r="J159" s="79">
        <f>Migrationsartikel!B158</f>
        <v>0</v>
      </c>
      <c r="L159" s="54" t="str">
        <f>_xlfn.TEXTJOIN(" ",TRUE,Migrationsartikel!F158:H158)</f>
        <v>Sirup aus der Region 50cl</v>
      </c>
      <c r="M159" s="54" t="str">
        <f>_xlfn.TEXTJOIN(" ",TRUE,Migrationsartikel!J158:L158)</f>
        <v>Sirop de la région 50cl</v>
      </c>
      <c r="N159" s="54" t="str">
        <f>_xlfn.TEXTJOIN(" ",TRUE,Migrationsartikel!N158:P158)</f>
        <v>Sciroppo della regione 50cl</v>
      </c>
      <c r="O159" s="54" t="str">
        <f>Migrationsartikel!F158</f>
        <v>Sirup</v>
      </c>
      <c r="P159" s="54" t="str">
        <f>Migrationsartikel!J158</f>
        <v>Sirop</v>
      </c>
      <c r="Q159" s="54" t="str">
        <f>Migrationsartikel!N158</f>
        <v>Sciroppo</v>
      </c>
      <c r="R159" s="54" t="str">
        <f>_xlfn.TEXTJOIN(" ",TRUE,Migrationsartikel!G158)</f>
        <v>aus der Region</v>
      </c>
      <c r="S159" s="54" t="str">
        <f>_xlfn.TEXTJOIN(" ",TRUE,Migrationsartikel!K158)</f>
        <v>de la région</v>
      </c>
      <c r="T159" s="54" t="str">
        <f>_xlfn.TEXTJOIN(" ",TRUE,Migrationsartikel!O158)</f>
        <v>della regione</v>
      </c>
      <c r="U159" s="54" t="str">
        <f>_xlfn.TEXTJOIN(" ",TRUE,Migrationsartikel!H158)</f>
        <v>50cl</v>
      </c>
      <c r="V159" s="54" t="str">
        <f>_xlfn.TEXTJOIN(" ",TRUE,Migrationsartikel!L158)</f>
        <v>50cl</v>
      </c>
      <c r="W159" s="54" t="str">
        <f>_xlfn.TEXTJOIN(" ",TRUE,Migrationsartikel!P158)</f>
        <v>50cl</v>
      </c>
      <c r="X159" s="54" t="str">
        <f>Migrationsartikel!I158</f>
        <v>Sirup 50cl</v>
      </c>
      <c r="Y159" s="54" t="str">
        <f>Migrationsartikel!M158</f>
        <v>Sirop 50cl</v>
      </c>
      <c r="Z159" s="54" t="str">
        <f>Migrationsartikel!Q158</f>
        <v>Sciroppo 50cl</v>
      </c>
      <c r="AA159" s="63">
        <f>Migrationsartikel!R158</f>
        <v>0.5</v>
      </c>
      <c r="AB159" s="54" t="str">
        <f>Migrationsartikel!T158</f>
        <v>Liter</v>
      </c>
      <c r="AC159" s="65">
        <f>Migrationsartikel!S158</f>
        <v>1</v>
      </c>
      <c r="AD159" s="54" t="str">
        <f>Migrationsartikel!U158</f>
        <v>(PCE) Stück</v>
      </c>
      <c r="AE159" s="55" t="s">
        <v>179</v>
      </c>
      <c r="AF159" s="67">
        <f>Migrationsartikel!AA158</f>
        <v>0</v>
      </c>
      <c r="AG159" s="55" t="s">
        <v>192</v>
      </c>
      <c r="AH159" s="54" t="str">
        <f>IF(Migrationsartikel!AB158="ja","true",FALSE)</f>
        <v>true</v>
      </c>
      <c r="AI159" s="54" t="str">
        <f>IF(Migrationsartikel!AC158="ja","true",FALSE)</f>
        <v>true</v>
      </c>
      <c r="AJ159" s="54" t="str">
        <f>IF(Migrationsartikel!AD158="ja","true",FALSE)</f>
        <v>true</v>
      </c>
      <c r="AK159" s="54" t="str">
        <f>IF(Migrationsartikel!AE158="ja","true",FALSE)</f>
        <v>true</v>
      </c>
      <c r="AL159" s="54" t="str">
        <f>IF(Migrationsartikel!AF158="ja","Denner Partner","")</f>
        <v/>
      </c>
      <c r="AM159" s="54" t="str">
        <f>IF(Migrationsartikel!AG158="ja","true","false")</f>
        <v>false</v>
      </c>
      <c r="AN159" s="54" t="str">
        <f t="shared" si="3"/>
        <v>Kassentastenbelegung (ohne GTIN/PLU)</v>
      </c>
      <c r="AO159" s="66" t="s">
        <v>219</v>
      </c>
      <c r="AP159" s="65" t="s">
        <v>1592</v>
      </c>
      <c r="AQ159" s="66" t="s">
        <v>217</v>
      </c>
      <c r="AR159" s="30" t="s">
        <v>219</v>
      </c>
    </row>
    <row r="160" spans="2:44" ht="21.75" customHeight="1" x14ac:dyDescent="0.45">
      <c r="B160" s="54" t="s">
        <v>99</v>
      </c>
      <c r="E160" s="55" t="s">
        <v>87</v>
      </c>
      <c r="F160" s="54" t="str">
        <f>"Warengruppe&gt;&gt;"&amp;_xlfn.TEXTJOIN("&gt;&gt;",TRUE,Migrationsartikel!V159:X159)</f>
        <v>Warengruppe&gt;&gt;Getränke&gt;&gt;Tafelgetränke&gt;&gt;Tafelgetränke</v>
      </c>
      <c r="H160" s="55" t="s">
        <v>109</v>
      </c>
      <c r="J160" s="79">
        <f>Migrationsartikel!B159</f>
        <v>0</v>
      </c>
      <c r="L160" s="54" t="str">
        <f>_xlfn.TEXTJOIN(" ",TRUE,Migrationsartikel!F159:H159)</f>
        <v>Sirup aus der Region 75cl</v>
      </c>
      <c r="M160" s="54" t="str">
        <f>_xlfn.TEXTJOIN(" ",TRUE,Migrationsartikel!J159:L159)</f>
        <v>Sirop de la région 75cl</v>
      </c>
      <c r="N160" s="54" t="str">
        <f>_xlfn.TEXTJOIN(" ",TRUE,Migrationsartikel!N159:P159)</f>
        <v>Sciroppo della regione 75cl</v>
      </c>
      <c r="O160" s="54" t="str">
        <f>Migrationsartikel!F159</f>
        <v>Sirup</v>
      </c>
      <c r="P160" s="54" t="str">
        <f>Migrationsartikel!J159</f>
        <v>Sirop</v>
      </c>
      <c r="Q160" s="54" t="str">
        <f>Migrationsartikel!N159</f>
        <v>Sciroppo</v>
      </c>
      <c r="R160" s="54" t="str">
        <f>_xlfn.TEXTJOIN(" ",TRUE,Migrationsartikel!G159)</f>
        <v>aus der Region</v>
      </c>
      <c r="S160" s="54" t="str">
        <f>_xlfn.TEXTJOIN(" ",TRUE,Migrationsartikel!K159)</f>
        <v>de la région</v>
      </c>
      <c r="T160" s="54" t="str">
        <f>_xlfn.TEXTJOIN(" ",TRUE,Migrationsartikel!O159)</f>
        <v>della regione</v>
      </c>
      <c r="U160" s="54" t="str">
        <f>_xlfn.TEXTJOIN(" ",TRUE,Migrationsartikel!H159)</f>
        <v>75cl</v>
      </c>
      <c r="V160" s="54" t="str">
        <f>_xlfn.TEXTJOIN(" ",TRUE,Migrationsartikel!L159)</f>
        <v>75cl</v>
      </c>
      <c r="W160" s="54" t="str">
        <f>_xlfn.TEXTJOIN(" ",TRUE,Migrationsartikel!P159)</f>
        <v>75cl</v>
      </c>
      <c r="X160" s="54" t="str">
        <f>Migrationsartikel!I159</f>
        <v>Sirup 75cl</v>
      </c>
      <c r="Y160" s="54" t="str">
        <f>Migrationsartikel!M159</f>
        <v>Sirop 75cl</v>
      </c>
      <c r="Z160" s="54" t="str">
        <f>Migrationsartikel!Q159</f>
        <v>Sciroppo 75cl</v>
      </c>
      <c r="AA160" s="63">
        <f>Migrationsartikel!R159</f>
        <v>0.75</v>
      </c>
      <c r="AB160" s="54" t="str">
        <f>Migrationsartikel!T159</f>
        <v>Liter</v>
      </c>
      <c r="AC160" s="65">
        <f>Migrationsartikel!S159</f>
        <v>1</v>
      </c>
      <c r="AD160" s="54" t="str">
        <f>Migrationsartikel!U159</f>
        <v>(PCE) Stück</v>
      </c>
      <c r="AE160" s="55" t="s">
        <v>179</v>
      </c>
      <c r="AF160" s="67">
        <f>Migrationsartikel!AA159</f>
        <v>0</v>
      </c>
      <c r="AG160" s="55" t="s">
        <v>192</v>
      </c>
      <c r="AH160" s="54" t="str">
        <f>IF(Migrationsartikel!AB159="ja","true",FALSE)</f>
        <v>true</v>
      </c>
      <c r="AI160" s="54" t="str">
        <f>IF(Migrationsartikel!AC159="ja","true",FALSE)</f>
        <v>true</v>
      </c>
      <c r="AJ160" s="54" t="str">
        <f>IF(Migrationsartikel!AD159="ja","true",FALSE)</f>
        <v>true</v>
      </c>
      <c r="AK160" s="54" t="str">
        <f>IF(Migrationsartikel!AE159="ja","true",FALSE)</f>
        <v>true</v>
      </c>
      <c r="AL160" s="54" t="str">
        <f>IF(Migrationsartikel!AF159="ja","Denner Partner","")</f>
        <v/>
      </c>
      <c r="AM160" s="54" t="str">
        <f>IF(Migrationsartikel!AG159="ja","true","false")</f>
        <v>false</v>
      </c>
      <c r="AN160" s="54" t="str">
        <f t="shared" si="3"/>
        <v>Kassentastenbelegung (ohne GTIN/PLU)</v>
      </c>
      <c r="AO160" s="66" t="s">
        <v>219</v>
      </c>
      <c r="AP160" s="65" t="s">
        <v>1593</v>
      </c>
      <c r="AQ160" s="66" t="s">
        <v>217</v>
      </c>
      <c r="AR160" s="30" t="s">
        <v>219</v>
      </c>
    </row>
    <row r="161" spans="2:44" ht="21.75" customHeight="1" x14ac:dyDescent="0.45">
      <c r="B161" s="54" t="s">
        <v>99</v>
      </c>
      <c r="E161" s="55" t="s">
        <v>87</v>
      </c>
      <c r="F161" s="54" t="str">
        <f>"Warengruppe&gt;&gt;"&amp;_xlfn.TEXTJOIN("&gt;&gt;",TRUE,Migrationsartikel!V160:X160)</f>
        <v>Warengruppe&gt;&gt;Getränke&gt;&gt;Tafelgetränke&gt;&gt;Tafelgetränke</v>
      </c>
      <c r="H161" s="55" t="s">
        <v>109</v>
      </c>
      <c r="J161" s="79">
        <f>Migrationsartikel!B160</f>
        <v>0</v>
      </c>
      <c r="L161" s="54" t="str">
        <f>_xlfn.TEXTJOIN(" ",TRUE,Migrationsartikel!F160:H160)</f>
        <v>Sirup aus der Region 1l</v>
      </c>
      <c r="M161" s="54" t="str">
        <f>_xlfn.TEXTJOIN(" ",TRUE,Migrationsartikel!J160:L160)</f>
        <v>Sirop de la région 1l</v>
      </c>
      <c r="N161" s="54" t="str">
        <f>_xlfn.TEXTJOIN(" ",TRUE,Migrationsartikel!N160:P160)</f>
        <v>Sciroppo della regione 1l</v>
      </c>
      <c r="O161" s="54" t="str">
        <f>Migrationsartikel!F160</f>
        <v>Sirup</v>
      </c>
      <c r="P161" s="54" t="str">
        <f>Migrationsartikel!J160</f>
        <v>Sirop</v>
      </c>
      <c r="Q161" s="54" t="str">
        <f>Migrationsartikel!N160</f>
        <v>Sciroppo</v>
      </c>
      <c r="R161" s="54" t="str">
        <f>_xlfn.TEXTJOIN(" ",TRUE,Migrationsartikel!G160)</f>
        <v>aus der Region</v>
      </c>
      <c r="S161" s="54" t="str">
        <f>_xlfn.TEXTJOIN(" ",TRUE,Migrationsartikel!K160)</f>
        <v>de la région</v>
      </c>
      <c r="T161" s="54" t="str">
        <f>_xlfn.TEXTJOIN(" ",TRUE,Migrationsartikel!O160)</f>
        <v>della regione</v>
      </c>
      <c r="U161" s="54" t="str">
        <f>_xlfn.TEXTJOIN(" ",TRUE,Migrationsartikel!H160)</f>
        <v>1l</v>
      </c>
      <c r="V161" s="54" t="str">
        <f>_xlfn.TEXTJOIN(" ",TRUE,Migrationsartikel!L160)</f>
        <v>1l</v>
      </c>
      <c r="W161" s="54" t="str">
        <f>_xlfn.TEXTJOIN(" ",TRUE,Migrationsartikel!P160)</f>
        <v>1l</v>
      </c>
      <c r="X161" s="54" t="str">
        <f>Migrationsartikel!I160</f>
        <v>Sirup 1l</v>
      </c>
      <c r="Y161" s="54" t="str">
        <f>Migrationsartikel!M160</f>
        <v>Sirop 1l</v>
      </c>
      <c r="Z161" s="54" t="str">
        <f>Migrationsartikel!Q160</f>
        <v>Sciroppo 1l</v>
      </c>
      <c r="AA161" s="63">
        <f>Migrationsartikel!R160</f>
        <v>1</v>
      </c>
      <c r="AB161" s="54" t="str">
        <f>Migrationsartikel!T160</f>
        <v>Liter</v>
      </c>
      <c r="AC161" s="65">
        <f>Migrationsartikel!S160</f>
        <v>1</v>
      </c>
      <c r="AD161" s="54" t="str">
        <f>Migrationsartikel!U160</f>
        <v>(PCE) Stück</v>
      </c>
      <c r="AE161" s="55" t="s">
        <v>179</v>
      </c>
      <c r="AF161" s="67">
        <f>Migrationsartikel!AA160</f>
        <v>0</v>
      </c>
      <c r="AG161" s="55" t="s">
        <v>192</v>
      </c>
      <c r="AH161" s="54" t="str">
        <f>IF(Migrationsartikel!AB160="ja","true",FALSE)</f>
        <v>true</v>
      </c>
      <c r="AI161" s="54" t="str">
        <f>IF(Migrationsartikel!AC160="ja","true",FALSE)</f>
        <v>true</v>
      </c>
      <c r="AJ161" s="54" t="str">
        <f>IF(Migrationsartikel!AD160="ja","true",FALSE)</f>
        <v>true</v>
      </c>
      <c r="AK161" s="54" t="str">
        <f>IF(Migrationsartikel!AE160="ja","true",FALSE)</f>
        <v>true</v>
      </c>
      <c r="AL161" s="54" t="str">
        <f>IF(Migrationsartikel!AF160="ja","Denner Partner","")</f>
        <v/>
      </c>
      <c r="AM161" s="54" t="str">
        <f>IF(Migrationsartikel!AG160="ja","true","false")</f>
        <v>false</v>
      </c>
      <c r="AN161" s="54" t="str">
        <f t="shared" si="3"/>
        <v>Kassentastenbelegung (ohne GTIN/PLU)</v>
      </c>
      <c r="AO161" s="66" t="s">
        <v>219</v>
      </c>
      <c r="AP161" s="65" t="s">
        <v>1594</v>
      </c>
      <c r="AQ161" s="66" t="s">
        <v>217</v>
      </c>
      <c r="AR161" s="30" t="s">
        <v>219</v>
      </c>
    </row>
    <row r="162" spans="2:44" ht="21.75" customHeight="1" x14ac:dyDescent="0.45">
      <c r="B162" s="54" t="s">
        <v>99</v>
      </c>
      <c r="E162" s="55" t="s">
        <v>87</v>
      </c>
      <c r="F162" s="54" t="str">
        <f>"Warengruppe&gt;&gt;"&amp;_xlfn.TEXTJOIN("&gt;&gt;",TRUE,Migrationsartikel!V161:X161)</f>
        <v>Warengruppe&gt;&gt;Getränke&gt;&gt;Tafelgetränke&gt;&gt;Tafelgetränke</v>
      </c>
      <c r="H162" s="55" t="s">
        <v>109</v>
      </c>
      <c r="J162" s="79">
        <f>Migrationsartikel!B161</f>
        <v>0</v>
      </c>
      <c r="L162" s="54" t="str">
        <f>_xlfn.TEXTJOIN(" ",TRUE,Migrationsartikel!F161:H161)</f>
        <v>Apfelshorle aus der Region 33cl</v>
      </c>
      <c r="M162" s="54" t="str">
        <f>_xlfn.TEXTJOIN(" ",TRUE,Migrationsartikel!J161:L161)</f>
        <v>Jus de pomme pétillant de la région 33cl</v>
      </c>
      <c r="N162" s="54" t="str">
        <f>_xlfn.TEXTJOIN(" ",TRUE,Migrationsartikel!N161:P161)</f>
        <v>Succo di mela gassato della regione 33cl</v>
      </c>
      <c r="O162" s="54" t="str">
        <f>Migrationsartikel!F161</f>
        <v>Apfelshorle</v>
      </c>
      <c r="P162" s="54" t="str">
        <f>Migrationsartikel!J161</f>
        <v>Jus de pomme pétillant</v>
      </c>
      <c r="Q162" s="54" t="str">
        <f>Migrationsartikel!N161</f>
        <v>Succo di mela gassato</v>
      </c>
      <c r="R162" s="54" t="str">
        <f>_xlfn.TEXTJOIN(" ",TRUE,Migrationsartikel!G161)</f>
        <v>aus der Region</v>
      </c>
      <c r="S162" s="54" t="str">
        <f>_xlfn.TEXTJOIN(" ",TRUE,Migrationsartikel!K161)</f>
        <v>de la région</v>
      </c>
      <c r="T162" s="54" t="str">
        <f>_xlfn.TEXTJOIN(" ",TRUE,Migrationsartikel!O161)</f>
        <v>della regione</v>
      </c>
      <c r="U162" s="54" t="str">
        <f>_xlfn.TEXTJOIN(" ",TRUE,Migrationsartikel!H161)</f>
        <v>33cl</v>
      </c>
      <c r="V162" s="54" t="str">
        <f>_xlfn.TEXTJOIN(" ",TRUE,Migrationsartikel!L161)</f>
        <v>33cl</v>
      </c>
      <c r="W162" s="54" t="str">
        <f>_xlfn.TEXTJOIN(" ",TRUE,Migrationsartikel!P161)</f>
        <v>33cl</v>
      </c>
      <c r="X162" s="54" t="str">
        <f>Migrationsartikel!I161</f>
        <v>Apfelshorle</v>
      </c>
      <c r="Y162" s="54" t="str">
        <f>Migrationsartikel!M161</f>
        <v>Jus de pomme pétillant 33cl</v>
      </c>
      <c r="Z162" s="54" t="str">
        <f>Migrationsartikel!Q161</f>
        <v>Succo di mela gas. 33cl</v>
      </c>
      <c r="AA162" s="63">
        <f>Migrationsartikel!R161</f>
        <v>0.33</v>
      </c>
      <c r="AB162" s="54" t="str">
        <f>Migrationsartikel!T161</f>
        <v>Liter</v>
      </c>
      <c r="AC162" s="65">
        <f>Migrationsartikel!S161</f>
        <v>1</v>
      </c>
      <c r="AD162" s="54" t="str">
        <f>Migrationsartikel!U161</f>
        <v>(PCE) Stück</v>
      </c>
      <c r="AE162" s="55" t="s">
        <v>179</v>
      </c>
      <c r="AF162" s="67">
        <f>Migrationsartikel!AA161</f>
        <v>0</v>
      </c>
      <c r="AG162" s="55" t="s">
        <v>192</v>
      </c>
      <c r="AH162" s="54" t="str">
        <f>IF(Migrationsartikel!AB161="ja","true",FALSE)</f>
        <v>true</v>
      </c>
      <c r="AI162" s="54" t="str">
        <f>IF(Migrationsartikel!AC161="ja","true",FALSE)</f>
        <v>true</v>
      </c>
      <c r="AJ162" s="54" t="str">
        <f>IF(Migrationsartikel!AD161="ja","true",FALSE)</f>
        <v>true</v>
      </c>
      <c r="AK162" s="54" t="str">
        <f>IF(Migrationsartikel!AE161="ja","true",FALSE)</f>
        <v>true</v>
      </c>
      <c r="AL162" s="54" t="str">
        <f>IF(Migrationsartikel!AF161="ja","Denner Partner","")</f>
        <v/>
      </c>
      <c r="AM162" s="54" t="str">
        <f>IF(Migrationsartikel!AG161="ja","true","false")</f>
        <v>false</v>
      </c>
      <c r="AN162" s="54" t="str">
        <f t="shared" si="3"/>
        <v>Kassentastenbelegung (ohne GTIN/PLU)</v>
      </c>
      <c r="AO162" s="66" t="s">
        <v>219</v>
      </c>
      <c r="AP162" s="65" t="s">
        <v>1595</v>
      </c>
      <c r="AQ162" s="66" t="s">
        <v>217</v>
      </c>
      <c r="AR162" s="30" t="s">
        <v>219</v>
      </c>
    </row>
    <row r="163" spans="2:44" ht="21.75" customHeight="1" x14ac:dyDescent="0.45">
      <c r="B163" s="54" t="s">
        <v>99</v>
      </c>
      <c r="E163" s="55" t="s">
        <v>87</v>
      </c>
      <c r="F163" s="54" t="str">
        <f>"Warengruppe&gt;&gt;"&amp;_xlfn.TEXTJOIN("&gt;&gt;",TRUE,Migrationsartikel!V162:X162)</f>
        <v>Warengruppe&gt;&gt;Getränke&gt;&gt;Tafelgetränke&gt;&gt;Tafelgetränke</v>
      </c>
      <c r="H163" s="55" t="s">
        <v>109</v>
      </c>
      <c r="J163" s="79">
        <f>Migrationsartikel!B162</f>
        <v>0</v>
      </c>
      <c r="L163" s="54" t="str">
        <f>_xlfn.TEXTJOIN(" ",TRUE,Migrationsartikel!F162:H162)</f>
        <v>Apfelshorle aus der Region 50cl</v>
      </c>
      <c r="M163" s="54" t="str">
        <f>_xlfn.TEXTJOIN(" ",TRUE,Migrationsartikel!J162:L162)</f>
        <v>Jus de pomme pétillant de la région 50cl</v>
      </c>
      <c r="N163" s="54" t="str">
        <f>_xlfn.TEXTJOIN(" ",TRUE,Migrationsartikel!N162:P162)</f>
        <v>Succo di mela gassato della regione 50cl</v>
      </c>
      <c r="O163" s="54" t="str">
        <f>Migrationsartikel!F162</f>
        <v>Apfelshorle</v>
      </c>
      <c r="P163" s="54" t="str">
        <f>Migrationsartikel!J162</f>
        <v>Jus de pomme pétillant</v>
      </c>
      <c r="Q163" s="54" t="str">
        <f>Migrationsartikel!N162</f>
        <v>Succo di mela gassato</v>
      </c>
      <c r="R163" s="54" t="str">
        <f>_xlfn.TEXTJOIN(" ",TRUE,Migrationsartikel!G162)</f>
        <v>aus der Region</v>
      </c>
      <c r="S163" s="54" t="str">
        <f>_xlfn.TEXTJOIN(" ",TRUE,Migrationsartikel!K162)</f>
        <v>de la région</v>
      </c>
      <c r="T163" s="54" t="str">
        <f>_xlfn.TEXTJOIN(" ",TRUE,Migrationsartikel!O162)</f>
        <v>della regione</v>
      </c>
      <c r="U163" s="54" t="str">
        <f>_xlfn.TEXTJOIN(" ",TRUE,Migrationsartikel!H162)</f>
        <v>50cl</v>
      </c>
      <c r="V163" s="54" t="str">
        <f>_xlfn.TEXTJOIN(" ",TRUE,Migrationsartikel!L162)</f>
        <v>50cl</v>
      </c>
      <c r="W163" s="54" t="str">
        <f>_xlfn.TEXTJOIN(" ",TRUE,Migrationsartikel!P162)</f>
        <v>50cl</v>
      </c>
      <c r="X163" s="54" t="str">
        <f>Migrationsartikel!I162</f>
        <v>Apfelshorle</v>
      </c>
      <c r="Y163" s="54" t="str">
        <f>Migrationsartikel!M162</f>
        <v>Jus de pomme pétillant 50cl</v>
      </c>
      <c r="Z163" s="54" t="str">
        <f>Migrationsartikel!Q162</f>
        <v>Succo di mela gas. 50cl</v>
      </c>
      <c r="AA163" s="63">
        <f>Migrationsartikel!R162</f>
        <v>0.5</v>
      </c>
      <c r="AB163" s="54" t="str">
        <f>Migrationsartikel!T162</f>
        <v>Liter</v>
      </c>
      <c r="AC163" s="65">
        <f>Migrationsartikel!S162</f>
        <v>1</v>
      </c>
      <c r="AD163" s="54" t="str">
        <f>Migrationsartikel!U162</f>
        <v>(PCE) Stück</v>
      </c>
      <c r="AE163" s="55" t="s">
        <v>179</v>
      </c>
      <c r="AF163" s="67">
        <f>Migrationsartikel!AA162</f>
        <v>0</v>
      </c>
      <c r="AG163" s="55" t="s">
        <v>192</v>
      </c>
      <c r="AH163" s="54" t="str">
        <f>IF(Migrationsartikel!AB162="ja","true",FALSE)</f>
        <v>true</v>
      </c>
      <c r="AI163" s="54" t="str">
        <f>IF(Migrationsartikel!AC162="ja","true",FALSE)</f>
        <v>true</v>
      </c>
      <c r="AJ163" s="54" t="str">
        <f>IF(Migrationsartikel!AD162="ja","true",FALSE)</f>
        <v>true</v>
      </c>
      <c r="AK163" s="54" t="str">
        <f>IF(Migrationsartikel!AE162="ja","true",FALSE)</f>
        <v>true</v>
      </c>
      <c r="AL163" s="54" t="str">
        <f>IF(Migrationsartikel!AF162="ja","Denner Partner","")</f>
        <v/>
      </c>
      <c r="AM163" s="54" t="str">
        <f>IF(Migrationsartikel!AG162="ja","true","false")</f>
        <v>false</v>
      </c>
      <c r="AN163" s="54" t="str">
        <f t="shared" si="3"/>
        <v>Kassentastenbelegung (ohne GTIN/PLU)</v>
      </c>
      <c r="AO163" s="66" t="s">
        <v>219</v>
      </c>
      <c r="AP163" s="65" t="s">
        <v>1596</v>
      </c>
      <c r="AQ163" s="66" t="s">
        <v>217</v>
      </c>
      <c r="AR163" s="30" t="s">
        <v>219</v>
      </c>
    </row>
    <row r="164" spans="2:44" ht="21.75" customHeight="1" x14ac:dyDescent="0.45">
      <c r="B164" s="54" t="s">
        <v>99</v>
      </c>
      <c r="E164" s="55" t="s">
        <v>87</v>
      </c>
      <c r="F164" s="54" t="str">
        <f>"Warengruppe&gt;&gt;"&amp;_xlfn.TEXTJOIN("&gt;&gt;",TRUE,Migrationsartikel!V163:X163)</f>
        <v>Warengruppe&gt;&gt;Getränke&gt;&gt;Tafelgetränke&gt;&gt;Tafelgetränke</v>
      </c>
      <c r="H164" s="55" t="s">
        <v>109</v>
      </c>
      <c r="J164" s="79">
        <f>Migrationsartikel!B163</f>
        <v>0</v>
      </c>
      <c r="L164" s="54" t="str">
        <f>_xlfn.TEXTJOIN(" ",TRUE,Migrationsartikel!F163:H163)</f>
        <v>Apfelshorle aus der Region 1l</v>
      </c>
      <c r="M164" s="54" t="str">
        <f>_xlfn.TEXTJOIN(" ",TRUE,Migrationsartikel!J163:L163)</f>
        <v>Jus de pomme pétillant de la région 1l</v>
      </c>
      <c r="N164" s="54" t="str">
        <f>_xlfn.TEXTJOIN(" ",TRUE,Migrationsartikel!N163:P163)</f>
        <v>Succo di mela gassato della regione 1l</v>
      </c>
      <c r="O164" s="54" t="str">
        <f>Migrationsartikel!F163</f>
        <v>Apfelshorle</v>
      </c>
      <c r="P164" s="54" t="str">
        <f>Migrationsartikel!J163</f>
        <v>Jus de pomme pétillant</v>
      </c>
      <c r="Q164" s="54" t="str">
        <f>Migrationsartikel!N163</f>
        <v>Succo di mela gassato</v>
      </c>
      <c r="R164" s="54" t="str">
        <f>_xlfn.TEXTJOIN(" ",TRUE,Migrationsartikel!G163)</f>
        <v>aus der Region</v>
      </c>
      <c r="S164" s="54" t="str">
        <f>_xlfn.TEXTJOIN(" ",TRUE,Migrationsartikel!K163)</f>
        <v>de la région</v>
      </c>
      <c r="T164" s="54" t="str">
        <f>_xlfn.TEXTJOIN(" ",TRUE,Migrationsartikel!O163)</f>
        <v>della regione</v>
      </c>
      <c r="U164" s="54" t="str">
        <f>_xlfn.TEXTJOIN(" ",TRUE,Migrationsartikel!H163)</f>
        <v>1l</v>
      </c>
      <c r="V164" s="54" t="str">
        <f>_xlfn.TEXTJOIN(" ",TRUE,Migrationsartikel!L163)</f>
        <v>1l</v>
      </c>
      <c r="W164" s="54" t="str">
        <f>_xlfn.TEXTJOIN(" ",TRUE,Migrationsartikel!P163)</f>
        <v>1l</v>
      </c>
      <c r="X164" s="54" t="str">
        <f>Migrationsartikel!I163</f>
        <v>Apfelshorle</v>
      </c>
      <c r="Y164" s="54" t="str">
        <f>Migrationsartikel!M163</f>
        <v>Jus de pomme pétillant 1l</v>
      </c>
      <c r="Z164" s="54" t="str">
        <f>Migrationsartikel!Q163</f>
        <v>Succo di mela gas. 1l</v>
      </c>
      <c r="AA164" s="63">
        <f>Migrationsartikel!R163</f>
        <v>1</v>
      </c>
      <c r="AB164" s="54" t="str">
        <f>Migrationsartikel!T163</f>
        <v>Liter</v>
      </c>
      <c r="AC164" s="65">
        <f>Migrationsartikel!S163</f>
        <v>1</v>
      </c>
      <c r="AD164" s="54" t="str">
        <f>Migrationsartikel!U163</f>
        <v>(PCE) Stück</v>
      </c>
      <c r="AE164" s="55" t="s">
        <v>179</v>
      </c>
      <c r="AF164" s="67">
        <f>Migrationsartikel!AA163</f>
        <v>0</v>
      </c>
      <c r="AG164" s="55" t="s">
        <v>192</v>
      </c>
      <c r="AH164" s="54" t="str">
        <f>IF(Migrationsartikel!AB163="ja","true",FALSE)</f>
        <v>true</v>
      </c>
      <c r="AI164" s="54" t="str">
        <f>IF(Migrationsartikel!AC163="ja","true",FALSE)</f>
        <v>true</v>
      </c>
      <c r="AJ164" s="54" t="str">
        <f>IF(Migrationsartikel!AD163="ja","true",FALSE)</f>
        <v>true</v>
      </c>
      <c r="AK164" s="54" t="str">
        <f>IF(Migrationsartikel!AE163="ja","true",FALSE)</f>
        <v>true</v>
      </c>
      <c r="AL164" s="54" t="str">
        <f>IF(Migrationsartikel!AF163="ja","Denner Partner","")</f>
        <v/>
      </c>
      <c r="AM164" s="54" t="str">
        <f>IF(Migrationsartikel!AG163="ja","true","false")</f>
        <v>false</v>
      </c>
      <c r="AN164" s="54" t="str">
        <f t="shared" si="3"/>
        <v>Kassentastenbelegung (ohne GTIN/PLU)</v>
      </c>
      <c r="AO164" s="66" t="s">
        <v>219</v>
      </c>
      <c r="AP164" s="65" t="s">
        <v>1597</v>
      </c>
      <c r="AQ164" s="66" t="s">
        <v>217</v>
      </c>
      <c r="AR164" s="30" t="s">
        <v>219</v>
      </c>
    </row>
    <row r="165" spans="2:44" ht="21.75" customHeight="1" x14ac:dyDescent="0.45">
      <c r="B165" s="54" t="s">
        <v>99</v>
      </c>
      <c r="E165" s="55" t="s">
        <v>87</v>
      </c>
      <c r="F165" s="54" t="str">
        <f>"Warengruppe&gt;&gt;"&amp;_xlfn.TEXTJOIN("&gt;&gt;",TRUE,Migrationsartikel!V164:X164)</f>
        <v>Warengruppe&gt;&gt;Getränke&gt;&gt;Tafelgetränke&gt;&gt;Tafelgetränke</v>
      </c>
      <c r="H165" s="55" t="s">
        <v>109</v>
      </c>
      <c r="J165" s="79">
        <f>Migrationsartikel!B164</f>
        <v>0</v>
      </c>
      <c r="L165" s="54" t="str">
        <f>_xlfn.TEXTJOIN(" ",TRUE,Migrationsartikel!F164:H164)</f>
        <v>Apfelshorle aus der Region 1.5l</v>
      </c>
      <c r="M165" s="54" t="str">
        <f>_xlfn.TEXTJOIN(" ",TRUE,Migrationsartikel!J164:L164)</f>
        <v>Jus de pomme pétillant de la région 1.5l</v>
      </c>
      <c r="N165" s="54" t="str">
        <f>_xlfn.TEXTJOIN(" ",TRUE,Migrationsartikel!N164:P164)</f>
        <v>Succo di mela gassato della regione 1.5l</v>
      </c>
      <c r="O165" s="54" t="str">
        <f>Migrationsartikel!F164</f>
        <v>Apfelshorle</v>
      </c>
      <c r="P165" s="54" t="str">
        <f>Migrationsartikel!J164</f>
        <v>Jus de pomme pétillant</v>
      </c>
      <c r="Q165" s="54" t="str">
        <f>Migrationsartikel!N164</f>
        <v>Succo di mela gassato</v>
      </c>
      <c r="R165" s="54" t="str">
        <f>_xlfn.TEXTJOIN(" ",TRUE,Migrationsartikel!G164)</f>
        <v>aus der Region</v>
      </c>
      <c r="S165" s="54" t="str">
        <f>_xlfn.TEXTJOIN(" ",TRUE,Migrationsartikel!K164)</f>
        <v>de la région</v>
      </c>
      <c r="T165" s="54" t="str">
        <f>_xlfn.TEXTJOIN(" ",TRUE,Migrationsartikel!O164)</f>
        <v>della regione</v>
      </c>
      <c r="U165" s="54" t="str">
        <f>_xlfn.TEXTJOIN(" ",TRUE,Migrationsartikel!H164)</f>
        <v>1.5l</v>
      </c>
      <c r="V165" s="54" t="str">
        <f>_xlfn.TEXTJOIN(" ",TRUE,Migrationsartikel!L164)</f>
        <v>1.5l</v>
      </c>
      <c r="W165" s="54" t="str">
        <f>_xlfn.TEXTJOIN(" ",TRUE,Migrationsartikel!P164)</f>
        <v>1.5l</v>
      </c>
      <c r="X165" s="54" t="str">
        <f>Migrationsartikel!I164</f>
        <v>Apfelshorle</v>
      </c>
      <c r="Y165" s="54" t="str">
        <f>Migrationsartikel!M164</f>
        <v>Jus de pomme pétillant 1.5l</v>
      </c>
      <c r="Z165" s="54" t="str">
        <f>Migrationsartikel!Q164</f>
        <v>Succo di mela gas. 1.5l</v>
      </c>
      <c r="AA165" s="63">
        <f>Migrationsartikel!R164</f>
        <v>1.5</v>
      </c>
      <c r="AB165" s="54" t="str">
        <f>Migrationsartikel!T164</f>
        <v>Liter</v>
      </c>
      <c r="AC165" s="65">
        <f>Migrationsartikel!S164</f>
        <v>1</v>
      </c>
      <c r="AD165" s="54" t="str">
        <f>Migrationsartikel!U164</f>
        <v>(PCE) Stück</v>
      </c>
      <c r="AE165" s="55" t="s">
        <v>179</v>
      </c>
      <c r="AF165" s="67">
        <f>Migrationsartikel!AA164</f>
        <v>0</v>
      </c>
      <c r="AG165" s="55" t="s">
        <v>192</v>
      </c>
      <c r="AH165" s="54" t="str">
        <f>IF(Migrationsartikel!AB164="ja","true",FALSE)</f>
        <v>true</v>
      </c>
      <c r="AI165" s="54" t="str">
        <f>IF(Migrationsartikel!AC164="ja","true",FALSE)</f>
        <v>true</v>
      </c>
      <c r="AJ165" s="54" t="str">
        <f>IF(Migrationsartikel!AD164="ja","true",FALSE)</f>
        <v>true</v>
      </c>
      <c r="AK165" s="54" t="str">
        <f>IF(Migrationsartikel!AE164="ja","true",FALSE)</f>
        <v>true</v>
      </c>
      <c r="AL165" s="54" t="str">
        <f>IF(Migrationsartikel!AF164="ja","Denner Partner","")</f>
        <v/>
      </c>
      <c r="AM165" s="54" t="str">
        <f>IF(Migrationsartikel!AG164="ja","true","false")</f>
        <v>false</v>
      </c>
      <c r="AN165" s="54" t="str">
        <f t="shared" si="3"/>
        <v>Kassentastenbelegung (ohne GTIN/PLU)</v>
      </c>
      <c r="AO165" s="66" t="s">
        <v>219</v>
      </c>
      <c r="AP165" s="65" t="s">
        <v>1598</v>
      </c>
      <c r="AQ165" s="66" t="s">
        <v>217</v>
      </c>
      <c r="AR165" s="30" t="s">
        <v>219</v>
      </c>
    </row>
    <row r="166" spans="2:44" ht="21.75" customHeight="1" x14ac:dyDescent="0.45">
      <c r="B166" s="54" t="s">
        <v>99</v>
      </c>
      <c r="E166" s="55" t="s">
        <v>87</v>
      </c>
      <c r="F166" s="54" t="str">
        <f>"Warengruppe&gt;&gt;"&amp;_xlfn.TEXTJOIN("&gt;&gt;",TRUE,Migrationsartikel!V165:X165)</f>
        <v>Warengruppe&gt;&gt;Getränke&gt;&gt;Kaffee und Tee&gt;&gt;Tee</v>
      </c>
      <c r="H166" s="55" t="s">
        <v>109</v>
      </c>
      <c r="J166" s="79">
        <f>Migrationsartikel!B165</f>
        <v>0</v>
      </c>
      <c r="L166" s="54" t="str">
        <f>_xlfn.TEXTJOIN(" ",TRUE,Migrationsartikel!F165:H165)</f>
        <v>Tee aus der Region 1Stk</v>
      </c>
      <c r="M166" s="54" t="str">
        <f>_xlfn.TEXTJOIN(" ",TRUE,Migrationsartikel!J165:L165)</f>
        <v>Thé de la région 1pce</v>
      </c>
      <c r="N166" s="54" t="str">
        <f>_xlfn.TEXTJOIN(" ",TRUE,Migrationsartikel!N165:P165)</f>
        <v>Tè della regione 1pz</v>
      </c>
      <c r="O166" s="54" t="str">
        <f>Migrationsartikel!F165</f>
        <v>Tee</v>
      </c>
      <c r="P166" s="54" t="str">
        <f>Migrationsartikel!J165</f>
        <v>Thé</v>
      </c>
      <c r="Q166" s="54" t="str">
        <f>Migrationsartikel!N165</f>
        <v>Tè</v>
      </c>
      <c r="R166" s="54" t="str">
        <f>_xlfn.TEXTJOIN(" ",TRUE,Migrationsartikel!G165)</f>
        <v>aus der Region</v>
      </c>
      <c r="S166" s="54" t="str">
        <f>_xlfn.TEXTJOIN(" ",TRUE,Migrationsartikel!K165)</f>
        <v>de la région</v>
      </c>
      <c r="T166" s="54" t="str">
        <f>_xlfn.TEXTJOIN(" ",TRUE,Migrationsartikel!O165)</f>
        <v>della regione</v>
      </c>
      <c r="U166" s="54" t="str">
        <f>_xlfn.TEXTJOIN(" ",TRUE,Migrationsartikel!H165)</f>
        <v>1Stk</v>
      </c>
      <c r="V166" s="54" t="str">
        <f>_xlfn.TEXTJOIN(" ",TRUE,Migrationsartikel!L165)</f>
        <v>1pce</v>
      </c>
      <c r="W166" s="54" t="str">
        <f>_xlfn.TEXTJOIN(" ",TRUE,Migrationsartikel!P165)</f>
        <v>1pz</v>
      </c>
      <c r="X166" s="54" t="str">
        <f>Migrationsartikel!I165</f>
        <v>Tee</v>
      </c>
      <c r="Y166" s="54" t="str">
        <f>Migrationsartikel!M165</f>
        <v>Thé</v>
      </c>
      <c r="Z166" s="54" t="str">
        <f>Migrationsartikel!Q165</f>
        <v>Tè</v>
      </c>
      <c r="AA166" s="63">
        <f>Migrationsartikel!R165</f>
        <v>1</v>
      </c>
      <c r="AB166" s="54" t="str">
        <f>Migrationsartikel!T165</f>
        <v>Stück</v>
      </c>
      <c r="AC166" s="65">
        <f>Migrationsartikel!S165</f>
        <v>1</v>
      </c>
      <c r="AD166" s="54" t="str">
        <f>Migrationsartikel!U165</f>
        <v>(PCE) Stück</v>
      </c>
      <c r="AE166" s="55" t="s">
        <v>179</v>
      </c>
      <c r="AF166" s="67">
        <f>Migrationsartikel!AA165</f>
        <v>0</v>
      </c>
      <c r="AG166" s="55" t="s">
        <v>192</v>
      </c>
      <c r="AH166" s="54" t="str">
        <f>IF(Migrationsartikel!AB165="ja","true",FALSE)</f>
        <v>true</v>
      </c>
      <c r="AI166" s="54" t="str">
        <f>IF(Migrationsartikel!AC165="ja","true",FALSE)</f>
        <v>true</v>
      </c>
      <c r="AJ166" s="54" t="str">
        <f>IF(Migrationsartikel!AD165="ja","true",FALSE)</f>
        <v>true</v>
      </c>
      <c r="AK166" s="54" t="str">
        <f>IF(Migrationsartikel!AE165="ja","true",FALSE)</f>
        <v>true</v>
      </c>
      <c r="AL166" s="54" t="str">
        <f>IF(Migrationsartikel!AF165="ja","Denner Partner","")</f>
        <v/>
      </c>
      <c r="AM166" s="54" t="str">
        <f>IF(Migrationsartikel!AG165="ja","true","false")</f>
        <v>false</v>
      </c>
      <c r="AN166" s="54" t="str">
        <f t="shared" si="3"/>
        <v>Kassentastenbelegung (ohne GTIN/PLU)</v>
      </c>
      <c r="AO166" s="66" t="s">
        <v>219</v>
      </c>
      <c r="AP166" s="65" t="s">
        <v>1599</v>
      </c>
      <c r="AQ166" s="66" t="s">
        <v>217</v>
      </c>
      <c r="AR166" s="30" t="s">
        <v>219</v>
      </c>
    </row>
    <row r="167" spans="2:44" ht="21.75" customHeight="1" x14ac:dyDescent="0.45">
      <c r="B167" s="54" t="s">
        <v>99</v>
      </c>
      <c r="E167" s="55" t="s">
        <v>87</v>
      </c>
      <c r="F167" s="54" t="str">
        <f>"Warengruppe&gt;&gt;"&amp;_xlfn.TEXTJOIN("&gt;&gt;",TRUE,Migrationsartikel!V166:X166)</f>
        <v>Warengruppe&gt;&gt;Near Food&gt;&gt;Gebrauchsartikel&gt;&gt;Gebührensäcke und Marken</v>
      </c>
      <c r="H167" s="55" t="s">
        <v>109</v>
      </c>
      <c r="J167" s="79">
        <f>Migrationsartikel!B166</f>
        <v>0</v>
      </c>
      <c r="L167" s="54" t="str">
        <f>_xlfn.TEXTJOIN(" ",TRUE,Migrationsartikel!F166:H166)</f>
        <v>Bündelmarke 1Stk</v>
      </c>
      <c r="M167" s="54" t="str">
        <f>_xlfn.TEXTJOIN(" ",TRUE,Migrationsartikel!J166:L166)</f>
        <v>Marque de regroupement 1pce</v>
      </c>
      <c r="N167" s="54" t="str">
        <f>_xlfn.TEXTJOIN(" ",TRUE,Migrationsartikel!N166:P166)</f>
        <v>Tagliando tarif. fasci 1pz</v>
      </c>
      <c r="O167" s="54" t="str">
        <f>Migrationsartikel!F166</f>
        <v>Bündelmarke</v>
      </c>
      <c r="P167" s="54" t="str">
        <f>Migrationsartikel!J166</f>
        <v>Marque de regroupement</v>
      </c>
      <c r="Q167" s="54" t="str">
        <f>Migrationsartikel!N166</f>
        <v>Tagliando tarif. fasci</v>
      </c>
      <c r="R167" s="54" t="str">
        <f>_xlfn.TEXTJOIN(" ",TRUE,Migrationsartikel!G166)</f>
        <v/>
      </c>
      <c r="S167" s="54" t="str">
        <f>_xlfn.TEXTJOIN(" ",TRUE,Migrationsartikel!K166)</f>
        <v/>
      </c>
      <c r="T167" s="54" t="str">
        <f>_xlfn.TEXTJOIN(" ",TRUE,Migrationsartikel!O166)</f>
        <v/>
      </c>
      <c r="U167" s="54" t="str">
        <f>_xlfn.TEXTJOIN(" ",TRUE,Migrationsartikel!H166)</f>
        <v>1Stk</v>
      </c>
      <c r="V167" s="54" t="str">
        <f>_xlfn.TEXTJOIN(" ",TRUE,Migrationsartikel!L166)</f>
        <v>1pce</v>
      </c>
      <c r="W167" s="54" t="str">
        <f>_xlfn.TEXTJOIN(" ",TRUE,Migrationsartikel!P166)</f>
        <v>1pz</v>
      </c>
      <c r="X167" s="54" t="str">
        <f>Migrationsartikel!I166</f>
        <v>Bündelmarke</v>
      </c>
      <c r="Y167" s="54" t="str">
        <f>Migrationsartikel!M166</f>
        <v>Marque de regroupement</v>
      </c>
      <c r="Z167" s="54" t="str">
        <f>Migrationsartikel!Q166</f>
        <v>Tagliando tarif. fasci</v>
      </c>
      <c r="AA167" s="63">
        <f>Migrationsartikel!R166</f>
        <v>1</v>
      </c>
      <c r="AB167" s="54" t="str">
        <f>Migrationsartikel!T166</f>
        <v>Stück</v>
      </c>
      <c r="AC167" s="65">
        <f>Migrationsartikel!S166</f>
        <v>1</v>
      </c>
      <c r="AD167" s="54" t="str">
        <f>Migrationsartikel!U166</f>
        <v>(PCE) Stück</v>
      </c>
      <c r="AE167" s="55" t="s">
        <v>179</v>
      </c>
      <c r="AF167" s="67">
        <f>Migrationsartikel!AA166</f>
        <v>0</v>
      </c>
      <c r="AG167" s="55" t="s">
        <v>192</v>
      </c>
      <c r="AH167" s="54" t="str">
        <f>IF(Migrationsartikel!AB166="ja","true",FALSE)</f>
        <v>true</v>
      </c>
      <c r="AI167" s="54" t="str">
        <f>IF(Migrationsartikel!AC166="ja","true",FALSE)</f>
        <v>true</v>
      </c>
      <c r="AJ167" s="54" t="str">
        <f>IF(Migrationsartikel!AD166="ja","true",FALSE)</f>
        <v>true</v>
      </c>
      <c r="AK167" s="54" t="str">
        <f>IF(Migrationsartikel!AE166="ja","true",FALSE)</f>
        <v>true</v>
      </c>
      <c r="AL167" s="54" t="str">
        <f>IF(Migrationsartikel!AF166="ja","Denner Partner","")</f>
        <v/>
      </c>
      <c r="AM167" s="54" t="str">
        <f>IF(Migrationsartikel!AG166="ja","true","false")</f>
        <v>false</v>
      </c>
      <c r="AN167" s="54" t="str">
        <f t="shared" si="3"/>
        <v>Kassentastenbelegung (ohne GTIN/PLU)</v>
      </c>
      <c r="AO167" s="66" t="s">
        <v>219</v>
      </c>
      <c r="AP167" s="65" t="s">
        <v>1600</v>
      </c>
      <c r="AQ167" s="66" t="s">
        <v>217</v>
      </c>
      <c r="AR167" s="30" t="s">
        <v>219</v>
      </c>
    </row>
    <row r="168" spans="2:44" ht="21.75" customHeight="1" x14ac:dyDescent="0.45">
      <c r="B168" s="54" t="s">
        <v>99</v>
      </c>
      <c r="E168" s="55" t="s">
        <v>87</v>
      </c>
      <c r="F168" s="54" t="str">
        <f>"Warengruppe&gt;&gt;"&amp;_xlfn.TEXTJOIN("&gt;&gt;",TRUE,Migrationsartikel!V167:X167)</f>
        <v>Warengruppe&gt;&gt;Near Food&gt;&gt;Gebrauchsartikel&gt;&gt;Gebührensäcke und Marken</v>
      </c>
      <c r="H168" s="55" t="s">
        <v>109</v>
      </c>
      <c r="J168" s="79">
        <f>Migrationsartikel!B167</f>
        <v>0</v>
      </c>
      <c r="L168" s="54" t="str">
        <f>_xlfn.TEXTJOIN(" ",TRUE,Migrationsartikel!F167:H167)</f>
        <v>Container Band 1Stk</v>
      </c>
      <c r="M168" s="54" t="str">
        <f>_xlfn.TEXTJOIN(" ",TRUE,Migrationsartikel!J167:L167)</f>
        <v>Bande de conteneur 1pce</v>
      </c>
      <c r="N168" s="54" t="str">
        <f>_xlfn.TEXTJOIN(" ",TRUE,Migrationsartikel!N167:P167)</f>
        <v>Fascia per contenitore 1pz</v>
      </c>
      <c r="O168" s="54" t="str">
        <f>Migrationsartikel!F167</f>
        <v>Container Band</v>
      </c>
      <c r="P168" s="54" t="str">
        <f>Migrationsartikel!J167</f>
        <v>Bande de conteneur</v>
      </c>
      <c r="Q168" s="54" t="str">
        <f>Migrationsartikel!N167</f>
        <v>Fascia per contenitore</v>
      </c>
      <c r="R168" s="54" t="str">
        <f>_xlfn.TEXTJOIN(" ",TRUE,Migrationsartikel!G167)</f>
        <v/>
      </c>
      <c r="S168" s="54" t="str">
        <f>_xlfn.TEXTJOIN(" ",TRUE,Migrationsartikel!K167)</f>
        <v/>
      </c>
      <c r="T168" s="54" t="str">
        <f>_xlfn.TEXTJOIN(" ",TRUE,Migrationsartikel!O167)</f>
        <v/>
      </c>
      <c r="U168" s="54" t="str">
        <f>_xlfn.TEXTJOIN(" ",TRUE,Migrationsartikel!H167)</f>
        <v>1Stk</v>
      </c>
      <c r="V168" s="54" t="str">
        <f>_xlfn.TEXTJOIN(" ",TRUE,Migrationsartikel!L167)</f>
        <v>1pce</v>
      </c>
      <c r="W168" s="54" t="str">
        <f>_xlfn.TEXTJOIN(" ",TRUE,Migrationsartikel!P167)</f>
        <v>1pz</v>
      </c>
      <c r="X168" s="54" t="str">
        <f>Migrationsartikel!I167</f>
        <v>Container Band 1Stk</v>
      </c>
      <c r="Y168" s="54" t="str">
        <f>Migrationsartikel!M167</f>
        <v>Bande conteneur 1pce</v>
      </c>
      <c r="Z168" s="54" t="str">
        <f>Migrationsartikel!Q167</f>
        <v>Fascia contenitore 1pz</v>
      </c>
      <c r="AA168" s="63">
        <f>Migrationsartikel!R167</f>
        <v>1</v>
      </c>
      <c r="AB168" s="54" t="str">
        <f>Migrationsartikel!T167</f>
        <v>Stück</v>
      </c>
      <c r="AC168" s="65">
        <f>Migrationsartikel!S167</f>
        <v>1</v>
      </c>
      <c r="AD168" s="54" t="str">
        <f>Migrationsartikel!U167</f>
        <v>(PCE) Stück</v>
      </c>
      <c r="AE168" s="55" t="s">
        <v>179</v>
      </c>
      <c r="AF168" s="67">
        <f>Migrationsartikel!AA167</f>
        <v>0</v>
      </c>
      <c r="AG168" s="55" t="s">
        <v>192</v>
      </c>
      <c r="AH168" s="54" t="str">
        <f>IF(Migrationsartikel!AB167="ja","true",FALSE)</f>
        <v>true</v>
      </c>
      <c r="AI168" s="54" t="str">
        <f>IF(Migrationsartikel!AC167="ja","true",FALSE)</f>
        <v>true</v>
      </c>
      <c r="AJ168" s="54" t="str">
        <f>IF(Migrationsartikel!AD167="ja","true",FALSE)</f>
        <v>true</v>
      </c>
      <c r="AK168" s="54" t="str">
        <f>IF(Migrationsartikel!AE167="ja","true",FALSE)</f>
        <v>true</v>
      </c>
      <c r="AL168" s="54" t="str">
        <f>IF(Migrationsartikel!AF167="ja","Denner Partner","")</f>
        <v/>
      </c>
      <c r="AM168" s="54" t="str">
        <f>IF(Migrationsartikel!AG167="ja","true","false")</f>
        <v>false</v>
      </c>
      <c r="AN168" s="54" t="str">
        <f t="shared" si="3"/>
        <v>Kassentastenbelegung (ohne GTIN/PLU)</v>
      </c>
      <c r="AO168" s="66" t="s">
        <v>219</v>
      </c>
      <c r="AP168" s="65" t="s">
        <v>1601</v>
      </c>
      <c r="AQ168" s="66" t="s">
        <v>217</v>
      </c>
      <c r="AR168" s="30" t="s">
        <v>219</v>
      </c>
    </row>
    <row r="169" spans="2:44" ht="21.75" customHeight="1" x14ac:dyDescent="0.45">
      <c r="B169" s="54" t="s">
        <v>99</v>
      </c>
      <c r="E169" s="55" t="s">
        <v>87</v>
      </c>
      <c r="F169" s="54" t="str">
        <f>"Warengruppe&gt;&gt;"&amp;_xlfn.TEXTJOIN("&gt;&gt;",TRUE,Migrationsartikel!V168:X168)</f>
        <v>Warengruppe&gt;&gt;Near Food&gt;&gt;Gebrauchsartikel&gt;&gt;Gebührensäcke und Marken</v>
      </c>
      <c r="H169" s="55" t="s">
        <v>109</v>
      </c>
      <c r="J169" s="79">
        <f>Migrationsartikel!B168</f>
        <v>0</v>
      </c>
      <c r="L169" s="54" t="str">
        <f>_xlfn.TEXTJOIN(" ",TRUE,Migrationsartikel!F168:H168)</f>
        <v>Container Band 240L</v>
      </c>
      <c r="M169" s="54" t="str">
        <f>_xlfn.TEXTJOIN(" ",TRUE,Migrationsartikel!J168:L168)</f>
        <v>Bande de conteneur 240l</v>
      </c>
      <c r="N169" s="54" t="str">
        <f>_xlfn.TEXTJOIN(" ",TRUE,Migrationsartikel!N168:P168)</f>
        <v>Fascia per contenitore 240l</v>
      </c>
      <c r="O169" s="54" t="str">
        <f>Migrationsartikel!F168</f>
        <v>Container Band</v>
      </c>
      <c r="P169" s="54" t="str">
        <f>Migrationsartikel!J168</f>
        <v>Bande de conteneur</v>
      </c>
      <c r="Q169" s="54" t="str">
        <f>Migrationsartikel!N168</f>
        <v>Fascia per contenitore</v>
      </c>
      <c r="R169" s="54" t="str">
        <f>_xlfn.TEXTJOIN(" ",TRUE,Migrationsartikel!G168)</f>
        <v/>
      </c>
      <c r="S169" s="54" t="str">
        <f>_xlfn.TEXTJOIN(" ",TRUE,Migrationsartikel!K168)</f>
        <v/>
      </c>
      <c r="T169" s="54" t="str">
        <f>_xlfn.TEXTJOIN(" ",TRUE,Migrationsartikel!O168)</f>
        <v/>
      </c>
      <c r="U169" s="54" t="str">
        <f>_xlfn.TEXTJOIN(" ",TRUE,Migrationsartikel!H168)</f>
        <v>240L</v>
      </c>
      <c r="V169" s="54" t="str">
        <f>_xlfn.TEXTJOIN(" ",TRUE,Migrationsartikel!L168)</f>
        <v>240l</v>
      </c>
      <c r="W169" s="54" t="str">
        <f>_xlfn.TEXTJOIN(" ",TRUE,Migrationsartikel!P168)</f>
        <v>240l</v>
      </c>
      <c r="X169" s="54" t="str">
        <f>Migrationsartikel!I168</f>
        <v>Container Band 240L</v>
      </c>
      <c r="Y169" s="54" t="str">
        <f>Migrationsartikel!M168</f>
        <v>Bande conteneur 240l</v>
      </c>
      <c r="Z169" s="54" t="str">
        <f>Migrationsartikel!Q168</f>
        <v>Fascia contenitore 240l</v>
      </c>
      <c r="AA169" s="63">
        <f>Migrationsartikel!R168</f>
        <v>1</v>
      </c>
      <c r="AB169" s="54" t="str">
        <f>Migrationsartikel!T168</f>
        <v>Stück</v>
      </c>
      <c r="AC169" s="65">
        <f>Migrationsartikel!S168</f>
        <v>1</v>
      </c>
      <c r="AD169" s="54" t="str">
        <f>Migrationsartikel!U168</f>
        <v>(PCE) Stück</v>
      </c>
      <c r="AE169" s="55" t="s">
        <v>179</v>
      </c>
      <c r="AF169" s="67">
        <f>Migrationsartikel!AA168</f>
        <v>0</v>
      </c>
      <c r="AG169" s="55" t="s">
        <v>192</v>
      </c>
      <c r="AH169" s="54" t="str">
        <f>IF(Migrationsartikel!AB168="ja","true",FALSE)</f>
        <v>true</v>
      </c>
      <c r="AI169" s="54" t="str">
        <f>IF(Migrationsartikel!AC168="ja","true",FALSE)</f>
        <v>true</v>
      </c>
      <c r="AJ169" s="54" t="str">
        <f>IF(Migrationsartikel!AD168="ja","true",FALSE)</f>
        <v>true</v>
      </c>
      <c r="AK169" s="54" t="str">
        <f>IF(Migrationsartikel!AE168="ja","true",FALSE)</f>
        <v>true</v>
      </c>
      <c r="AL169" s="54" t="str">
        <f>IF(Migrationsartikel!AF168="ja","Denner Partner","")</f>
        <v/>
      </c>
      <c r="AM169" s="54" t="str">
        <f>IF(Migrationsartikel!AG168="ja","true","false")</f>
        <v>false</v>
      </c>
      <c r="AN169" s="54" t="str">
        <f t="shared" si="3"/>
        <v>Kassentastenbelegung (ohne GTIN/PLU)</v>
      </c>
      <c r="AO169" s="66" t="s">
        <v>219</v>
      </c>
      <c r="AP169" s="65" t="s">
        <v>1602</v>
      </c>
      <c r="AQ169" s="66" t="s">
        <v>217</v>
      </c>
      <c r="AR169" s="30" t="s">
        <v>219</v>
      </c>
    </row>
    <row r="170" spans="2:44" ht="21.75" customHeight="1" x14ac:dyDescent="0.45">
      <c r="B170" s="54" t="s">
        <v>99</v>
      </c>
      <c r="E170" s="55" t="s">
        <v>87</v>
      </c>
      <c r="F170" s="54" t="str">
        <f>"Warengruppe&gt;&gt;"&amp;_xlfn.TEXTJOIN("&gt;&gt;",TRUE,Migrationsartikel!V169:X169)</f>
        <v>Warengruppe&gt;&gt;Near Food&gt;&gt;Gebrauchsartikel&gt;&gt;Gebührensäcke und Marken</v>
      </c>
      <c r="H170" s="55" t="s">
        <v>109</v>
      </c>
      <c r="J170" s="79">
        <f>Migrationsartikel!B169</f>
        <v>0</v>
      </c>
      <c r="L170" s="54" t="str">
        <f>_xlfn.TEXTJOIN(" ",TRUE,Migrationsartikel!F169:H169)</f>
        <v>Container Band 800L</v>
      </c>
      <c r="M170" s="54" t="str">
        <f>_xlfn.TEXTJOIN(" ",TRUE,Migrationsartikel!J169:L169)</f>
        <v>Bande de conteneur 800l</v>
      </c>
      <c r="N170" s="54" t="str">
        <f>_xlfn.TEXTJOIN(" ",TRUE,Migrationsartikel!N169:P169)</f>
        <v>Fascia per contenitore 800l</v>
      </c>
      <c r="O170" s="54" t="str">
        <f>Migrationsartikel!F169</f>
        <v>Container Band</v>
      </c>
      <c r="P170" s="54" t="str">
        <f>Migrationsartikel!J169</f>
        <v>Bande de conteneur</v>
      </c>
      <c r="Q170" s="54" t="str">
        <f>Migrationsartikel!N169</f>
        <v>Fascia per contenitore</v>
      </c>
      <c r="R170" s="54" t="str">
        <f>_xlfn.TEXTJOIN(" ",TRUE,Migrationsartikel!G169)</f>
        <v/>
      </c>
      <c r="S170" s="54" t="str">
        <f>_xlfn.TEXTJOIN(" ",TRUE,Migrationsartikel!K169)</f>
        <v/>
      </c>
      <c r="T170" s="54" t="str">
        <f>_xlfn.TEXTJOIN(" ",TRUE,Migrationsartikel!O169)</f>
        <v/>
      </c>
      <c r="U170" s="54" t="str">
        <f>_xlfn.TEXTJOIN(" ",TRUE,Migrationsartikel!H169)</f>
        <v>800L</v>
      </c>
      <c r="V170" s="54" t="str">
        <f>_xlfn.TEXTJOIN(" ",TRUE,Migrationsartikel!L169)</f>
        <v>800l</v>
      </c>
      <c r="W170" s="54" t="str">
        <f>_xlfn.TEXTJOIN(" ",TRUE,Migrationsartikel!P169)</f>
        <v>800l</v>
      </c>
      <c r="X170" s="54" t="str">
        <f>Migrationsartikel!I169</f>
        <v>Container Band 800L</v>
      </c>
      <c r="Y170" s="54" t="str">
        <f>Migrationsartikel!M169</f>
        <v>Bande conteneur 800l</v>
      </c>
      <c r="Z170" s="54" t="str">
        <f>Migrationsartikel!Q169</f>
        <v>Fascia contenitore 800l</v>
      </c>
      <c r="AA170" s="63">
        <f>Migrationsartikel!R169</f>
        <v>1</v>
      </c>
      <c r="AB170" s="54" t="str">
        <f>Migrationsartikel!T169</f>
        <v>Stück</v>
      </c>
      <c r="AC170" s="65">
        <f>Migrationsartikel!S169</f>
        <v>1</v>
      </c>
      <c r="AD170" s="54" t="str">
        <f>Migrationsartikel!U169</f>
        <v>(PCE) Stück</v>
      </c>
      <c r="AE170" s="55" t="s">
        <v>179</v>
      </c>
      <c r="AF170" s="67">
        <f>Migrationsartikel!AA169</f>
        <v>0</v>
      </c>
      <c r="AG170" s="55" t="s">
        <v>192</v>
      </c>
      <c r="AH170" s="54" t="str">
        <f>IF(Migrationsartikel!AB169="ja","true",FALSE)</f>
        <v>true</v>
      </c>
      <c r="AI170" s="54" t="str">
        <f>IF(Migrationsartikel!AC169="ja","true",FALSE)</f>
        <v>true</v>
      </c>
      <c r="AJ170" s="54" t="str">
        <f>IF(Migrationsartikel!AD169="ja","true",FALSE)</f>
        <v>true</v>
      </c>
      <c r="AK170" s="54" t="str">
        <f>IF(Migrationsartikel!AE169="ja","true",FALSE)</f>
        <v>true</v>
      </c>
      <c r="AL170" s="54" t="str">
        <f>IF(Migrationsartikel!AF169="ja","Denner Partner","")</f>
        <v/>
      </c>
      <c r="AM170" s="54" t="str">
        <f>IF(Migrationsartikel!AG169="ja","true","false")</f>
        <v>false</v>
      </c>
      <c r="AN170" s="54" t="str">
        <f t="shared" si="3"/>
        <v>Kassentastenbelegung (ohne GTIN/PLU)</v>
      </c>
      <c r="AO170" s="66" t="s">
        <v>219</v>
      </c>
      <c r="AP170" s="65" t="s">
        <v>1603</v>
      </c>
      <c r="AQ170" s="66" t="s">
        <v>217</v>
      </c>
      <c r="AR170" s="30" t="s">
        <v>219</v>
      </c>
    </row>
    <row r="171" spans="2:44" ht="21.75" customHeight="1" x14ac:dyDescent="0.45">
      <c r="B171" s="54" t="s">
        <v>99</v>
      </c>
      <c r="E171" s="55" t="s">
        <v>87</v>
      </c>
      <c r="F171" s="54" t="str">
        <f>"Warengruppe&gt;&gt;"&amp;_xlfn.TEXTJOIN("&gt;&gt;",TRUE,Migrationsartikel!V170:X170)</f>
        <v>Warengruppe&gt;&gt;Near Food&gt;&gt;Gebrauchsartikel&gt;&gt;Gebührensäcke und Marken</v>
      </c>
      <c r="H171" s="55" t="s">
        <v>109</v>
      </c>
      <c r="J171" s="79">
        <f>Migrationsartikel!B170</f>
        <v>0</v>
      </c>
      <c r="L171" s="54" t="str">
        <f>_xlfn.TEXTJOIN(" ",TRUE,Migrationsartikel!F170:H170)</f>
        <v>Container Band 250L</v>
      </c>
      <c r="M171" s="54" t="str">
        <f>_xlfn.TEXTJOIN(" ",TRUE,Migrationsartikel!J170:L170)</f>
        <v>Bande de conteneur 250l</v>
      </c>
      <c r="N171" s="54" t="str">
        <f>_xlfn.TEXTJOIN(" ",TRUE,Migrationsartikel!N170:P170)</f>
        <v>Fascia per contenitore 250l</v>
      </c>
      <c r="O171" s="54" t="str">
        <f>Migrationsartikel!F170</f>
        <v>Container Band</v>
      </c>
      <c r="P171" s="54" t="str">
        <f>Migrationsartikel!J170</f>
        <v>Bande de conteneur</v>
      </c>
      <c r="Q171" s="54" t="str">
        <f>Migrationsartikel!N170</f>
        <v>Fascia per contenitore</v>
      </c>
      <c r="R171" s="54" t="str">
        <f>_xlfn.TEXTJOIN(" ",TRUE,Migrationsartikel!G170)</f>
        <v/>
      </c>
      <c r="S171" s="54" t="str">
        <f>_xlfn.TEXTJOIN(" ",TRUE,Migrationsartikel!K170)</f>
        <v/>
      </c>
      <c r="T171" s="54" t="str">
        <f>_xlfn.TEXTJOIN(" ",TRUE,Migrationsartikel!O170)</f>
        <v/>
      </c>
      <c r="U171" s="54" t="str">
        <f>_xlfn.TEXTJOIN(" ",TRUE,Migrationsartikel!H170)</f>
        <v>250L</v>
      </c>
      <c r="V171" s="54" t="str">
        <f>_xlfn.TEXTJOIN(" ",TRUE,Migrationsartikel!L170)</f>
        <v>250l</v>
      </c>
      <c r="W171" s="54" t="str">
        <f>_xlfn.TEXTJOIN(" ",TRUE,Migrationsartikel!P170)</f>
        <v>250l</v>
      </c>
      <c r="X171" s="54" t="str">
        <f>Migrationsartikel!I170</f>
        <v>Container Band 250L</v>
      </c>
      <c r="Y171" s="54" t="str">
        <f>Migrationsartikel!M170</f>
        <v>Bande conteneur 250l</v>
      </c>
      <c r="Z171" s="54" t="str">
        <f>Migrationsartikel!Q170</f>
        <v>Fascia contenitore 250l</v>
      </c>
      <c r="AA171" s="63">
        <f>Migrationsartikel!R170</f>
        <v>1</v>
      </c>
      <c r="AB171" s="54" t="str">
        <f>Migrationsartikel!T170</f>
        <v>Stück</v>
      </c>
      <c r="AC171" s="65">
        <f>Migrationsartikel!S170</f>
        <v>1</v>
      </c>
      <c r="AD171" s="54" t="str">
        <f>Migrationsartikel!U170</f>
        <v>(PCE) Stück</v>
      </c>
      <c r="AE171" s="55" t="s">
        <v>179</v>
      </c>
      <c r="AF171" s="67">
        <f>Migrationsartikel!AA170</f>
        <v>0</v>
      </c>
      <c r="AG171" s="55" t="s">
        <v>192</v>
      </c>
      <c r="AH171" s="54" t="str">
        <f>IF(Migrationsartikel!AB170="ja","true",FALSE)</f>
        <v>true</v>
      </c>
      <c r="AI171" s="54" t="str">
        <f>IF(Migrationsartikel!AC170="ja","true",FALSE)</f>
        <v>true</v>
      </c>
      <c r="AJ171" s="54" t="str">
        <f>IF(Migrationsartikel!AD170="ja","true",FALSE)</f>
        <v>true</v>
      </c>
      <c r="AK171" s="54" t="str">
        <f>IF(Migrationsartikel!AE170="ja","true",FALSE)</f>
        <v>true</v>
      </c>
      <c r="AL171" s="54" t="str">
        <f>IF(Migrationsartikel!AF170="ja","Denner Partner","")</f>
        <v/>
      </c>
      <c r="AM171" s="54" t="str">
        <f>IF(Migrationsartikel!AG170="ja","true","false")</f>
        <v>false</v>
      </c>
      <c r="AN171" s="54" t="str">
        <f t="shared" si="3"/>
        <v>Kassentastenbelegung (ohne GTIN/PLU)</v>
      </c>
      <c r="AO171" s="66" t="s">
        <v>219</v>
      </c>
      <c r="AP171" s="65" t="s">
        <v>1604</v>
      </c>
      <c r="AQ171" s="66" t="s">
        <v>217</v>
      </c>
      <c r="AR171" s="30" t="s">
        <v>219</v>
      </c>
    </row>
    <row r="172" spans="2:44" ht="21.75" customHeight="1" x14ac:dyDescent="0.45">
      <c r="B172" s="54" t="s">
        <v>99</v>
      </c>
      <c r="E172" s="55" t="s">
        <v>87</v>
      </c>
      <c r="F172" s="54" t="str">
        <f>"Warengruppe&gt;&gt;"&amp;_xlfn.TEXTJOIN("&gt;&gt;",TRUE,Migrationsartikel!V171:X171)</f>
        <v>Warengruppe&gt;&gt;Near Food&gt;&gt;Gebrauchsartikel&gt;&gt;Gebrauchsartikel</v>
      </c>
      <c r="H172" s="55" t="s">
        <v>109</v>
      </c>
      <c r="J172" s="79">
        <f>Migrationsartikel!B171</f>
        <v>0</v>
      </c>
      <c r="L172" s="54" t="str">
        <f>_xlfn.TEXTJOIN(" ",TRUE,Migrationsartikel!F171:H171)</f>
        <v>Gasflasche 10.5kg</v>
      </c>
      <c r="M172" s="54" t="str">
        <f>_xlfn.TEXTJOIN(" ",TRUE,Migrationsartikel!J171:L171)</f>
        <v>Bouteille de gaz 10.5kg</v>
      </c>
      <c r="N172" s="54" t="str">
        <f>_xlfn.TEXTJOIN(" ",TRUE,Migrationsartikel!N171:P171)</f>
        <v>Bombola di gas 10.5kg</v>
      </c>
      <c r="O172" s="54" t="str">
        <f>Migrationsartikel!F171</f>
        <v>Gasflasche</v>
      </c>
      <c r="P172" s="54" t="str">
        <f>Migrationsartikel!J171</f>
        <v>Bouteille de gaz</v>
      </c>
      <c r="Q172" s="54" t="str">
        <f>Migrationsartikel!N171</f>
        <v>Bombola di gas</v>
      </c>
      <c r="R172" s="54" t="str">
        <f>_xlfn.TEXTJOIN(" ",TRUE,Migrationsartikel!G171)</f>
        <v/>
      </c>
      <c r="S172" s="54" t="str">
        <f>_xlfn.TEXTJOIN(" ",TRUE,Migrationsartikel!K171)</f>
        <v/>
      </c>
      <c r="T172" s="54" t="str">
        <f>_xlfn.TEXTJOIN(" ",TRUE,Migrationsartikel!O171)</f>
        <v/>
      </c>
      <c r="U172" s="54" t="str">
        <f>_xlfn.TEXTJOIN(" ",TRUE,Migrationsartikel!H171)</f>
        <v>10.5kg</v>
      </c>
      <c r="V172" s="54" t="str">
        <f>_xlfn.TEXTJOIN(" ",TRUE,Migrationsartikel!L171)</f>
        <v>10.5kg</v>
      </c>
      <c r="W172" s="54" t="str">
        <f>_xlfn.TEXTJOIN(" ",TRUE,Migrationsartikel!P171)</f>
        <v>10.5kg</v>
      </c>
      <c r="X172" s="54" t="str">
        <f>Migrationsartikel!I171</f>
        <v>Gasflasche 10.5kg</v>
      </c>
      <c r="Y172" s="54" t="str">
        <f>Migrationsartikel!M171</f>
        <v>Bouteille gaz 10.5kg</v>
      </c>
      <c r="Z172" s="54" t="str">
        <f>Migrationsartikel!Q171</f>
        <v>Bombola gas 10.5kg</v>
      </c>
      <c r="AA172" s="63">
        <f>Migrationsartikel!R171</f>
        <v>10.5</v>
      </c>
      <c r="AB172" s="54" t="str">
        <f>Migrationsartikel!T171</f>
        <v>Kilogramm</v>
      </c>
      <c r="AC172" s="65">
        <f>Migrationsartikel!S171</f>
        <v>1</v>
      </c>
      <c r="AD172" s="54" t="str">
        <f>Migrationsartikel!U171</f>
        <v>(PCE) Stück</v>
      </c>
      <c r="AE172" s="55" t="s">
        <v>179</v>
      </c>
      <c r="AF172" s="67">
        <f>Migrationsartikel!AA171</f>
        <v>0</v>
      </c>
      <c r="AG172" s="55" t="s">
        <v>192</v>
      </c>
      <c r="AH172" s="54" t="str">
        <f>IF(Migrationsartikel!AB171="ja","true",FALSE)</f>
        <v>true</v>
      </c>
      <c r="AI172" s="54" t="str">
        <f>IF(Migrationsartikel!AC171="ja","true",FALSE)</f>
        <v>true</v>
      </c>
      <c r="AJ172" s="54" t="str">
        <f>IF(Migrationsartikel!AD171="ja","true",FALSE)</f>
        <v>true</v>
      </c>
      <c r="AK172" s="54" t="str">
        <f>IF(Migrationsartikel!AE171="ja","true",FALSE)</f>
        <v>true</v>
      </c>
      <c r="AL172" s="54" t="str">
        <f>IF(Migrationsartikel!AF171="ja","Denner Partner","")</f>
        <v/>
      </c>
      <c r="AM172" s="54" t="str">
        <f>IF(Migrationsartikel!AG171="ja","true","false")</f>
        <v>true</v>
      </c>
      <c r="AN172" s="54" t="str">
        <f t="shared" si="3"/>
        <v>Kassentastenbelegung (ohne GTIN/PLU)</v>
      </c>
      <c r="AO172" s="66" t="s">
        <v>219</v>
      </c>
      <c r="AP172" s="65" t="s">
        <v>1605</v>
      </c>
      <c r="AQ172" s="66" t="s">
        <v>217</v>
      </c>
      <c r="AR172" s="30" t="s">
        <v>219</v>
      </c>
    </row>
    <row r="173" spans="2:44" ht="21.75" customHeight="1" x14ac:dyDescent="0.45">
      <c r="B173" s="54" t="s">
        <v>99</v>
      </c>
      <c r="E173" s="55" t="s">
        <v>87</v>
      </c>
      <c r="F173" s="54" t="str">
        <f>"Warengruppe&gt;&gt;"&amp;_xlfn.TEXTJOIN("&gt;&gt;",TRUE,Migrationsartikel!V172:X172)</f>
        <v>Warengruppe&gt;&gt;Near Food&gt;&gt;Gebrauchsartikel&gt;&gt;Gebrauchsartikel</v>
      </c>
      <c r="H173" s="55" t="s">
        <v>109</v>
      </c>
      <c r="J173" s="79">
        <f>Migrationsartikel!B172</f>
        <v>0</v>
      </c>
      <c r="L173" s="54" t="str">
        <f>_xlfn.TEXTJOIN(" ",TRUE,Migrationsartikel!F172:H172)</f>
        <v>Gasflasche 5kg</v>
      </c>
      <c r="M173" s="54" t="str">
        <f>_xlfn.TEXTJOIN(" ",TRUE,Migrationsartikel!J172:L172)</f>
        <v>Bouteille de gaz 5kg</v>
      </c>
      <c r="N173" s="54" t="str">
        <f>_xlfn.TEXTJOIN(" ",TRUE,Migrationsartikel!N172:P172)</f>
        <v>Bombola di gas 5kg</v>
      </c>
      <c r="O173" s="54" t="str">
        <f>Migrationsartikel!F172</f>
        <v>Gasflasche</v>
      </c>
      <c r="P173" s="54" t="str">
        <f>Migrationsartikel!J172</f>
        <v>Bouteille de gaz</v>
      </c>
      <c r="Q173" s="54" t="str">
        <f>Migrationsartikel!N172</f>
        <v>Bombola di gas</v>
      </c>
      <c r="R173" s="54" t="str">
        <f>_xlfn.TEXTJOIN(" ",TRUE,Migrationsartikel!G172)</f>
        <v/>
      </c>
      <c r="S173" s="54" t="str">
        <f>_xlfn.TEXTJOIN(" ",TRUE,Migrationsartikel!K172)</f>
        <v/>
      </c>
      <c r="T173" s="54" t="str">
        <f>_xlfn.TEXTJOIN(" ",TRUE,Migrationsartikel!O172)</f>
        <v/>
      </c>
      <c r="U173" s="54" t="str">
        <f>_xlfn.TEXTJOIN(" ",TRUE,Migrationsartikel!H172)</f>
        <v>5kg</v>
      </c>
      <c r="V173" s="54" t="str">
        <f>_xlfn.TEXTJOIN(" ",TRUE,Migrationsartikel!L172)</f>
        <v>5kg</v>
      </c>
      <c r="W173" s="54" t="str">
        <f>_xlfn.TEXTJOIN(" ",TRUE,Migrationsartikel!P172)</f>
        <v>5kg</v>
      </c>
      <c r="X173" s="54" t="str">
        <f>Migrationsartikel!I172</f>
        <v>Gasflasche 5kg</v>
      </c>
      <c r="Y173" s="54" t="str">
        <f>Migrationsartikel!M172</f>
        <v>Bouteille gaz 5kg</v>
      </c>
      <c r="Z173" s="54" t="str">
        <f>Migrationsartikel!Q172</f>
        <v>Bombola gas 5kg</v>
      </c>
      <c r="AA173" s="63">
        <f>Migrationsartikel!R172</f>
        <v>5</v>
      </c>
      <c r="AB173" s="54" t="str">
        <f>Migrationsartikel!T172</f>
        <v>Kilogramm</v>
      </c>
      <c r="AC173" s="65">
        <f>Migrationsartikel!S172</f>
        <v>1</v>
      </c>
      <c r="AD173" s="54" t="str">
        <f>Migrationsartikel!U172</f>
        <v>(PCE) Stück</v>
      </c>
      <c r="AE173" s="55" t="s">
        <v>179</v>
      </c>
      <c r="AF173" s="67">
        <f>Migrationsartikel!AA172</f>
        <v>0</v>
      </c>
      <c r="AG173" s="55" t="s">
        <v>192</v>
      </c>
      <c r="AH173" s="54" t="str">
        <f>IF(Migrationsartikel!AB172="ja","true",FALSE)</f>
        <v>true</v>
      </c>
      <c r="AI173" s="54" t="str">
        <f>IF(Migrationsartikel!AC172="ja","true",FALSE)</f>
        <v>true</v>
      </c>
      <c r="AJ173" s="54" t="str">
        <f>IF(Migrationsartikel!AD172="ja","true",FALSE)</f>
        <v>true</v>
      </c>
      <c r="AK173" s="54" t="str">
        <f>IF(Migrationsartikel!AE172="ja","true",FALSE)</f>
        <v>true</v>
      </c>
      <c r="AL173" s="54" t="str">
        <f>IF(Migrationsartikel!AF172="ja","Denner Partner","")</f>
        <v/>
      </c>
      <c r="AM173" s="54" t="str">
        <f>IF(Migrationsartikel!AG172="ja","true","false")</f>
        <v>true</v>
      </c>
      <c r="AN173" s="54" t="str">
        <f t="shared" si="3"/>
        <v>Kassentastenbelegung (ohne GTIN/PLU)</v>
      </c>
      <c r="AO173" s="66" t="s">
        <v>219</v>
      </c>
      <c r="AP173" s="65" t="s">
        <v>1606</v>
      </c>
      <c r="AQ173" s="66" t="s">
        <v>217</v>
      </c>
      <c r="AR173" s="30" t="s">
        <v>219</v>
      </c>
    </row>
    <row r="174" spans="2:44" ht="21.75" customHeight="1" x14ac:dyDescent="0.45">
      <c r="B174" s="54" t="s">
        <v>99</v>
      </c>
      <c r="E174" s="55" t="s">
        <v>87</v>
      </c>
      <c r="F174" s="54" t="str">
        <f>"Warengruppe&gt;&gt;"&amp;_xlfn.TEXTJOIN("&gt;&gt;",TRUE,Migrationsartikel!V173:X173)</f>
        <v>Warengruppe&gt;&gt;Near Food&gt;&gt;Gebrauchsartikel&gt;&gt;Gebrauchsartikel</v>
      </c>
      <c r="H174" s="55" t="s">
        <v>109</v>
      </c>
      <c r="J174" s="79">
        <f>Migrationsartikel!B173</f>
        <v>0</v>
      </c>
      <c r="L174" s="54" t="str">
        <f>_xlfn.TEXTJOIN(" ",TRUE,Migrationsartikel!F173:H173)</f>
        <v>Gasflasche 33kg</v>
      </c>
      <c r="M174" s="54" t="str">
        <f>_xlfn.TEXTJOIN(" ",TRUE,Migrationsartikel!J173:L173)</f>
        <v>Bouteille de gaz 33kg</v>
      </c>
      <c r="N174" s="54" t="str">
        <f>_xlfn.TEXTJOIN(" ",TRUE,Migrationsartikel!N173:P173)</f>
        <v>Bombola di gas 33kg</v>
      </c>
      <c r="O174" s="54" t="str">
        <f>Migrationsartikel!F173</f>
        <v>Gasflasche</v>
      </c>
      <c r="P174" s="54" t="str">
        <f>Migrationsartikel!J173</f>
        <v>Bouteille de gaz</v>
      </c>
      <c r="Q174" s="54" t="str">
        <f>Migrationsartikel!N173</f>
        <v>Bombola di gas</v>
      </c>
      <c r="R174" s="54" t="str">
        <f>_xlfn.TEXTJOIN(" ",TRUE,Migrationsartikel!G173)</f>
        <v/>
      </c>
      <c r="S174" s="54" t="str">
        <f>_xlfn.TEXTJOIN(" ",TRUE,Migrationsartikel!K173)</f>
        <v/>
      </c>
      <c r="T174" s="54" t="str">
        <f>_xlfn.TEXTJOIN(" ",TRUE,Migrationsartikel!O173)</f>
        <v/>
      </c>
      <c r="U174" s="54" t="str">
        <f>_xlfn.TEXTJOIN(" ",TRUE,Migrationsartikel!H173)</f>
        <v>33kg</v>
      </c>
      <c r="V174" s="54" t="str">
        <f>_xlfn.TEXTJOIN(" ",TRUE,Migrationsartikel!L173)</f>
        <v>33kg</v>
      </c>
      <c r="W174" s="54" t="str">
        <f>_xlfn.TEXTJOIN(" ",TRUE,Migrationsartikel!P173)</f>
        <v>33kg</v>
      </c>
      <c r="X174" s="54" t="str">
        <f>Migrationsartikel!I173</f>
        <v>Gasflasche 33kg</v>
      </c>
      <c r="Y174" s="54" t="str">
        <f>Migrationsartikel!M173</f>
        <v>Bouteille gaz 33kg</v>
      </c>
      <c r="Z174" s="54" t="str">
        <f>Migrationsartikel!Q173</f>
        <v>Bombola gas 33kg</v>
      </c>
      <c r="AA174" s="63">
        <f>Migrationsartikel!R173</f>
        <v>33</v>
      </c>
      <c r="AB174" s="54" t="str">
        <f>Migrationsartikel!T173</f>
        <v>Kilogramm</v>
      </c>
      <c r="AC174" s="65">
        <f>Migrationsartikel!S173</f>
        <v>1</v>
      </c>
      <c r="AD174" s="54" t="str">
        <f>Migrationsartikel!U173</f>
        <v>(PCE) Stück</v>
      </c>
      <c r="AE174" s="55" t="s">
        <v>179</v>
      </c>
      <c r="AF174" s="67">
        <f>Migrationsartikel!AA173</f>
        <v>0</v>
      </c>
      <c r="AG174" s="55" t="s">
        <v>192</v>
      </c>
      <c r="AH174" s="54" t="str">
        <f>IF(Migrationsartikel!AB173="ja","true",FALSE)</f>
        <v>true</v>
      </c>
      <c r="AI174" s="54" t="str">
        <f>IF(Migrationsartikel!AC173="ja","true",FALSE)</f>
        <v>true</v>
      </c>
      <c r="AJ174" s="54" t="str">
        <f>IF(Migrationsartikel!AD173="ja","true",FALSE)</f>
        <v>true</v>
      </c>
      <c r="AK174" s="54" t="str">
        <f>IF(Migrationsartikel!AE173="ja","true",FALSE)</f>
        <v>true</v>
      </c>
      <c r="AL174" s="54" t="str">
        <f>IF(Migrationsartikel!AF173="ja","Denner Partner","")</f>
        <v/>
      </c>
      <c r="AM174" s="54" t="str">
        <f>IF(Migrationsartikel!AG173="ja","true","false")</f>
        <v>true</v>
      </c>
      <c r="AN174" s="54" t="str">
        <f t="shared" si="3"/>
        <v>Kassentastenbelegung (ohne GTIN/PLU)</v>
      </c>
      <c r="AO174" s="66" t="s">
        <v>219</v>
      </c>
      <c r="AP174" s="65" t="s">
        <v>1607</v>
      </c>
      <c r="AQ174" s="66" t="s">
        <v>217</v>
      </c>
      <c r="AR174" s="30" t="s">
        <v>219</v>
      </c>
    </row>
    <row r="175" spans="2:44" ht="21.75" customHeight="1" x14ac:dyDescent="0.45">
      <c r="B175" s="54" t="s">
        <v>99</v>
      </c>
      <c r="E175" s="55" t="s">
        <v>87</v>
      </c>
      <c r="F175" s="54" t="str">
        <f>"Warengruppe&gt;&gt;"&amp;_xlfn.TEXTJOIN("&gt;&gt;",TRUE,Migrationsartikel!V174:X174)</f>
        <v>Warengruppe&gt;&gt;Near Food&gt;&gt;Gebrauchsartikel&gt;&gt;Gebrauchsartikel</v>
      </c>
      <c r="H175" s="55" t="s">
        <v>109</v>
      </c>
      <c r="J175" s="79">
        <f>Migrationsartikel!B174</f>
        <v>0</v>
      </c>
      <c r="L175" s="54" t="str">
        <f>_xlfn.TEXTJOIN(" ",TRUE,Migrationsartikel!F174:H174)</f>
        <v>Gasflasche 35kg</v>
      </c>
      <c r="M175" s="54" t="str">
        <f>_xlfn.TEXTJOIN(" ",TRUE,Migrationsartikel!J174:L174)</f>
        <v>Bouteille de gaz 35kg</v>
      </c>
      <c r="N175" s="54" t="str">
        <f>_xlfn.TEXTJOIN(" ",TRUE,Migrationsartikel!N174:P174)</f>
        <v>Bombola di gas 35kg</v>
      </c>
      <c r="O175" s="54" t="str">
        <f>Migrationsartikel!F174</f>
        <v>Gasflasche</v>
      </c>
      <c r="P175" s="54" t="str">
        <f>Migrationsartikel!J174</f>
        <v>Bouteille de gaz</v>
      </c>
      <c r="Q175" s="54" t="str">
        <f>Migrationsartikel!N174</f>
        <v>Bombola di gas</v>
      </c>
      <c r="R175" s="54" t="str">
        <f>_xlfn.TEXTJOIN(" ",TRUE,Migrationsartikel!G174)</f>
        <v/>
      </c>
      <c r="S175" s="54" t="str">
        <f>_xlfn.TEXTJOIN(" ",TRUE,Migrationsartikel!K174)</f>
        <v/>
      </c>
      <c r="T175" s="54" t="str">
        <f>_xlfn.TEXTJOIN(" ",TRUE,Migrationsartikel!O174)</f>
        <v/>
      </c>
      <c r="U175" s="54" t="str">
        <f>_xlfn.TEXTJOIN(" ",TRUE,Migrationsartikel!H174)</f>
        <v>35kg</v>
      </c>
      <c r="V175" s="54" t="str">
        <f>_xlfn.TEXTJOIN(" ",TRUE,Migrationsartikel!L174)</f>
        <v>35kg</v>
      </c>
      <c r="W175" s="54" t="str">
        <f>_xlfn.TEXTJOIN(" ",TRUE,Migrationsartikel!P174)</f>
        <v>35kg</v>
      </c>
      <c r="X175" s="54" t="str">
        <f>Migrationsartikel!I174</f>
        <v>Gasflasche 35kg</v>
      </c>
      <c r="Y175" s="54" t="str">
        <f>Migrationsartikel!M174</f>
        <v>Bouteille gaz 35kg</v>
      </c>
      <c r="Z175" s="54" t="str">
        <f>Migrationsartikel!Q174</f>
        <v>Bombola gas 35kg</v>
      </c>
      <c r="AA175" s="63">
        <f>Migrationsartikel!R174</f>
        <v>35</v>
      </c>
      <c r="AB175" s="54" t="str">
        <f>Migrationsartikel!T174</f>
        <v>Kilogramm</v>
      </c>
      <c r="AC175" s="65">
        <f>Migrationsartikel!S174</f>
        <v>1</v>
      </c>
      <c r="AD175" s="54" t="str">
        <f>Migrationsartikel!U174</f>
        <v>(PCE) Stück</v>
      </c>
      <c r="AE175" s="55" t="s">
        <v>179</v>
      </c>
      <c r="AF175" s="67">
        <f>Migrationsartikel!AA174</f>
        <v>0</v>
      </c>
      <c r="AG175" s="55" t="s">
        <v>192</v>
      </c>
      <c r="AH175" s="54" t="str">
        <f>IF(Migrationsartikel!AB174="ja","true",FALSE)</f>
        <v>true</v>
      </c>
      <c r="AI175" s="54" t="str">
        <f>IF(Migrationsartikel!AC174="ja","true",FALSE)</f>
        <v>true</v>
      </c>
      <c r="AJ175" s="54" t="str">
        <f>IF(Migrationsartikel!AD174="ja","true",FALSE)</f>
        <v>true</v>
      </c>
      <c r="AK175" s="54" t="str">
        <f>IF(Migrationsartikel!AE174="ja","true",FALSE)</f>
        <v>true</v>
      </c>
      <c r="AL175" s="54" t="str">
        <f>IF(Migrationsartikel!AF174="ja","Denner Partner","")</f>
        <v/>
      </c>
      <c r="AM175" s="54" t="str">
        <f>IF(Migrationsartikel!AG174="ja","true","false")</f>
        <v>true</v>
      </c>
      <c r="AN175" s="54" t="str">
        <f t="shared" si="3"/>
        <v>Kassentastenbelegung (ohne GTIN/PLU)</v>
      </c>
      <c r="AO175" s="66" t="s">
        <v>219</v>
      </c>
      <c r="AP175" s="65" t="s">
        <v>1608</v>
      </c>
      <c r="AQ175" s="66" t="s">
        <v>217</v>
      </c>
      <c r="AR175" s="30" t="s">
        <v>219</v>
      </c>
    </row>
    <row r="176" spans="2:44" ht="21.75" customHeight="1" x14ac:dyDescent="0.45">
      <c r="B176" s="54" t="s">
        <v>99</v>
      </c>
      <c r="E176" s="55" t="s">
        <v>87</v>
      </c>
      <c r="F176" s="54" t="str">
        <f>"Warengruppe&gt;&gt;"&amp;_xlfn.TEXTJOIN("&gt;&gt;",TRUE,Migrationsartikel!V175:X175)</f>
        <v>Warengruppe&gt;&gt;Near Food&gt;&gt;Gebrauchsartikel&gt;&gt;Gebrauchsartikel</v>
      </c>
      <c r="H176" s="55" t="s">
        <v>109</v>
      </c>
      <c r="J176" s="79">
        <f>Migrationsartikel!B175</f>
        <v>0</v>
      </c>
      <c r="L176" s="54" t="str">
        <f>_xlfn.TEXTJOIN(" ",TRUE,Migrationsartikel!F175:H175)</f>
        <v>Gasflasche 7.5kg</v>
      </c>
      <c r="M176" s="54" t="str">
        <f>_xlfn.TEXTJOIN(" ",TRUE,Migrationsartikel!J175:L175)</f>
        <v>Bouteille de gaz 7.5kg</v>
      </c>
      <c r="N176" s="54" t="str">
        <f>_xlfn.TEXTJOIN(" ",TRUE,Migrationsartikel!N175:P175)</f>
        <v>Bombola di gas 7.5kg</v>
      </c>
      <c r="O176" s="54" t="str">
        <f>Migrationsartikel!F175</f>
        <v>Gasflasche</v>
      </c>
      <c r="P176" s="54" t="str">
        <f>Migrationsartikel!J175</f>
        <v>Bouteille de gaz</v>
      </c>
      <c r="Q176" s="54" t="str">
        <f>Migrationsartikel!N175</f>
        <v>Bombola di gas</v>
      </c>
      <c r="R176" s="54" t="str">
        <f>_xlfn.TEXTJOIN(" ",TRUE,Migrationsartikel!G175)</f>
        <v/>
      </c>
      <c r="S176" s="54" t="str">
        <f>_xlfn.TEXTJOIN(" ",TRUE,Migrationsartikel!K175)</f>
        <v/>
      </c>
      <c r="T176" s="54" t="str">
        <f>_xlfn.TEXTJOIN(" ",TRUE,Migrationsartikel!O175)</f>
        <v/>
      </c>
      <c r="U176" s="54" t="str">
        <f>_xlfn.TEXTJOIN(" ",TRUE,Migrationsartikel!H175)</f>
        <v>7.5kg</v>
      </c>
      <c r="V176" s="54" t="str">
        <f>_xlfn.TEXTJOIN(" ",TRUE,Migrationsartikel!L175)</f>
        <v>7.5kg</v>
      </c>
      <c r="W176" s="54" t="str">
        <f>_xlfn.TEXTJOIN(" ",TRUE,Migrationsartikel!P175)</f>
        <v>7.5kg</v>
      </c>
      <c r="X176" s="54" t="str">
        <f>Migrationsartikel!I175</f>
        <v>Gasflasche 7.5kg</v>
      </c>
      <c r="Y176" s="54" t="str">
        <f>Migrationsartikel!M175</f>
        <v>Bouteille gaz 7.5kg</v>
      </c>
      <c r="Z176" s="54" t="str">
        <f>Migrationsartikel!Q175</f>
        <v>Bombola gas 7.5kg</v>
      </c>
      <c r="AA176" s="63">
        <f>Migrationsartikel!R175</f>
        <v>7.5</v>
      </c>
      <c r="AB176" s="54" t="str">
        <f>Migrationsartikel!T175</f>
        <v>Kilogramm</v>
      </c>
      <c r="AC176" s="65">
        <f>Migrationsartikel!S175</f>
        <v>1</v>
      </c>
      <c r="AD176" s="54" t="str">
        <f>Migrationsartikel!U175</f>
        <v>(PCE) Stück</v>
      </c>
      <c r="AE176" s="55" t="s">
        <v>179</v>
      </c>
      <c r="AF176" s="67">
        <f>Migrationsartikel!AA175</f>
        <v>0</v>
      </c>
      <c r="AG176" s="55" t="s">
        <v>192</v>
      </c>
      <c r="AH176" s="54" t="str">
        <f>IF(Migrationsartikel!AB175="ja","true",FALSE)</f>
        <v>true</v>
      </c>
      <c r="AI176" s="54" t="str">
        <f>IF(Migrationsartikel!AC175="ja","true",FALSE)</f>
        <v>true</v>
      </c>
      <c r="AJ176" s="54" t="str">
        <f>IF(Migrationsartikel!AD175="ja","true",FALSE)</f>
        <v>true</v>
      </c>
      <c r="AK176" s="54" t="str">
        <f>IF(Migrationsartikel!AE175="ja","true",FALSE)</f>
        <v>true</v>
      </c>
      <c r="AL176" s="54" t="str">
        <f>IF(Migrationsartikel!AF175="ja","Denner Partner","")</f>
        <v/>
      </c>
      <c r="AM176" s="54" t="str">
        <f>IF(Migrationsartikel!AG175="ja","true","false")</f>
        <v>true</v>
      </c>
      <c r="AN176" s="54" t="str">
        <f t="shared" si="3"/>
        <v>Kassentastenbelegung (ohne GTIN/PLU)</v>
      </c>
      <c r="AO176" s="66" t="s">
        <v>219</v>
      </c>
      <c r="AP176" s="65" t="s">
        <v>1609</v>
      </c>
      <c r="AQ176" s="66" t="s">
        <v>217</v>
      </c>
      <c r="AR176" s="30" t="s">
        <v>219</v>
      </c>
    </row>
    <row r="177" spans="2:44" ht="21.75" customHeight="1" x14ac:dyDescent="0.45">
      <c r="B177" s="54" t="s">
        <v>99</v>
      </c>
      <c r="E177" s="55" t="s">
        <v>87</v>
      </c>
      <c r="F177" s="54" t="str">
        <f>"Warengruppe&gt;&gt;"&amp;_xlfn.TEXTJOIN("&gt;&gt;",TRUE,Migrationsartikel!V176:X176)</f>
        <v>Warengruppe&gt;&gt;Near Food&gt;&gt;Gebrauchsartikel&gt;&gt;Gebührensäcke und Marken</v>
      </c>
      <c r="H177" s="55" t="s">
        <v>109</v>
      </c>
      <c r="J177" s="79">
        <f>Migrationsartikel!B176</f>
        <v>0</v>
      </c>
      <c r="L177" s="54" t="str">
        <f>_xlfn.TEXTJOIN(" ",TRUE,Migrationsartikel!F176:H176)</f>
        <v>Gebührenmarke Sperrgut 1Stk</v>
      </c>
      <c r="M177" s="54" t="str">
        <f>_xlfn.TEXTJOIN(" ",TRUE,Migrationsartikel!J176:L176)</f>
        <v>Timbre-taxe encombr. 1pce</v>
      </c>
      <c r="N177" s="54" t="str">
        <f>_xlfn.TEXTJOIN(" ",TRUE,Migrationsartikel!N176:P176)</f>
        <v>Tagliando tarif. ing. 1pz</v>
      </c>
      <c r="O177" s="54" t="str">
        <f>Migrationsartikel!F176</f>
        <v>Gebührenmarke Sperrgut</v>
      </c>
      <c r="P177" s="54" t="str">
        <f>Migrationsartikel!J176</f>
        <v>Timbre-taxe encombr.</v>
      </c>
      <c r="Q177" s="54" t="str">
        <f>Migrationsartikel!N176</f>
        <v>Tagliando tarif. ing.</v>
      </c>
      <c r="R177" s="54" t="str">
        <f>_xlfn.TEXTJOIN(" ",TRUE,Migrationsartikel!G176)</f>
        <v/>
      </c>
      <c r="S177" s="54" t="str">
        <f>_xlfn.TEXTJOIN(" ",TRUE,Migrationsartikel!K176)</f>
        <v/>
      </c>
      <c r="T177" s="54" t="str">
        <f>_xlfn.TEXTJOIN(" ",TRUE,Migrationsartikel!O176)</f>
        <v/>
      </c>
      <c r="U177" s="54" t="str">
        <f>_xlfn.TEXTJOIN(" ",TRUE,Migrationsartikel!H176)</f>
        <v>1Stk</v>
      </c>
      <c r="V177" s="54" t="str">
        <f>_xlfn.TEXTJOIN(" ",TRUE,Migrationsartikel!L176)</f>
        <v>1pce</v>
      </c>
      <c r="W177" s="54" t="str">
        <f>_xlfn.TEXTJOIN(" ",TRUE,Migrationsartikel!P176)</f>
        <v>1pz</v>
      </c>
      <c r="X177" s="54" t="str">
        <f>Migrationsartikel!I176</f>
        <v>Gebührenmarke Sperrgut</v>
      </c>
      <c r="Y177" s="54" t="str">
        <f>Migrationsartikel!M176</f>
        <v>Timbre-taxe encombr.</v>
      </c>
      <c r="Z177" s="54" t="str">
        <f>Migrationsartikel!Q176</f>
        <v>Tagliando tarif. ing.</v>
      </c>
      <c r="AA177" s="63">
        <f>Migrationsartikel!R176</f>
        <v>1</v>
      </c>
      <c r="AB177" s="54" t="str">
        <f>Migrationsartikel!T176</f>
        <v>Stück</v>
      </c>
      <c r="AC177" s="65">
        <f>Migrationsartikel!S176</f>
        <v>1</v>
      </c>
      <c r="AD177" s="54" t="str">
        <f>Migrationsartikel!U176</f>
        <v>(PCE) Stück</v>
      </c>
      <c r="AE177" s="55" t="s">
        <v>179</v>
      </c>
      <c r="AF177" s="67">
        <f>Migrationsartikel!AA176</f>
        <v>0</v>
      </c>
      <c r="AG177" s="55" t="s">
        <v>192</v>
      </c>
      <c r="AH177" s="54" t="str">
        <f>IF(Migrationsartikel!AB176="ja","true",FALSE)</f>
        <v>true</v>
      </c>
      <c r="AI177" s="54" t="str">
        <f>IF(Migrationsartikel!AC176="ja","true",FALSE)</f>
        <v>true</v>
      </c>
      <c r="AJ177" s="54" t="str">
        <f>IF(Migrationsartikel!AD176="ja","true",FALSE)</f>
        <v>true</v>
      </c>
      <c r="AK177" s="54" t="str">
        <f>IF(Migrationsartikel!AE176="ja","true",FALSE)</f>
        <v>true</v>
      </c>
      <c r="AL177" s="54" t="str">
        <f>IF(Migrationsartikel!AF176="ja","Denner Partner","")</f>
        <v/>
      </c>
      <c r="AM177" s="54" t="str">
        <f>IF(Migrationsartikel!AG176="ja","true","false")</f>
        <v>false</v>
      </c>
      <c r="AN177" s="54" t="str">
        <f t="shared" si="3"/>
        <v>Kassentastenbelegung (ohne GTIN/PLU)</v>
      </c>
      <c r="AO177" s="66" t="s">
        <v>219</v>
      </c>
      <c r="AP177" s="65" t="s">
        <v>1610</v>
      </c>
      <c r="AQ177" s="66" t="s">
        <v>217</v>
      </c>
      <c r="AR177" s="30" t="s">
        <v>219</v>
      </c>
    </row>
    <row r="178" spans="2:44" ht="21.75" customHeight="1" x14ac:dyDescent="0.45">
      <c r="B178" s="54" t="s">
        <v>99</v>
      </c>
      <c r="E178" s="55" t="s">
        <v>87</v>
      </c>
      <c r="F178" s="54" t="str">
        <f>"Warengruppe&gt;&gt;"&amp;_xlfn.TEXTJOIN("&gt;&gt;",TRUE,Migrationsartikel!V177:X177)</f>
        <v>Warengruppe&gt;&gt;Near Food&gt;&gt;Gebrauchsartikel&gt;&gt;Gebührensäcke und Marken</v>
      </c>
      <c r="H178" s="55" t="s">
        <v>109</v>
      </c>
      <c r="J178" s="79">
        <f>Migrationsartikel!B177</f>
        <v>0</v>
      </c>
      <c r="L178" s="54" t="str">
        <f>_xlfn.TEXTJOIN(" ",TRUE,Migrationsartikel!F177:H177)</f>
        <v>Gebührensäcke 110L</v>
      </c>
      <c r="M178" s="54" t="str">
        <f>_xlfn.TEXTJOIN(" ",TRUE,Migrationsartikel!J177:L177)</f>
        <v>Sacs poubelles taxés 110l</v>
      </c>
      <c r="N178" s="54" t="str">
        <f>_xlfn.TEXTJOIN(" ",TRUE,Migrationsartikel!N177:P177)</f>
        <v>Sacchi rifiuti 110l</v>
      </c>
      <c r="O178" s="54" t="str">
        <f>Migrationsartikel!F177</f>
        <v>Gebührensäcke</v>
      </c>
      <c r="P178" s="54" t="str">
        <f>Migrationsartikel!J177</f>
        <v>Sacs poubelles taxés</v>
      </c>
      <c r="Q178" s="54" t="str">
        <f>Migrationsartikel!N177</f>
        <v>Sacchi rifiuti</v>
      </c>
      <c r="R178" s="54" t="str">
        <f>_xlfn.TEXTJOIN(" ",TRUE,Migrationsartikel!G177)</f>
        <v/>
      </c>
      <c r="S178" s="54" t="str">
        <f>_xlfn.TEXTJOIN(" ",TRUE,Migrationsartikel!K177)</f>
        <v/>
      </c>
      <c r="T178" s="54" t="str">
        <f>_xlfn.TEXTJOIN(" ",TRUE,Migrationsartikel!O177)</f>
        <v/>
      </c>
      <c r="U178" s="54" t="str">
        <f>_xlfn.TEXTJOIN(" ",TRUE,Migrationsartikel!H177)</f>
        <v>110L</v>
      </c>
      <c r="V178" s="54" t="str">
        <f>_xlfn.TEXTJOIN(" ",TRUE,Migrationsartikel!L177)</f>
        <v>110l</v>
      </c>
      <c r="W178" s="54" t="str">
        <f>_xlfn.TEXTJOIN(" ",TRUE,Migrationsartikel!P177)</f>
        <v>110l</v>
      </c>
      <c r="X178" s="54" t="str">
        <f>Migrationsartikel!I177</f>
        <v>Gebührensäcke 110L</v>
      </c>
      <c r="Y178" s="54" t="str">
        <f>Migrationsartikel!M177</f>
        <v>Sacs poubelles 110l</v>
      </c>
      <c r="Z178" s="54" t="str">
        <f>Migrationsartikel!Q177</f>
        <v>Sacchi rifiuti 110l</v>
      </c>
      <c r="AA178" s="63">
        <f>Migrationsartikel!R177</f>
        <v>1</v>
      </c>
      <c r="AB178" s="54" t="str">
        <f>Migrationsartikel!T177</f>
        <v>Stück</v>
      </c>
      <c r="AC178" s="65">
        <f>Migrationsartikel!S177</f>
        <v>1</v>
      </c>
      <c r="AD178" s="54" t="str">
        <f>Migrationsartikel!U177</f>
        <v>(PCE) Stück</v>
      </c>
      <c r="AE178" s="55" t="s">
        <v>179</v>
      </c>
      <c r="AF178" s="67">
        <f>Migrationsartikel!AA177</f>
        <v>0</v>
      </c>
      <c r="AG178" s="55" t="s">
        <v>192</v>
      </c>
      <c r="AH178" s="54" t="str">
        <f>IF(Migrationsartikel!AB177="ja","true",FALSE)</f>
        <v>true</v>
      </c>
      <c r="AI178" s="54" t="str">
        <f>IF(Migrationsartikel!AC177="ja","true",FALSE)</f>
        <v>true</v>
      </c>
      <c r="AJ178" s="54" t="str">
        <f>IF(Migrationsartikel!AD177="ja","true",FALSE)</f>
        <v>true</v>
      </c>
      <c r="AK178" s="54" t="str">
        <f>IF(Migrationsartikel!AE177="ja","true",FALSE)</f>
        <v>true</v>
      </c>
      <c r="AL178" s="54" t="str">
        <f>IF(Migrationsartikel!AF177="ja","Denner Partner","")</f>
        <v/>
      </c>
      <c r="AM178" s="54" t="str">
        <f>IF(Migrationsartikel!AG177="ja","true","false")</f>
        <v>false</v>
      </c>
      <c r="AN178" s="54" t="str">
        <f t="shared" si="3"/>
        <v>Kassentastenbelegung (ohne GTIN/PLU)</v>
      </c>
      <c r="AO178" s="66" t="s">
        <v>219</v>
      </c>
      <c r="AP178" s="65" t="s">
        <v>1611</v>
      </c>
      <c r="AQ178" s="66" t="s">
        <v>217</v>
      </c>
      <c r="AR178" s="30" t="s">
        <v>219</v>
      </c>
    </row>
    <row r="179" spans="2:44" ht="21.75" customHeight="1" x14ac:dyDescent="0.45">
      <c r="B179" s="54" t="s">
        <v>99</v>
      </c>
      <c r="E179" s="55" t="s">
        <v>87</v>
      </c>
      <c r="F179" s="54" t="str">
        <f>"Warengruppe&gt;&gt;"&amp;_xlfn.TEXTJOIN("&gt;&gt;",TRUE,Migrationsartikel!V178:X178)</f>
        <v>Warengruppe&gt;&gt;Near Food&gt;&gt;Gebrauchsartikel&gt;&gt;Gebührensäcke und Marken</v>
      </c>
      <c r="H179" s="55" t="s">
        <v>109</v>
      </c>
      <c r="J179" s="79">
        <f>Migrationsartikel!B178</f>
        <v>0</v>
      </c>
      <c r="L179" s="54" t="str">
        <f>_xlfn.TEXTJOIN(" ",TRUE,Migrationsartikel!F178:H178)</f>
        <v>Gebührensäcke 17L</v>
      </c>
      <c r="M179" s="54" t="str">
        <f>_xlfn.TEXTJOIN(" ",TRUE,Migrationsartikel!J178:L178)</f>
        <v>Sacs poubelles taxés 17l</v>
      </c>
      <c r="N179" s="54" t="str">
        <f>_xlfn.TEXTJOIN(" ",TRUE,Migrationsartikel!N178:P178)</f>
        <v>Sacchi rifiuti 17l</v>
      </c>
      <c r="O179" s="54" t="str">
        <f>Migrationsartikel!F178</f>
        <v>Gebührensäcke</v>
      </c>
      <c r="P179" s="54" t="str">
        <f>Migrationsartikel!J178</f>
        <v>Sacs poubelles taxés</v>
      </c>
      <c r="Q179" s="54" t="str">
        <f>Migrationsartikel!N178</f>
        <v>Sacchi rifiuti</v>
      </c>
      <c r="R179" s="54" t="str">
        <f>_xlfn.TEXTJOIN(" ",TRUE,Migrationsartikel!G178)</f>
        <v/>
      </c>
      <c r="S179" s="54" t="str">
        <f>_xlfn.TEXTJOIN(" ",TRUE,Migrationsartikel!K178)</f>
        <v/>
      </c>
      <c r="T179" s="54" t="str">
        <f>_xlfn.TEXTJOIN(" ",TRUE,Migrationsartikel!O178)</f>
        <v/>
      </c>
      <c r="U179" s="54" t="str">
        <f>_xlfn.TEXTJOIN(" ",TRUE,Migrationsartikel!H178)</f>
        <v>17L</v>
      </c>
      <c r="V179" s="54" t="str">
        <f>_xlfn.TEXTJOIN(" ",TRUE,Migrationsartikel!L178)</f>
        <v>17l</v>
      </c>
      <c r="W179" s="54" t="str">
        <f>_xlfn.TEXTJOIN(" ",TRUE,Migrationsartikel!P178)</f>
        <v>17l</v>
      </c>
      <c r="X179" s="54" t="str">
        <f>Migrationsartikel!I178</f>
        <v>Gebührensäcke 17L</v>
      </c>
      <c r="Y179" s="54" t="str">
        <f>Migrationsartikel!M178</f>
        <v>Sacs poubelles 17l</v>
      </c>
      <c r="Z179" s="54" t="str">
        <f>Migrationsartikel!Q178</f>
        <v>Sacchi rifiuti 17l</v>
      </c>
      <c r="AA179" s="63">
        <f>Migrationsartikel!R178</f>
        <v>1</v>
      </c>
      <c r="AB179" s="54" t="str">
        <f>Migrationsartikel!T178</f>
        <v>Stück</v>
      </c>
      <c r="AC179" s="65">
        <f>Migrationsartikel!S178</f>
        <v>1</v>
      </c>
      <c r="AD179" s="54" t="str">
        <f>Migrationsartikel!U178</f>
        <v>(PCE) Stück</v>
      </c>
      <c r="AE179" s="55" t="s">
        <v>179</v>
      </c>
      <c r="AF179" s="67">
        <f>Migrationsartikel!AA178</f>
        <v>0</v>
      </c>
      <c r="AG179" s="55" t="s">
        <v>192</v>
      </c>
      <c r="AH179" s="54" t="str">
        <f>IF(Migrationsartikel!AB178="ja","true",FALSE)</f>
        <v>true</v>
      </c>
      <c r="AI179" s="54" t="str">
        <f>IF(Migrationsartikel!AC178="ja","true",FALSE)</f>
        <v>true</v>
      </c>
      <c r="AJ179" s="54" t="str">
        <f>IF(Migrationsartikel!AD178="ja","true",FALSE)</f>
        <v>true</v>
      </c>
      <c r="AK179" s="54" t="str">
        <f>IF(Migrationsartikel!AE178="ja","true",FALSE)</f>
        <v>true</v>
      </c>
      <c r="AL179" s="54" t="str">
        <f>IF(Migrationsartikel!AF178="ja","Denner Partner","")</f>
        <v/>
      </c>
      <c r="AM179" s="54" t="str">
        <f>IF(Migrationsartikel!AG178="ja","true","false")</f>
        <v>false</v>
      </c>
      <c r="AN179" s="54" t="str">
        <f t="shared" si="3"/>
        <v>Kassentastenbelegung (ohne GTIN/PLU)</v>
      </c>
      <c r="AO179" s="66" t="s">
        <v>219</v>
      </c>
      <c r="AP179" s="65" t="s">
        <v>1612</v>
      </c>
      <c r="AQ179" s="66" t="s">
        <v>217</v>
      </c>
      <c r="AR179" s="30" t="s">
        <v>219</v>
      </c>
    </row>
    <row r="180" spans="2:44" ht="21.75" customHeight="1" x14ac:dyDescent="0.45">
      <c r="B180" s="54" t="s">
        <v>99</v>
      </c>
      <c r="E180" s="55" t="s">
        <v>87</v>
      </c>
      <c r="F180" s="54" t="str">
        <f>"Warengruppe&gt;&gt;"&amp;_xlfn.TEXTJOIN("&gt;&gt;",TRUE,Migrationsartikel!V179:X179)</f>
        <v>Warengruppe&gt;&gt;Near Food&gt;&gt;Gebrauchsartikel&gt;&gt;Gebührensäcke und Marken</v>
      </c>
      <c r="H180" s="55" t="s">
        <v>109</v>
      </c>
      <c r="J180" s="79">
        <f>Migrationsartikel!B179</f>
        <v>0</v>
      </c>
      <c r="L180" s="54" t="str">
        <f>_xlfn.TEXTJOIN(" ",TRUE,Migrationsartikel!F179:H179)</f>
        <v>Gebührensäcke 35L</v>
      </c>
      <c r="M180" s="54" t="str">
        <f>_xlfn.TEXTJOIN(" ",TRUE,Migrationsartikel!J179:L179)</f>
        <v>Sacs poubelles taxés 35l</v>
      </c>
      <c r="N180" s="54" t="str">
        <f>_xlfn.TEXTJOIN(" ",TRUE,Migrationsartikel!N179:P179)</f>
        <v>Sacchi rifiuti 35l</v>
      </c>
      <c r="O180" s="54" t="str">
        <f>Migrationsartikel!F179</f>
        <v>Gebührensäcke</v>
      </c>
      <c r="P180" s="54" t="str">
        <f>Migrationsartikel!J179</f>
        <v>Sacs poubelles taxés</v>
      </c>
      <c r="Q180" s="54" t="str">
        <f>Migrationsartikel!N179</f>
        <v>Sacchi rifiuti</v>
      </c>
      <c r="R180" s="54" t="str">
        <f>_xlfn.TEXTJOIN(" ",TRUE,Migrationsartikel!G179)</f>
        <v/>
      </c>
      <c r="S180" s="54" t="str">
        <f>_xlfn.TEXTJOIN(" ",TRUE,Migrationsartikel!K179)</f>
        <v/>
      </c>
      <c r="T180" s="54" t="str">
        <f>_xlfn.TEXTJOIN(" ",TRUE,Migrationsartikel!O179)</f>
        <v/>
      </c>
      <c r="U180" s="54" t="str">
        <f>_xlfn.TEXTJOIN(" ",TRUE,Migrationsartikel!H179)</f>
        <v>35L</v>
      </c>
      <c r="V180" s="54" t="str">
        <f>_xlfn.TEXTJOIN(" ",TRUE,Migrationsartikel!L179)</f>
        <v>35l</v>
      </c>
      <c r="W180" s="54" t="str">
        <f>_xlfn.TEXTJOIN(" ",TRUE,Migrationsartikel!P179)</f>
        <v>35l</v>
      </c>
      <c r="X180" s="54" t="str">
        <f>Migrationsartikel!I179</f>
        <v>Gebührensäcke 35L</v>
      </c>
      <c r="Y180" s="54" t="str">
        <f>Migrationsartikel!M179</f>
        <v>Sacs poubelles 35l</v>
      </c>
      <c r="Z180" s="54" t="str">
        <f>Migrationsartikel!Q179</f>
        <v>Sacchi rifiuti 35l</v>
      </c>
      <c r="AA180" s="63">
        <f>Migrationsartikel!R179</f>
        <v>1</v>
      </c>
      <c r="AB180" s="54" t="str">
        <f>Migrationsartikel!T179</f>
        <v>Stück</v>
      </c>
      <c r="AC180" s="65">
        <f>Migrationsartikel!S179</f>
        <v>1</v>
      </c>
      <c r="AD180" s="54" t="str">
        <f>Migrationsartikel!U179</f>
        <v>(PCE) Stück</v>
      </c>
      <c r="AE180" s="55" t="s">
        <v>179</v>
      </c>
      <c r="AF180" s="67">
        <f>Migrationsartikel!AA179</f>
        <v>0</v>
      </c>
      <c r="AG180" s="55" t="s">
        <v>192</v>
      </c>
      <c r="AH180" s="54" t="str">
        <f>IF(Migrationsartikel!AB179="ja","true",FALSE)</f>
        <v>true</v>
      </c>
      <c r="AI180" s="54" t="str">
        <f>IF(Migrationsartikel!AC179="ja","true",FALSE)</f>
        <v>true</v>
      </c>
      <c r="AJ180" s="54" t="str">
        <f>IF(Migrationsartikel!AD179="ja","true",FALSE)</f>
        <v>true</v>
      </c>
      <c r="AK180" s="54" t="str">
        <f>IF(Migrationsartikel!AE179="ja","true",FALSE)</f>
        <v>true</v>
      </c>
      <c r="AL180" s="54" t="str">
        <f>IF(Migrationsartikel!AF179="ja","Denner Partner","")</f>
        <v/>
      </c>
      <c r="AM180" s="54" t="str">
        <f>IF(Migrationsartikel!AG179="ja","true","false")</f>
        <v>false</v>
      </c>
      <c r="AN180" s="54" t="str">
        <f t="shared" si="3"/>
        <v>Kassentastenbelegung (ohne GTIN/PLU)</v>
      </c>
      <c r="AO180" s="66" t="s">
        <v>219</v>
      </c>
      <c r="AP180" s="65" t="s">
        <v>1613</v>
      </c>
      <c r="AQ180" s="66" t="s">
        <v>217</v>
      </c>
      <c r="AR180" s="30" t="s">
        <v>219</v>
      </c>
    </row>
    <row r="181" spans="2:44" ht="21.75" customHeight="1" x14ac:dyDescent="0.45">
      <c r="B181" s="54" t="s">
        <v>99</v>
      </c>
      <c r="E181" s="55" t="s">
        <v>87</v>
      </c>
      <c r="F181" s="54" t="str">
        <f>"Warengruppe&gt;&gt;"&amp;_xlfn.TEXTJOIN("&gt;&gt;",TRUE,Migrationsartikel!V180:X180)</f>
        <v>Warengruppe&gt;&gt;Near Food&gt;&gt;Gebrauchsartikel&gt;&gt;Gebührensäcke und Marken</v>
      </c>
      <c r="H181" s="55" t="s">
        <v>109</v>
      </c>
      <c r="J181" s="79">
        <f>Migrationsartikel!B180</f>
        <v>0</v>
      </c>
      <c r="L181" s="54" t="str">
        <f>_xlfn.TEXTJOIN(" ",TRUE,Migrationsartikel!F180:H180)</f>
        <v>Gebührensäcke 60L</v>
      </c>
      <c r="M181" s="54" t="str">
        <f>_xlfn.TEXTJOIN(" ",TRUE,Migrationsartikel!J180:L180)</f>
        <v>Sacs poubelles taxés 60l</v>
      </c>
      <c r="N181" s="54" t="str">
        <f>_xlfn.TEXTJOIN(" ",TRUE,Migrationsartikel!N180:P180)</f>
        <v>Sacchi rifiuti 60l</v>
      </c>
      <c r="O181" s="54" t="str">
        <f>Migrationsartikel!F180</f>
        <v>Gebührensäcke</v>
      </c>
      <c r="P181" s="54" t="str">
        <f>Migrationsartikel!J180</f>
        <v>Sacs poubelles taxés</v>
      </c>
      <c r="Q181" s="54" t="str">
        <f>Migrationsartikel!N180</f>
        <v>Sacchi rifiuti</v>
      </c>
      <c r="R181" s="54" t="str">
        <f>_xlfn.TEXTJOIN(" ",TRUE,Migrationsartikel!G180)</f>
        <v/>
      </c>
      <c r="S181" s="54" t="str">
        <f>_xlfn.TEXTJOIN(" ",TRUE,Migrationsartikel!K180)</f>
        <v/>
      </c>
      <c r="T181" s="54" t="str">
        <f>_xlfn.TEXTJOIN(" ",TRUE,Migrationsartikel!O180)</f>
        <v/>
      </c>
      <c r="U181" s="54" t="str">
        <f>_xlfn.TEXTJOIN(" ",TRUE,Migrationsartikel!H180)</f>
        <v>60L</v>
      </c>
      <c r="V181" s="54" t="str">
        <f>_xlfn.TEXTJOIN(" ",TRUE,Migrationsartikel!L180)</f>
        <v>60l</v>
      </c>
      <c r="W181" s="54" t="str">
        <f>_xlfn.TEXTJOIN(" ",TRUE,Migrationsartikel!P180)</f>
        <v>60l</v>
      </c>
      <c r="X181" s="54" t="str">
        <f>Migrationsartikel!I180</f>
        <v>Gebührensäcke 60L</v>
      </c>
      <c r="Y181" s="54" t="str">
        <f>Migrationsartikel!M180</f>
        <v>Sacs poubelles 60l</v>
      </c>
      <c r="Z181" s="54" t="str">
        <f>Migrationsartikel!Q180</f>
        <v>Sacchi rifiuti 60l</v>
      </c>
      <c r="AA181" s="63">
        <f>Migrationsartikel!R180</f>
        <v>1</v>
      </c>
      <c r="AB181" s="54" t="str">
        <f>Migrationsartikel!T180</f>
        <v>Stück</v>
      </c>
      <c r="AC181" s="65">
        <f>Migrationsartikel!S180</f>
        <v>1</v>
      </c>
      <c r="AD181" s="54" t="str">
        <f>Migrationsartikel!U180</f>
        <v>(PCE) Stück</v>
      </c>
      <c r="AE181" s="55" t="s">
        <v>179</v>
      </c>
      <c r="AF181" s="67">
        <f>Migrationsartikel!AA180</f>
        <v>0</v>
      </c>
      <c r="AG181" s="55" t="s">
        <v>192</v>
      </c>
      <c r="AH181" s="54" t="str">
        <f>IF(Migrationsartikel!AB180="ja","true",FALSE)</f>
        <v>true</v>
      </c>
      <c r="AI181" s="54" t="str">
        <f>IF(Migrationsartikel!AC180="ja","true",FALSE)</f>
        <v>true</v>
      </c>
      <c r="AJ181" s="54" t="str">
        <f>IF(Migrationsartikel!AD180="ja","true",FALSE)</f>
        <v>true</v>
      </c>
      <c r="AK181" s="54" t="str">
        <f>IF(Migrationsartikel!AE180="ja","true",FALSE)</f>
        <v>true</v>
      </c>
      <c r="AL181" s="54" t="str">
        <f>IF(Migrationsartikel!AF180="ja","Denner Partner","")</f>
        <v/>
      </c>
      <c r="AM181" s="54" t="str">
        <f>IF(Migrationsartikel!AG180="ja","true","false")</f>
        <v>false</v>
      </c>
      <c r="AN181" s="54" t="str">
        <f t="shared" si="3"/>
        <v>Kassentastenbelegung (ohne GTIN/PLU)</v>
      </c>
      <c r="AO181" s="66" t="s">
        <v>219</v>
      </c>
      <c r="AP181" s="65" t="s">
        <v>1614</v>
      </c>
      <c r="AQ181" s="66" t="s">
        <v>217</v>
      </c>
      <c r="AR181" s="30" t="s">
        <v>219</v>
      </c>
    </row>
    <row r="182" spans="2:44" ht="21.75" customHeight="1" x14ac:dyDescent="0.45">
      <c r="B182" s="54" t="s">
        <v>99</v>
      </c>
      <c r="E182" s="55" t="s">
        <v>87</v>
      </c>
      <c r="F182" s="54" t="str">
        <f>"Warengruppe&gt;&gt;"&amp;_xlfn.TEXTJOIN("&gt;&gt;",TRUE,Migrationsartikel!V181:X181)</f>
        <v>Warengruppe&gt;&gt;Near Food&gt;&gt;Gebrauchsartikel&gt;&gt;Gebrauchsartikel</v>
      </c>
      <c r="H182" s="55" t="s">
        <v>109</v>
      </c>
      <c r="J182" s="79">
        <f>Migrationsartikel!B181</f>
        <v>0</v>
      </c>
      <c r="L182" s="54" t="str">
        <f>_xlfn.TEXTJOIN(" ",TRUE,Migrationsartikel!F181:H181)</f>
        <v>Holz 1Stk</v>
      </c>
      <c r="M182" s="54" t="str">
        <f>_xlfn.TEXTJOIN(" ",TRUE,Migrationsartikel!J181:L181)</f>
        <v>Bois de chauffage 1pce</v>
      </c>
      <c r="N182" s="54" t="str">
        <f>_xlfn.TEXTJOIN(" ",TRUE,Migrationsartikel!N181:P181)</f>
        <v>Legna da ardere 1pz</v>
      </c>
      <c r="O182" s="54" t="str">
        <f>Migrationsartikel!F181</f>
        <v>Holz</v>
      </c>
      <c r="P182" s="54" t="str">
        <f>Migrationsartikel!J181</f>
        <v>Bois de chauffage</v>
      </c>
      <c r="Q182" s="54" t="str">
        <f>Migrationsartikel!N181</f>
        <v>Legna da ardere</v>
      </c>
      <c r="R182" s="54" t="str">
        <f>_xlfn.TEXTJOIN(" ",TRUE,Migrationsartikel!G181)</f>
        <v/>
      </c>
      <c r="S182" s="54" t="str">
        <f>_xlfn.TEXTJOIN(" ",TRUE,Migrationsartikel!K181)</f>
        <v/>
      </c>
      <c r="T182" s="54" t="str">
        <f>_xlfn.TEXTJOIN(" ",TRUE,Migrationsartikel!O181)</f>
        <v/>
      </c>
      <c r="U182" s="54" t="str">
        <f>_xlfn.TEXTJOIN(" ",TRUE,Migrationsartikel!H181)</f>
        <v>1Stk</v>
      </c>
      <c r="V182" s="54" t="str">
        <f>_xlfn.TEXTJOIN(" ",TRUE,Migrationsartikel!L181)</f>
        <v>1pce</v>
      </c>
      <c r="W182" s="54" t="str">
        <f>_xlfn.TEXTJOIN(" ",TRUE,Migrationsartikel!P181)</f>
        <v>1pz</v>
      </c>
      <c r="X182" s="54" t="str">
        <f>Migrationsartikel!I181</f>
        <v>Holz</v>
      </c>
      <c r="Y182" s="54" t="str">
        <f>Migrationsartikel!M181</f>
        <v>Bois de chauffage</v>
      </c>
      <c r="Z182" s="54" t="str">
        <f>Migrationsartikel!Q181</f>
        <v>Legna da ardere</v>
      </c>
      <c r="AA182" s="63">
        <f>Migrationsartikel!R181</f>
        <v>1</v>
      </c>
      <c r="AB182" s="54" t="str">
        <f>Migrationsartikel!T181</f>
        <v>Stück</v>
      </c>
      <c r="AC182" s="65">
        <f>Migrationsartikel!S181</f>
        <v>1</v>
      </c>
      <c r="AD182" s="54" t="str">
        <f>Migrationsartikel!U181</f>
        <v>(PCE) Stück</v>
      </c>
      <c r="AE182" s="55" t="s">
        <v>179</v>
      </c>
      <c r="AF182" s="67">
        <f>Migrationsartikel!AA181</f>
        <v>0</v>
      </c>
      <c r="AG182" s="55" t="s">
        <v>192</v>
      </c>
      <c r="AH182" s="54" t="str">
        <f>IF(Migrationsartikel!AB181="ja","true",FALSE)</f>
        <v>true</v>
      </c>
      <c r="AI182" s="54" t="str">
        <f>IF(Migrationsartikel!AC181="ja","true",FALSE)</f>
        <v>true</v>
      </c>
      <c r="AJ182" s="54" t="str">
        <f>IF(Migrationsartikel!AD181="ja","true",FALSE)</f>
        <v>true</v>
      </c>
      <c r="AK182" s="54" t="str">
        <f>IF(Migrationsartikel!AE181="ja","true",FALSE)</f>
        <v>true</v>
      </c>
      <c r="AL182" s="54" t="str">
        <f>IF(Migrationsartikel!AF181="ja","Denner Partner","")</f>
        <v/>
      </c>
      <c r="AM182" s="54" t="str">
        <f>IF(Migrationsartikel!AG181="ja","true","false")</f>
        <v>true</v>
      </c>
      <c r="AN182" s="54" t="str">
        <f t="shared" si="3"/>
        <v>Kassentastenbelegung (ohne GTIN/PLU)</v>
      </c>
      <c r="AO182" s="66" t="s">
        <v>219</v>
      </c>
      <c r="AP182" s="65" t="s">
        <v>1615</v>
      </c>
      <c r="AQ182" s="66" t="s">
        <v>217</v>
      </c>
      <c r="AR182" s="30" t="s">
        <v>219</v>
      </c>
    </row>
    <row r="183" spans="2:44" ht="21.75" customHeight="1" x14ac:dyDescent="0.45">
      <c r="B183" s="54" t="s">
        <v>99</v>
      </c>
      <c r="E183" s="55" t="s">
        <v>87</v>
      </c>
      <c r="F183" s="54" t="str">
        <f>"Warengruppe&gt;&gt;"&amp;_xlfn.TEXTJOIN("&gt;&gt;",TRUE,Migrationsartikel!V182:X182)</f>
        <v>Warengruppe&gt;&gt;Near Food&gt;&gt;Gebrauchsartikel&gt;&gt;Gebrauchsartikel</v>
      </c>
      <c r="H183" s="55" t="s">
        <v>109</v>
      </c>
      <c r="J183" s="79">
        <f>Migrationsartikel!B182</f>
        <v>0</v>
      </c>
      <c r="L183" s="54" t="str">
        <f>_xlfn.TEXTJOIN(" ",TRUE,Migrationsartikel!F182:H182)</f>
        <v>Holzkohle 1Stk</v>
      </c>
      <c r="M183" s="54" t="str">
        <f>_xlfn.TEXTJOIN(" ",TRUE,Migrationsartikel!J182:L182)</f>
        <v>Charbon de bois 1pce</v>
      </c>
      <c r="N183" s="54" t="str">
        <f>_xlfn.TEXTJOIN(" ",TRUE,Migrationsartikel!N182:P182)</f>
        <v>Carbone 1pz</v>
      </c>
      <c r="O183" s="54" t="str">
        <f>Migrationsartikel!F182</f>
        <v>Holzkohle</v>
      </c>
      <c r="P183" s="54" t="str">
        <f>Migrationsartikel!J182</f>
        <v>Charbon de bois</v>
      </c>
      <c r="Q183" s="54" t="str">
        <f>Migrationsartikel!N182</f>
        <v>Carbone</v>
      </c>
      <c r="R183" s="54" t="str">
        <f>_xlfn.TEXTJOIN(" ",TRUE,Migrationsartikel!G182)</f>
        <v/>
      </c>
      <c r="S183" s="54" t="str">
        <f>_xlfn.TEXTJOIN(" ",TRUE,Migrationsartikel!K182)</f>
        <v/>
      </c>
      <c r="T183" s="54" t="str">
        <f>_xlfn.TEXTJOIN(" ",TRUE,Migrationsartikel!O182)</f>
        <v/>
      </c>
      <c r="U183" s="54" t="str">
        <f>_xlfn.TEXTJOIN(" ",TRUE,Migrationsartikel!H182)</f>
        <v>1Stk</v>
      </c>
      <c r="V183" s="54" t="str">
        <f>_xlfn.TEXTJOIN(" ",TRUE,Migrationsartikel!L182)</f>
        <v>1pce</v>
      </c>
      <c r="W183" s="54" t="str">
        <f>_xlfn.TEXTJOIN(" ",TRUE,Migrationsartikel!P182)</f>
        <v>1pz</v>
      </c>
      <c r="X183" s="54" t="str">
        <f>Migrationsartikel!I182</f>
        <v>Holzkohle</v>
      </c>
      <c r="Y183" s="54" t="str">
        <f>Migrationsartikel!M182</f>
        <v>Charbon de bois</v>
      </c>
      <c r="Z183" s="54" t="str">
        <f>Migrationsartikel!Q182</f>
        <v>Carbone</v>
      </c>
      <c r="AA183" s="63">
        <f>Migrationsartikel!R182</f>
        <v>1</v>
      </c>
      <c r="AB183" s="54" t="str">
        <f>Migrationsartikel!T182</f>
        <v>Stück</v>
      </c>
      <c r="AC183" s="65">
        <f>Migrationsartikel!S182</f>
        <v>1</v>
      </c>
      <c r="AD183" s="54" t="str">
        <f>Migrationsartikel!U182</f>
        <v>(PCE) Stück</v>
      </c>
      <c r="AE183" s="55" t="s">
        <v>179</v>
      </c>
      <c r="AF183" s="67">
        <f>Migrationsartikel!AA182</f>
        <v>0</v>
      </c>
      <c r="AG183" s="55" t="s">
        <v>192</v>
      </c>
      <c r="AH183" s="54" t="str">
        <f>IF(Migrationsartikel!AB182="ja","true",FALSE)</f>
        <v>true</v>
      </c>
      <c r="AI183" s="54" t="str">
        <f>IF(Migrationsartikel!AC182="ja","true",FALSE)</f>
        <v>true</v>
      </c>
      <c r="AJ183" s="54" t="str">
        <f>IF(Migrationsartikel!AD182="ja","true",FALSE)</f>
        <v>true</v>
      </c>
      <c r="AK183" s="54" t="str">
        <f>IF(Migrationsartikel!AE182="ja","true",FALSE)</f>
        <v>true</v>
      </c>
      <c r="AL183" s="54" t="str">
        <f>IF(Migrationsartikel!AF182="ja","Denner Partner","")</f>
        <v/>
      </c>
      <c r="AM183" s="54" t="str">
        <f>IF(Migrationsartikel!AG182="ja","true","false")</f>
        <v>true</v>
      </c>
      <c r="AN183" s="54" t="str">
        <f t="shared" si="3"/>
        <v>Kassentastenbelegung (ohne GTIN/PLU)</v>
      </c>
      <c r="AO183" s="66" t="s">
        <v>219</v>
      </c>
      <c r="AP183" s="65" t="s">
        <v>1616</v>
      </c>
      <c r="AQ183" s="66" t="s">
        <v>217</v>
      </c>
      <c r="AR183" s="30" t="s">
        <v>219</v>
      </c>
    </row>
    <row r="184" spans="2:44" ht="21.75" customHeight="1" x14ac:dyDescent="0.45">
      <c r="B184" s="54" t="s">
        <v>99</v>
      </c>
      <c r="E184" s="55" t="s">
        <v>87</v>
      </c>
      <c r="F184" s="54" t="str">
        <f>"Warengruppe&gt;&gt;"&amp;_xlfn.TEXTJOIN("&gt;&gt;",TRUE,Migrationsartikel!V183:X183)</f>
        <v>Warengruppe&gt;&gt;Near Food&gt;&gt;Gebrauchsartikel&gt;&gt;Gebrauchsartikel</v>
      </c>
      <c r="H184" s="55" t="s">
        <v>109</v>
      </c>
      <c r="J184" s="79">
        <f>Migrationsartikel!B183</f>
        <v>0</v>
      </c>
      <c r="L184" s="54" t="str">
        <f>_xlfn.TEXTJOIN(" ",TRUE,Migrationsartikel!F183:H183)</f>
        <v>Karten 1Stk</v>
      </c>
      <c r="M184" s="54" t="str">
        <f>_xlfn.TEXTJOIN(" ",TRUE,Migrationsartikel!J183:L183)</f>
        <v>Cartes 1pce</v>
      </c>
      <c r="N184" s="54" t="str">
        <f>_xlfn.TEXTJOIN(" ",TRUE,Migrationsartikel!N183:P183)</f>
        <v>Cartoline 1pz</v>
      </c>
      <c r="O184" s="54" t="str">
        <f>Migrationsartikel!F183</f>
        <v>Karten</v>
      </c>
      <c r="P184" s="54" t="str">
        <f>Migrationsartikel!J183</f>
        <v>Cartes</v>
      </c>
      <c r="Q184" s="54" t="str">
        <f>Migrationsartikel!N183</f>
        <v>Cartoline</v>
      </c>
      <c r="R184" s="54" t="str">
        <f>_xlfn.TEXTJOIN(" ",TRUE,Migrationsartikel!G183)</f>
        <v/>
      </c>
      <c r="S184" s="54" t="str">
        <f>_xlfn.TEXTJOIN(" ",TRUE,Migrationsartikel!K183)</f>
        <v/>
      </c>
      <c r="T184" s="54" t="str">
        <f>_xlfn.TEXTJOIN(" ",TRUE,Migrationsartikel!O183)</f>
        <v/>
      </c>
      <c r="U184" s="54" t="str">
        <f>_xlfn.TEXTJOIN(" ",TRUE,Migrationsartikel!H183)</f>
        <v>1Stk</v>
      </c>
      <c r="V184" s="54" t="str">
        <f>_xlfn.TEXTJOIN(" ",TRUE,Migrationsartikel!L183)</f>
        <v>1pce</v>
      </c>
      <c r="W184" s="54" t="str">
        <f>_xlfn.TEXTJOIN(" ",TRUE,Migrationsartikel!P183)</f>
        <v>1pz</v>
      </c>
      <c r="X184" s="54" t="str">
        <f>Migrationsartikel!I183</f>
        <v>Karten</v>
      </c>
      <c r="Y184" s="54" t="str">
        <f>Migrationsartikel!M183</f>
        <v>Cartes</v>
      </c>
      <c r="Z184" s="54" t="str">
        <f>Migrationsartikel!Q183</f>
        <v>Cartoline</v>
      </c>
      <c r="AA184" s="63">
        <f>Migrationsartikel!R183</f>
        <v>1</v>
      </c>
      <c r="AB184" s="54" t="str">
        <f>Migrationsartikel!T183</f>
        <v>Stück</v>
      </c>
      <c r="AC184" s="65">
        <f>Migrationsartikel!S183</f>
        <v>1</v>
      </c>
      <c r="AD184" s="54" t="str">
        <f>Migrationsartikel!U183</f>
        <v>(PCE) Stück</v>
      </c>
      <c r="AE184" s="55" t="s">
        <v>179</v>
      </c>
      <c r="AF184" s="67">
        <f>Migrationsartikel!AA183</f>
        <v>0</v>
      </c>
      <c r="AG184" s="55" t="s">
        <v>192</v>
      </c>
      <c r="AH184" s="54" t="str">
        <f>IF(Migrationsartikel!AB183="ja","true",FALSE)</f>
        <v>true</v>
      </c>
      <c r="AI184" s="54" t="str">
        <f>IF(Migrationsartikel!AC183="ja","true",FALSE)</f>
        <v>true</v>
      </c>
      <c r="AJ184" s="54" t="str">
        <f>IF(Migrationsartikel!AD183="ja","true",FALSE)</f>
        <v>true</v>
      </c>
      <c r="AK184" s="54" t="str">
        <f>IF(Migrationsartikel!AE183="ja","true",FALSE)</f>
        <v>true</v>
      </c>
      <c r="AL184" s="54" t="str">
        <f>IF(Migrationsartikel!AF183="ja","Denner Partner","")</f>
        <v/>
      </c>
      <c r="AM184" s="54" t="str">
        <f>IF(Migrationsartikel!AG183="ja","true","false")</f>
        <v>true</v>
      </c>
      <c r="AN184" s="54" t="str">
        <f t="shared" si="3"/>
        <v>Kassentastenbelegung (ohne GTIN/PLU)</v>
      </c>
      <c r="AO184" s="66" t="s">
        <v>219</v>
      </c>
      <c r="AP184" s="65" t="s">
        <v>1617</v>
      </c>
      <c r="AQ184" s="66" t="s">
        <v>217</v>
      </c>
      <c r="AR184" s="30" t="s">
        <v>219</v>
      </c>
    </row>
    <row r="185" spans="2:44" ht="21.75" customHeight="1" x14ac:dyDescent="0.45">
      <c r="B185" s="54" t="s">
        <v>99</v>
      </c>
      <c r="E185" s="55" t="s">
        <v>87</v>
      </c>
      <c r="F185" s="54" t="str">
        <f>"Warengruppe&gt;&gt;"&amp;_xlfn.TEXTJOIN("&gt;&gt;",TRUE,Migrationsartikel!V184:X184)</f>
        <v>Warengruppe&gt;&gt;Near Food&gt;&gt;Gebrauchsartikel&gt;&gt;Gebrauchsartikel</v>
      </c>
      <c r="H185" s="55" t="s">
        <v>109</v>
      </c>
      <c r="J185" s="79">
        <f>Migrationsartikel!B184</f>
        <v>0</v>
      </c>
      <c r="L185" s="54" t="str">
        <f>_xlfn.TEXTJOIN(" ",TRUE,Migrationsartikel!F184:H184)</f>
        <v>Pellets 1Stk</v>
      </c>
      <c r="M185" s="54" t="str">
        <f>_xlfn.TEXTJOIN(" ",TRUE,Migrationsartikel!J184:L184)</f>
        <v>Pellets 1pce</v>
      </c>
      <c r="N185" s="54" t="str">
        <f>_xlfn.TEXTJOIN(" ",TRUE,Migrationsartikel!N184:P184)</f>
        <v>Pellet 1pz</v>
      </c>
      <c r="O185" s="54" t="str">
        <f>Migrationsartikel!F184</f>
        <v>Pellets</v>
      </c>
      <c r="P185" s="54" t="str">
        <f>Migrationsartikel!J184</f>
        <v>Pellets</v>
      </c>
      <c r="Q185" s="54" t="str">
        <f>Migrationsartikel!N184</f>
        <v>Pellet</v>
      </c>
      <c r="R185" s="54" t="str">
        <f>_xlfn.TEXTJOIN(" ",TRUE,Migrationsartikel!G184)</f>
        <v/>
      </c>
      <c r="S185" s="54" t="str">
        <f>_xlfn.TEXTJOIN(" ",TRUE,Migrationsartikel!K184)</f>
        <v/>
      </c>
      <c r="T185" s="54" t="str">
        <f>_xlfn.TEXTJOIN(" ",TRUE,Migrationsartikel!O184)</f>
        <v/>
      </c>
      <c r="U185" s="54" t="str">
        <f>_xlfn.TEXTJOIN(" ",TRUE,Migrationsartikel!H184)</f>
        <v>1Stk</v>
      </c>
      <c r="V185" s="54" t="str">
        <f>_xlfn.TEXTJOIN(" ",TRUE,Migrationsartikel!L184)</f>
        <v>1pce</v>
      </c>
      <c r="W185" s="54" t="str">
        <f>_xlfn.TEXTJOIN(" ",TRUE,Migrationsartikel!P184)</f>
        <v>1pz</v>
      </c>
      <c r="X185" s="54" t="str">
        <f>Migrationsartikel!I184</f>
        <v>Pellets</v>
      </c>
      <c r="Y185" s="54" t="str">
        <f>Migrationsartikel!M184</f>
        <v>Pellets</v>
      </c>
      <c r="Z185" s="54" t="str">
        <f>Migrationsartikel!Q184</f>
        <v>Pellet</v>
      </c>
      <c r="AA185" s="63">
        <f>Migrationsartikel!R184</f>
        <v>1</v>
      </c>
      <c r="AB185" s="54" t="str">
        <f>Migrationsartikel!T184</f>
        <v>Stück</v>
      </c>
      <c r="AC185" s="65">
        <f>Migrationsartikel!S184</f>
        <v>1</v>
      </c>
      <c r="AD185" s="54" t="str">
        <f>Migrationsartikel!U184</f>
        <v>(PCE) Stück</v>
      </c>
      <c r="AE185" s="55" t="s">
        <v>179</v>
      </c>
      <c r="AF185" s="67">
        <f>Migrationsartikel!AA184</f>
        <v>0</v>
      </c>
      <c r="AG185" s="55" t="s">
        <v>192</v>
      </c>
      <c r="AH185" s="54" t="str">
        <f>IF(Migrationsartikel!AB184="ja","true",FALSE)</f>
        <v>true</v>
      </c>
      <c r="AI185" s="54" t="str">
        <f>IF(Migrationsartikel!AC184="ja","true",FALSE)</f>
        <v>true</v>
      </c>
      <c r="AJ185" s="54" t="str">
        <f>IF(Migrationsartikel!AD184="ja","true",FALSE)</f>
        <v>true</v>
      </c>
      <c r="AK185" s="54" t="str">
        <f>IF(Migrationsartikel!AE184="ja","true",FALSE)</f>
        <v>true</v>
      </c>
      <c r="AL185" s="54" t="str">
        <f>IF(Migrationsartikel!AF184="ja","Denner Partner","")</f>
        <v/>
      </c>
      <c r="AM185" s="54" t="str">
        <f>IF(Migrationsartikel!AG184="ja","true","false")</f>
        <v>true</v>
      </c>
      <c r="AN185" s="54" t="str">
        <f t="shared" si="3"/>
        <v>Kassentastenbelegung (ohne GTIN/PLU)</v>
      </c>
      <c r="AO185" s="66" t="s">
        <v>219</v>
      </c>
      <c r="AP185" s="65" t="s">
        <v>1618</v>
      </c>
      <c r="AQ185" s="66" t="s">
        <v>217</v>
      </c>
      <c r="AR185" s="30" t="s">
        <v>219</v>
      </c>
    </row>
    <row r="186" spans="2:44" ht="21.75" customHeight="1" x14ac:dyDescent="0.45">
      <c r="B186" s="54" t="s">
        <v>99</v>
      </c>
      <c r="E186" s="55" t="s">
        <v>87</v>
      </c>
      <c r="F186" s="54" t="str">
        <f>"Warengruppe&gt;&gt;"&amp;_xlfn.TEXTJOIN("&gt;&gt;",TRUE,Migrationsartikel!V185:X185)</f>
        <v>Warengruppe&gt;&gt;Near Food&gt;&gt;Gebrauchsartikel&gt;&gt;Gebührensäcke und Marken</v>
      </c>
      <c r="H186" s="55" t="s">
        <v>109</v>
      </c>
      <c r="J186" s="79">
        <f>Migrationsartikel!B185</f>
        <v>0</v>
      </c>
      <c r="L186" s="54" t="str">
        <f>_xlfn.TEXTJOIN(" ",TRUE,Migrationsartikel!F185:H185)</f>
        <v>Plastikmüllsäcke 1Stk</v>
      </c>
      <c r="M186" s="54" t="str">
        <f>_xlfn.TEXTJOIN(" ",TRUE,Migrationsartikel!J185:L185)</f>
        <v>Sacs poubelles plast. 1pce</v>
      </c>
      <c r="N186" s="54" t="str">
        <f>_xlfn.TEXTJOIN(" ",TRUE,Migrationsartikel!N185:P185)</f>
        <v>Sacchi rifiuti plast. 1pz</v>
      </c>
      <c r="O186" s="54" t="str">
        <f>Migrationsartikel!F185</f>
        <v>Plastikmüllsäcke</v>
      </c>
      <c r="P186" s="54" t="str">
        <f>Migrationsartikel!J185</f>
        <v>Sacs poubelles plast.</v>
      </c>
      <c r="Q186" s="54" t="str">
        <f>Migrationsartikel!N185</f>
        <v>Sacchi rifiuti plast.</v>
      </c>
      <c r="R186" s="54" t="str">
        <f>_xlfn.TEXTJOIN(" ",TRUE,Migrationsartikel!G185)</f>
        <v/>
      </c>
      <c r="S186" s="54" t="str">
        <f>_xlfn.TEXTJOIN(" ",TRUE,Migrationsartikel!K185)</f>
        <v/>
      </c>
      <c r="T186" s="54" t="str">
        <f>_xlfn.TEXTJOIN(" ",TRUE,Migrationsartikel!O185)</f>
        <v/>
      </c>
      <c r="U186" s="54" t="str">
        <f>_xlfn.TEXTJOIN(" ",TRUE,Migrationsartikel!H185)</f>
        <v>1Stk</v>
      </c>
      <c r="V186" s="54" t="str">
        <f>_xlfn.TEXTJOIN(" ",TRUE,Migrationsartikel!L185)</f>
        <v>1pce</v>
      </c>
      <c r="W186" s="54" t="str">
        <f>_xlfn.TEXTJOIN(" ",TRUE,Migrationsartikel!P185)</f>
        <v>1pz</v>
      </c>
      <c r="X186" s="54" t="str">
        <f>Migrationsartikel!I185</f>
        <v>Plastikmüllsäcke</v>
      </c>
      <c r="Y186" s="54" t="str">
        <f>Migrationsartikel!M185</f>
        <v>Sacs poubelles plast.</v>
      </c>
      <c r="Z186" s="54" t="str">
        <f>Migrationsartikel!Q185</f>
        <v>Sacchi rifiuti plast.</v>
      </c>
      <c r="AA186" s="63">
        <f>Migrationsartikel!R185</f>
        <v>1</v>
      </c>
      <c r="AB186" s="54" t="str">
        <f>Migrationsartikel!T185</f>
        <v>Stück</v>
      </c>
      <c r="AC186" s="65">
        <f>Migrationsartikel!S185</f>
        <v>1</v>
      </c>
      <c r="AD186" s="54" t="str">
        <f>Migrationsartikel!U185</f>
        <v>(PCE) Stück</v>
      </c>
      <c r="AE186" s="55" t="s">
        <v>179</v>
      </c>
      <c r="AF186" s="67">
        <f>Migrationsartikel!AA185</f>
        <v>0</v>
      </c>
      <c r="AG186" s="55" t="s">
        <v>192</v>
      </c>
      <c r="AH186" s="54" t="str">
        <f>IF(Migrationsartikel!AB185="ja","true",FALSE)</f>
        <v>true</v>
      </c>
      <c r="AI186" s="54" t="str">
        <f>IF(Migrationsartikel!AC185="ja","true",FALSE)</f>
        <v>true</v>
      </c>
      <c r="AJ186" s="54" t="str">
        <f>IF(Migrationsartikel!AD185="ja","true",FALSE)</f>
        <v>true</v>
      </c>
      <c r="AK186" s="54" t="str">
        <f>IF(Migrationsartikel!AE185="ja","true",FALSE)</f>
        <v>true</v>
      </c>
      <c r="AL186" s="54" t="str">
        <f>IF(Migrationsartikel!AF185="ja","Denner Partner","")</f>
        <v/>
      </c>
      <c r="AM186" s="54" t="str">
        <f>IF(Migrationsartikel!AG185="ja","true","false")</f>
        <v>false</v>
      </c>
      <c r="AN186" s="54" t="str">
        <f t="shared" si="3"/>
        <v>Kassentastenbelegung (ohne GTIN/PLU)</v>
      </c>
      <c r="AO186" s="66" t="s">
        <v>219</v>
      </c>
      <c r="AP186" s="65" t="s">
        <v>1619</v>
      </c>
      <c r="AQ186" s="66" t="s">
        <v>217</v>
      </c>
      <c r="AR186" s="30" t="s">
        <v>219</v>
      </c>
    </row>
    <row r="187" spans="2:44" ht="21.75" customHeight="1" x14ac:dyDescent="0.45">
      <c r="B187" s="54" t="s">
        <v>99</v>
      </c>
      <c r="E187" s="55" t="s">
        <v>87</v>
      </c>
      <c r="F187" s="54" t="str">
        <f>"Warengruppe&gt;&gt;"&amp;_xlfn.TEXTJOIN("&gt;&gt;",TRUE,Migrationsartikel!V186:X186)</f>
        <v>Warengruppe&gt;&gt;Near Food&gt;&gt;Gebrauchsartikel&gt;&gt;Gebrauchsartikel</v>
      </c>
      <c r="H187" s="55" t="s">
        <v>109</v>
      </c>
      <c r="J187" s="79">
        <f>Migrationsartikel!B186</f>
        <v>0</v>
      </c>
      <c r="L187" s="54" t="str">
        <f>_xlfn.TEXTJOIN(" ",TRUE,Migrationsartikel!F186:H186)</f>
        <v>Zeitschriften 1Stk</v>
      </c>
      <c r="M187" s="54" t="str">
        <f>_xlfn.TEXTJOIN(" ",TRUE,Migrationsartikel!J186:L186)</f>
        <v>Magazines 1pce</v>
      </c>
      <c r="N187" s="54" t="str">
        <f>_xlfn.TEXTJOIN(" ",TRUE,Migrationsartikel!N186:P186)</f>
        <v>Riviste 1pz</v>
      </c>
      <c r="O187" s="54" t="str">
        <f>Migrationsartikel!F186</f>
        <v>Zeitschriften</v>
      </c>
      <c r="P187" s="54" t="str">
        <f>Migrationsartikel!J186</f>
        <v>Magazines</v>
      </c>
      <c r="Q187" s="54" t="str">
        <f>Migrationsartikel!N186</f>
        <v>Riviste</v>
      </c>
      <c r="R187" s="54" t="str">
        <f>_xlfn.TEXTJOIN(" ",TRUE,Migrationsartikel!G186)</f>
        <v/>
      </c>
      <c r="S187" s="54" t="str">
        <f>_xlfn.TEXTJOIN(" ",TRUE,Migrationsartikel!K186)</f>
        <v/>
      </c>
      <c r="T187" s="54" t="str">
        <f>_xlfn.TEXTJOIN(" ",TRUE,Migrationsartikel!O186)</f>
        <v/>
      </c>
      <c r="U187" s="54" t="str">
        <f>_xlfn.TEXTJOIN(" ",TRUE,Migrationsartikel!H186)</f>
        <v>1Stk</v>
      </c>
      <c r="V187" s="54" t="str">
        <f>_xlfn.TEXTJOIN(" ",TRUE,Migrationsartikel!L186)</f>
        <v>1pce</v>
      </c>
      <c r="W187" s="54" t="str">
        <f>_xlfn.TEXTJOIN(" ",TRUE,Migrationsartikel!P186)</f>
        <v>1pz</v>
      </c>
      <c r="X187" s="54" t="str">
        <f>Migrationsartikel!I186</f>
        <v>Zeitschriften</v>
      </c>
      <c r="Y187" s="54" t="str">
        <f>Migrationsartikel!M186</f>
        <v>Magazines</v>
      </c>
      <c r="Z187" s="54" t="str">
        <f>Migrationsartikel!Q186</f>
        <v>Riviste</v>
      </c>
      <c r="AA187" s="63">
        <f>Migrationsartikel!R186</f>
        <v>1</v>
      </c>
      <c r="AB187" s="54" t="str">
        <f>Migrationsartikel!T186</f>
        <v>Stück</v>
      </c>
      <c r="AC187" s="65">
        <f>Migrationsartikel!S186</f>
        <v>1</v>
      </c>
      <c r="AD187" s="54" t="str">
        <f>Migrationsartikel!U186</f>
        <v>(PCE) Stück</v>
      </c>
      <c r="AE187" s="55" t="s">
        <v>179</v>
      </c>
      <c r="AF187" s="67">
        <f>Migrationsartikel!AA186</f>
        <v>0</v>
      </c>
      <c r="AG187" s="55" t="s">
        <v>192</v>
      </c>
      <c r="AH187" s="54" t="str">
        <f>IF(Migrationsartikel!AB186="ja","true",FALSE)</f>
        <v>true</v>
      </c>
      <c r="AI187" s="54" t="str">
        <f>IF(Migrationsartikel!AC186="ja","true",FALSE)</f>
        <v>true</v>
      </c>
      <c r="AJ187" s="54" t="str">
        <f>IF(Migrationsartikel!AD186="ja","true",FALSE)</f>
        <v>true</v>
      </c>
      <c r="AK187" s="54" t="str">
        <f>IF(Migrationsartikel!AE186="ja","true",FALSE)</f>
        <v>true</v>
      </c>
      <c r="AL187" s="54" t="str">
        <f>IF(Migrationsartikel!AF186="ja","Denner Partner","")</f>
        <v/>
      </c>
      <c r="AM187" s="54" t="str">
        <f>IF(Migrationsartikel!AG186="ja","true","false")</f>
        <v>true</v>
      </c>
      <c r="AN187" s="54" t="str">
        <f t="shared" si="3"/>
        <v>Kassentastenbelegung (ohne GTIN/PLU)</v>
      </c>
      <c r="AO187" s="66" t="s">
        <v>219</v>
      </c>
      <c r="AP187" s="65" t="s">
        <v>1620</v>
      </c>
      <c r="AQ187" s="66" t="s">
        <v>217</v>
      </c>
      <c r="AR187" s="30" t="s">
        <v>219</v>
      </c>
    </row>
    <row r="188" spans="2:44" ht="21.75" customHeight="1" x14ac:dyDescent="0.45">
      <c r="B188" s="54" t="s">
        <v>99</v>
      </c>
      <c r="E188" s="55" t="s">
        <v>87</v>
      </c>
      <c r="F188" s="54" t="str">
        <f>"Warengruppe&gt;&gt;"&amp;_xlfn.TEXTJOIN("&gt;&gt;",TRUE,Migrationsartikel!V187:X187)</f>
        <v>Warengruppe&gt;&gt;Nicht-Handelsware&gt;&gt;Kasse&gt;&gt;Gutschein, Voucher</v>
      </c>
      <c r="H188" s="55" t="s">
        <v>109</v>
      </c>
      <c r="J188" s="79">
        <f>Migrationsartikel!B187</f>
        <v>0</v>
      </c>
      <c r="L188" s="54" t="str">
        <f>_xlfn.TEXTJOIN(" ",TRUE,Migrationsartikel!F187:H187)</f>
        <v>Gutschein 1Stk</v>
      </c>
      <c r="M188" s="54" t="str">
        <f>_xlfn.TEXTJOIN(" ",TRUE,Migrationsartikel!J187:L187)</f>
        <v>Bon cadeau 1pce</v>
      </c>
      <c r="N188" s="54" t="str">
        <f>_xlfn.TEXTJOIN(" ",TRUE,Migrationsartikel!N187:P187)</f>
        <v>Buono regalo 1pz</v>
      </c>
      <c r="O188" s="54" t="str">
        <f>Migrationsartikel!F187</f>
        <v>Gutschein</v>
      </c>
      <c r="P188" s="54" t="str">
        <f>Migrationsartikel!J187</f>
        <v>Bon cadeau</v>
      </c>
      <c r="Q188" s="54" t="str">
        <f>Migrationsartikel!N187</f>
        <v>Buono regalo</v>
      </c>
      <c r="R188" s="54" t="str">
        <f>_xlfn.TEXTJOIN(" ",TRUE,Migrationsartikel!G187)</f>
        <v/>
      </c>
      <c r="S188" s="54" t="str">
        <f>_xlfn.TEXTJOIN(" ",TRUE,Migrationsartikel!K187)</f>
        <v/>
      </c>
      <c r="T188" s="54" t="str">
        <f>_xlfn.TEXTJOIN(" ",TRUE,Migrationsartikel!O187)</f>
        <v/>
      </c>
      <c r="U188" s="54" t="str">
        <f>_xlfn.TEXTJOIN(" ",TRUE,Migrationsartikel!H187)</f>
        <v>1Stk</v>
      </c>
      <c r="V188" s="54" t="str">
        <f>_xlfn.TEXTJOIN(" ",TRUE,Migrationsartikel!L187)</f>
        <v>1pce</v>
      </c>
      <c r="W188" s="54" t="str">
        <f>_xlfn.TEXTJOIN(" ",TRUE,Migrationsartikel!P187)</f>
        <v>1pz</v>
      </c>
      <c r="X188" s="54" t="str">
        <f>Migrationsartikel!I187</f>
        <v>Gutschein</v>
      </c>
      <c r="Y188" s="54" t="str">
        <f>Migrationsartikel!M187</f>
        <v>Bon cadeau</v>
      </c>
      <c r="Z188" s="54" t="str">
        <f>Migrationsartikel!Q187</f>
        <v>Buono regalo</v>
      </c>
      <c r="AA188" s="63">
        <f>Migrationsartikel!R187</f>
        <v>1</v>
      </c>
      <c r="AB188" s="54" t="str">
        <f>Migrationsartikel!T187</f>
        <v>Stück</v>
      </c>
      <c r="AC188" s="65">
        <f>Migrationsartikel!S187</f>
        <v>1</v>
      </c>
      <c r="AD188" s="54" t="str">
        <f>Migrationsartikel!U187</f>
        <v>(PCE) Stück</v>
      </c>
      <c r="AE188" s="55" t="s">
        <v>179</v>
      </c>
      <c r="AF188" s="67">
        <f>Migrationsartikel!AA187</f>
        <v>0</v>
      </c>
      <c r="AG188" s="55" t="s">
        <v>192</v>
      </c>
      <c r="AH188" s="54" t="str">
        <f>IF(Migrationsartikel!AB187="ja","true",FALSE)</f>
        <v>true</v>
      </c>
      <c r="AI188" s="54" t="str">
        <f>IF(Migrationsartikel!AC187="ja","true",FALSE)</f>
        <v>true</v>
      </c>
      <c r="AJ188" s="54" t="str">
        <f>IF(Migrationsartikel!AD187="ja","true",FALSE)</f>
        <v>true</v>
      </c>
      <c r="AK188" s="54" t="str">
        <f>IF(Migrationsartikel!AE187="ja","true",FALSE)</f>
        <v>true</v>
      </c>
      <c r="AL188" s="54" t="str">
        <f>IF(Migrationsartikel!AF187="ja","Denner Partner","")</f>
        <v/>
      </c>
      <c r="AM188" s="54" t="str">
        <f>IF(Migrationsartikel!AG187="ja","true","false")</f>
        <v>true</v>
      </c>
      <c r="AN188" s="54" t="str">
        <f t="shared" si="3"/>
        <v>Kassentastenbelegung (ohne GTIN/PLU)</v>
      </c>
      <c r="AO188" s="66" t="s">
        <v>219</v>
      </c>
      <c r="AP188" s="65" t="s">
        <v>1621</v>
      </c>
      <c r="AQ188" s="66" t="s">
        <v>217</v>
      </c>
      <c r="AR188" s="30" t="s">
        <v>219</v>
      </c>
    </row>
    <row r="189" spans="2:44" ht="21.75" customHeight="1" x14ac:dyDescent="0.45">
      <c r="B189" s="54" t="s">
        <v>99</v>
      </c>
      <c r="E189" s="55" t="s">
        <v>87</v>
      </c>
      <c r="F189" s="54" t="str">
        <f>"Warengruppe&gt;&gt;"&amp;_xlfn.TEXTJOIN("&gt;&gt;",TRUE,Migrationsartikel!V188:X188)</f>
        <v>Warengruppe&gt;&gt;Nicht-Handelsware&gt;&gt;Non-Merchandise&gt;&gt;Dienstleistungen</v>
      </c>
      <c r="H189" s="55" t="s">
        <v>109</v>
      </c>
      <c r="J189" s="79">
        <f>Migrationsartikel!B188</f>
        <v>0</v>
      </c>
      <c r="L189" s="54" t="str">
        <f>_xlfn.TEXTJOIN(" ",TRUE,Migrationsartikel!F188:H188)</f>
        <v>Lieferpauschale 1Stk</v>
      </c>
      <c r="M189" s="54" t="str">
        <f>_xlfn.TEXTJOIN(" ",TRUE,Migrationsartikel!J188:L188)</f>
        <v>Frais de livraison 1pce</v>
      </c>
      <c r="N189" s="54" t="str">
        <f>_xlfn.TEXTJOIN(" ",TRUE,Migrationsartikel!N188:P188)</f>
        <v>Costi di consegna 1pz</v>
      </c>
      <c r="O189" s="54" t="str">
        <f>Migrationsartikel!F188</f>
        <v>Lieferpauschale</v>
      </c>
      <c r="P189" s="54" t="str">
        <f>Migrationsartikel!J188</f>
        <v>Frais de livraison</v>
      </c>
      <c r="Q189" s="54" t="str">
        <f>Migrationsartikel!N188</f>
        <v>Costi di consegna</v>
      </c>
      <c r="R189" s="54" t="str">
        <f>_xlfn.TEXTJOIN(" ",TRUE,Migrationsartikel!G188)</f>
        <v/>
      </c>
      <c r="S189" s="54" t="str">
        <f>_xlfn.TEXTJOIN(" ",TRUE,Migrationsartikel!K188)</f>
        <v/>
      </c>
      <c r="T189" s="54" t="str">
        <f>_xlfn.TEXTJOIN(" ",TRUE,Migrationsartikel!O188)</f>
        <v/>
      </c>
      <c r="U189" s="54" t="str">
        <f>_xlfn.TEXTJOIN(" ",TRUE,Migrationsartikel!H188)</f>
        <v>1Stk</v>
      </c>
      <c r="V189" s="54" t="str">
        <f>_xlfn.TEXTJOIN(" ",TRUE,Migrationsartikel!L188)</f>
        <v>1pce</v>
      </c>
      <c r="W189" s="54" t="str">
        <f>_xlfn.TEXTJOIN(" ",TRUE,Migrationsartikel!P188)</f>
        <v>1pz</v>
      </c>
      <c r="X189" s="54" t="str">
        <f>Migrationsartikel!I188</f>
        <v>Lieferpauschale</v>
      </c>
      <c r="Y189" s="54" t="str">
        <f>Migrationsartikel!M188</f>
        <v>Frais de livraison</v>
      </c>
      <c r="Z189" s="54" t="str">
        <f>Migrationsartikel!Q188</f>
        <v>Costi di consegna</v>
      </c>
      <c r="AA189" s="63">
        <f>Migrationsartikel!R188</f>
        <v>1</v>
      </c>
      <c r="AB189" s="54" t="str">
        <f>Migrationsartikel!T188</f>
        <v>Stück</v>
      </c>
      <c r="AC189" s="65">
        <f>Migrationsartikel!S188</f>
        <v>1</v>
      </c>
      <c r="AD189" s="54" t="str">
        <f>Migrationsartikel!U188</f>
        <v>(PCE) Stück</v>
      </c>
      <c r="AE189" s="55" t="s">
        <v>179</v>
      </c>
      <c r="AF189" s="67">
        <f>Migrationsartikel!AA188</f>
        <v>0</v>
      </c>
      <c r="AG189" s="55" t="s">
        <v>192</v>
      </c>
      <c r="AH189" s="54" t="str">
        <f>IF(Migrationsartikel!AB188="ja","true",FALSE)</f>
        <v>true</v>
      </c>
      <c r="AI189" s="54" t="str">
        <f>IF(Migrationsartikel!AC188="ja","true",FALSE)</f>
        <v>true</v>
      </c>
      <c r="AJ189" s="54" t="str">
        <f>IF(Migrationsartikel!AD188="ja","true",FALSE)</f>
        <v>true</v>
      </c>
      <c r="AK189" s="54" t="str">
        <f>IF(Migrationsartikel!AE188="ja","true",FALSE)</f>
        <v>true</v>
      </c>
      <c r="AL189" s="54" t="str">
        <f>IF(Migrationsartikel!AF188="ja","Denner Partner","")</f>
        <v/>
      </c>
      <c r="AM189" s="54" t="str">
        <f>IF(Migrationsartikel!AG188="ja","true","false")</f>
        <v>false</v>
      </c>
      <c r="AN189" s="54" t="str">
        <f t="shared" si="3"/>
        <v>Kassentastenbelegung (ohne GTIN/PLU)</v>
      </c>
      <c r="AO189" s="66" t="s">
        <v>219</v>
      </c>
      <c r="AP189" s="65" t="s">
        <v>1622</v>
      </c>
      <c r="AQ189" s="66" t="s">
        <v>217</v>
      </c>
      <c r="AR189" s="30" t="s">
        <v>219</v>
      </c>
    </row>
    <row r="190" spans="2:44" ht="21.75" customHeight="1" x14ac:dyDescent="0.45">
      <c r="B190" s="54" t="s">
        <v>99</v>
      </c>
      <c r="E190" s="55" t="s">
        <v>87</v>
      </c>
      <c r="F190" s="54" t="str">
        <f>"Warengruppe&gt;&gt;"&amp;_xlfn.TEXTJOIN("&gt;&gt;",TRUE,Migrationsartikel!V189:X189)</f>
        <v>Warengruppe&gt;&gt;Wein&gt;&gt;Weine&gt;&gt;Wein andere</v>
      </c>
      <c r="H190" s="55" t="s">
        <v>109</v>
      </c>
      <c r="J190" s="79">
        <f>Migrationsartikel!B189</f>
        <v>0</v>
      </c>
      <c r="L190" s="54" t="str">
        <f>_xlfn.TEXTJOIN(" ",TRUE,Migrationsartikel!F189:H189)</f>
        <v>Vin cuit aus der Region 50cl</v>
      </c>
      <c r="M190" s="54" t="str">
        <f>_xlfn.TEXTJOIN(" ",TRUE,Migrationsartikel!J189:L189)</f>
        <v>Vin cuit de la région 50cl</v>
      </c>
      <c r="N190" s="54" t="str">
        <f>_xlfn.TEXTJOIN(" ",TRUE,Migrationsartikel!N189:P189)</f>
        <v>Vin cuit della regione 50cl</v>
      </c>
      <c r="O190" s="54" t="str">
        <f>Migrationsartikel!F189</f>
        <v>Vin cuit</v>
      </c>
      <c r="P190" s="54" t="str">
        <f>Migrationsartikel!J189</f>
        <v>Vin cuit</v>
      </c>
      <c r="Q190" s="54" t="str">
        <f>Migrationsartikel!N189</f>
        <v>Vin cuit</v>
      </c>
      <c r="R190" s="54" t="str">
        <f>_xlfn.TEXTJOIN(" ",TRUE,Migrationsartikel!G189)</f>
        <v>aus der Region</v>
      </c>
      <c r="S190" s="54" t="str">
        <f>_xlfn.TEXTJOIN(" ",TRUE,Migrationsartikel!K189)</f>
        <v>de la région</v>
      </c>
      <c r="T190" s="54" t="str">
        <f>_xlfn.TEXTJOIN(" ",TRUE,Migrationsartikel!O189)</f>
        <v>della regione</v>
      </c>
      <c r="U190" s="54" t="str">
        <f>_xlfn.TEXTJOIN(" ",TRUE,Migrationsartikel!H189)</f>
        <v>50cl</v>
      </c>
      <c r="V190" s="54" t="str">
        <f>_xlfn.TEXTJOIN(" ",TRUE,Migrationsartikel!L189)</f>
        <v>50cl</v>
      </c>
      <c r="W190" s="54" t="str">
        <f>_xlfn.TEXTJOIN(" ",TRUE,Migrationsartikel!P189)</f>
        <v>50cl</v>
      </c>
      <c r="X190" s="54" t="str">
        <f>Migrationsartikel!I189</f>
        <v>Vin cuit 50cl</v>
      </c>
      <c r="Y190" s="54" t="str">
        <f>Migrationsartikel!M189</f>
        <v>Vin cuit 50cl</v>
      </c>
      <c r="Z190" s="54" t="str">
        <f>Migrationsartikel!Q189</f>
        <v>Vin cuit 50cl</v>
      </c>
      <c r="AA190" s="63">
        <f>Migrationsartikel!R189</f>
        <v>0.5</v>
      </c>
      <c r="AB190" s="54" t="str">
        <f>Migrationsartikel!T189</f>
        <v>Stück</v>
      </c>
      <c r="AC190" s="65">
        <f>Migrationsartikel!S189</f>
        <v>1</v>
      </c>
      <c r="AD190" s="54" t="str">
        <f>Migrationsartikel!U189</f>
        <v>(PCE) Stück</v>
      </c>
      <c r="AE190" s="55" t="s">
        <v>179</v>
      </c>
      <c r="AF190" s="67">
        <f>Migrationsartikel!AA189</f>
        <v>0</v>
      </c>
      <c r="AG190" s="55" t="s">
        <v>192</v>
      </c>
      <c r="AH190" s="54" t="str">
        <f>IF(Migrationsartikel!AB189="ja","true",FALSE)</f>
        <v>true</v>
      </c>
      <c r="AI190" s="54" t="str">
        <f>IF(Migrationsartikel!AC189="ja","true",FALSE)</f>
        <v>true</v>
      </c>
      <c r="AJ190" s="54" t="str">
        <f>IF(Migrationsartikel!AD189="ja","true",FALSE)</f>
        <v>true</v>
      </c>
      <c r="AK190" s="54" t="str">
        <f>IF(Migrationsartikel!AE189="ja","true",FALSE)</f>
        <v>true</v>
      </c>
      <c r="AL190" s="54" t="str">
        <f>IF(Migrationsartikel!AF189="ja","Denner Partner","")</f>
        <v/>
      </c>
      <c r="AM190" s="54" t="str">
        <f>IF(Migrationsartikel!AG189="ja","true","false")</f>
        <v>false</v>
      </c>
      <c r="AN190" s="54" t="str">
        <f t="shared" si="3"/>
        <v>Kassentastenbelegung (ohne GTIN/PLU)</v>
      </c>
      <c r="AO190" s="66" t="s">
        <v>219</v>
      </c>
      <c r="AP190" s="65" t="s">
        <v>1623</v>
      </c>
      <c r="AQ190" s="66" t="s">
        <v>217</v>
      </c>
      <c r="AR190" s="30" t="s">
        <v>219</v>
      </c>
    </row>
    <row r="191" spans="2:44" ht="21.75" customHeight="1" x14ac:dyDescent="0.45">
      <c r="B191" s="54" t="s">
        <v>99</v>
      </c>
      <c r="E191" s="55" t="s">
        <v>87</v>
      </c>
      <c r="F191" s="54" t="str">
        <f>"Warengruppe&gt;&gt;"&amp;_xlfn.TEXTJOIN("&gt;&gt;",TRUE,Migrationsartikel!V190:X190)</f>
        <v>Warengruppe&gt;&gt;Wein&gt;&gt;Weine&gt;&gt;Wein andere</v>
      </c>
      <c r="H191" s="55" t="s">
        <v>109</v>
      </c>
      <c r="J191" s="79">
        <f>Migrationsartikel!B190</f>
        <v>0</v>
      </c>
      <c r="L191" s="54" t="str">
        <f>_xlfn.TEXTJOIN(" ",TRUE,Migrationsartikel!F190:H190)</f>
        <v>Vin cuit aus der Region 75cl</v>
      </c>
      <c r="M191" s="54" t="str">
        <f>_xlfn.TEXTJOIN(" ",TRUE,Migrationsartikel!J190:L190)</f>
        <v>Vin cuit de la région 75cl</v>
      </c>
      <c r="N191" s="54" t="str">
        <f>_xlfn.TEXTJOIN(" ",TRUE,Migrationsartikel!N190:P190)</f>
        <v>Vin cuit della regione 75cl</v>
      </c>
      <c r="O191" s="54" t="str">
        <f>Migrationsartikel!F190</f>
        <v>Vin cuit</v>
      </c>
      <c r="P191" s="54" t="str">
        <f>Migrationsartikel!J190</f>
        <v>Vin cuit</v>
      </c>
      <c r="Q191" s="54" t="str">
        <f>Migrationsartikel!N190</f>
        <v>Vin cuit</v>
      </c>
      <c r="R191" s="54" t="str">
        <f>_xlfn.TEXTJOIN(" ",TRUE,Migrationsartikel!G190)</f>
        <v>aus der Region</v>
      </c>
      <c r="S191" s="54" t="str">
        <f>_xlfn.TEXTJOIN(" ",TRUE,Migrationsartikel!K190)</f>
        <v>de la région</v>
      </c>
      <c r="T191" s="54" t="str">
        <f>_xlfn.TEXTJOIN(" ",TRUE,Migrationsartikel!O190)</f>
        <v>della regione</v>
      </c>
      <c r="U191" s="54" t="str">
        <f>_xlfn.TEXTJOIN(" ",TRUE,Migrationsartikel!H190)</f>
        <v>75cl</v>
      </c>
      <c r="V191" s="54" t="str">
        <f>_xlfn.TEXTJOIN(" ",TRUE,Migrationsartikel!L190)</f>
        <v>75cl</v>
      </c>
      <c r="W191" s="54" t="str">
        <f>_xlfn.TEXTJOIN(" ",TRUE,Migrationsartikel!P190)</f>
        <v>75cl</v>
      </c>
      <c r="X191" s="54" t="str">
        <f>Migrationsartikel!I190</f>
        <v>Vin cuit 75cl</v>
      </c>
      <c r="Y191" s="54" t="str">
        <f>Migrationsartikel!M190</f>
        <v>Vin cuit 75cl</v>
      </c>
      <c r="Z191" s="54" t="str">
        <f>Migrationsartikel!Q190</f>
        <v>Vin cuit 75cl</v>
      </c>
      <c r="AA191" s="63">
        <f>Migrationsartikel!R190</f>
        <v>0.75</v>
      </c>
      <c r="AB191" s="54" t="str">
        <f>Migrationsartikel!T190</f>
        <v>Stück</v>
      </c>
      <c r="AC191" s="65">
        <f>Migrationsartikel!S190</f>
        <v>1</v>
      </c>
      <c r="AD191" s="54" t="str">
        <f>Migrationsartikel!U190</f>
        <v>(PCE) Stück</v>
      </c>
      <c r="AE191" s="55" t="s">
        <v>179</v>
      </c>
      <c r="AF191" s="67">
        <f>Migrationsartikel!AA190</f>
        <v>0</v>
      </c>
      <c r="AG191" s="55" t="s">
        <v>192</v>
      </c>
      <c r="AH191" s="54" t="str">
        <f>IF(Migrationsartikel!AB190="ja","true",FALSE)</f>
        <v>true</v>
      </c>
      <c r="AI191" s="54" t="str">
        <f>IF(Migrationsartikel!AC190="ja","true",FALSE)</f>
        <v>true</v>
      </c>
      <c r="AJ191" s="54" t="str">
        <f>IF(Migrationsartikel!AD190="ja","true",FALSE)</f>
        <v>true</v>
      </c>
      <c r="AK191" s="54" t="str">
        <f>IF(Migrationsartikel!AE190="ja","true",FALSE)</f>
        <v>true</v>
      </c>
      <c r="AL191" s="54" t="str">
        <f>IF(Migrationsartikel!AF190="ja","Denner Partner","")</f>
        <v/>
      </c>
      <c r="AM191" s="54" t="str">
        <f>IF(Migrationsartikel!AG190="ja","true","false")</f>
        <v>false</v>
      </c>
      <c r="AN191" s="54" t="str">
        <f t="shared" si="3"/>
        <v>Kassentastenbelegung (ohne GTIN/PLU)</v>
      </c>
      <c r="AO191" s="66" t="s">
        <v>219</v>
      </c>
      <c r="AP191" s="65" t="s">
        <v>1624</v>
      </c>
      <c r="AQ191" s="66" t="s">
        <v>217</v>
      </c>
      <c r="AR191" s="30" t="s">
        <v>219</v>
      </c>
    </row>
    <row r="192" spans="2:44" ht="21.75" customHeight="1" x14ac:dyDescent="0.45">
      <c r="B192" s="54" t="s">
        <v>99</v>
      </c>
      <c r="E192" s="55" t="s">
        <v>87</v>
      </c>
      <c r="F192" s="54" t="str">
        <f>"Warengruppe&gt;&gt;"&amp;_xlfn.TEXTJOIN("&gt;&gt;",TRUE,Migrationsartikel!V191:X191)</f>
        <v>Warengruppe&gt;&gt;Wein&gt;&gt;Weine&gt;&gt;Wein andere</v>
      </c>
      <c r="H192" s="55" t="s">
        <v>109</v>
      </c>
      <c r="J192" s="79">
        <f>Migrationsartikel!B191</f>
        <v>0</v>
      </c>
      <c r="L192" s="54" t="str">
        <f>_xlfn.TEXTJOIN(" ",TRUE,Migrationsartikel!F191:H191)</f>
        <v>Vin cuit aus der Region 1l</v>
      </c>
      <c r="M192" s="54" t="str">
        <f>_xlfn.TEXTJOIN(" ",TRUE,Migrationsartikel!J191:L191)</f>
        <v>Vin cuit de la région 1l</v>
      </c>
      <c r="N192" s="54" t="str">
        <f>_xlfn.TEXTJOIN(" ",TRUE,Migrationsartikel!N191:P191)</f>
        <v>Vin cuit della regione 1l</v>
      </c>
      <c r="O192" s="54" t="str">
        <f>Migrationsartikel!F191</f>
        <v>Vin cuit</v>
      </c>
      <c r="P192" s="54" t="str">
        <f>Migrationsartikel!J191</f>
        <v>Vin cuit</v>
      </c>
      <c r="Q192" s="54" t="str">
        <f>Migrationsartikel!N191</f>
        <v>Vin cuit</v>
      </c>
      <c r="R192" s="54" t="str">
        <f>_xlfn.TEXTJOIN(" ",TRUE,Migrationsartikel!G191)</f>
        <v>aus der Region</v>
      </c>
      <c r="S192" s="54" t="str">
        <f>_xlfn.TEXTJOIN(" ",TRUE,Migrationsartikel!K191)</f>
        <v>de la région</v>
      </c>
      <c r="T192" s="54" t="str">
        <f>_xlfn.TEXTJOIN(" ",TRUE,Migrationsartikel!O191)</f>
        <v>della regione</v>
      </c>
      <c r="U192" s="54" t="str">
        <f>_xlfn.TEXTJOIN(" ",TRUE,Migrationsartikel!H191)</f>
        <v>1l</v>
      </c>
      <c r="V192" s="54" t="str">
        <f>_xlfn.TEXTJOIN(" ",TRUE,Migrationsartikel!L191)</f>
        <v>1l</v>
      </c>
      <c r="W192" s="54" t="str">
        <f>_xlfn.TEXTJOIN(" ",TRUE,Migrationsartikel!P191)</f>
        <v>1l</v>
      </c>
      <c r="X192" s="54" t="str">
        <f>Migrationsartikel!I191</f>
        <v>Vin cuit 1l</v>
      </c>
      <c r="Y192" s="54" t="str">
        <f>Migrationsartikel!M191</f>
        <v>Vin cuit 1l</v>
      </c>
      <c r="Z192" s="54" t="str">
        <f>Migrationsartikel!Q191</f>
        <v>Vin cuit 1l</v>
      </c>
      <c r="AA192" s="63">
        <f>Migrationsartikel!R191</f>
        <v>1</v>
      </c>
      <c r="AB192" s="54" t="str">
        <f>Migrationsartikel!T191</f>
        <v>Stück</v>
      </c>
      <c r="AC192" s="65">
        <f>Migrationsartikel!S191</f>
        <v>1</v>
      </c>
      <c r="AD192" s="54" t="str">
        <f>Migrationsartikel!U191</f>
        <v>(PCE) Stück</v>
      </c>
      <c r="AE192" s="55" t="s">
        <v>179</v>
      </c>
      <c r="AF192" s="67">
        <f>Migrationsartikel!AA191</f>
        <v>0</v>
      </c>
      <c r="AG192" s="55" t="s">
        <v>192</v>
      </c>
      <c r="AH192" s="54" t="str">
        <f>IF(Migrationsartikel!AB191="ja","true",FALSE)</f>
        <v>true</v>
      </c>
      <c r="AI192" s="54" t="str">
        <f>IF(Migrationsartikel!AC191="ja","true",FALSE)</f>
        <v>true</v>
      </c>
      <c r="AJ192" s="54" t="str">
        <f>IF(Migrationsartikel!AD191="ja","true",FALSE)</f>
        <v>true</v>
      </c>
      <c r="AK192" s="54" t="str">
        <f>IF(Migrationsartikel!AE191="ja","true",FALSE)</f>
        <v>true</v>
      </c>
      <c r="AL192" s="54" t="str">
        <f>IF(Migrationsartikel!AF191="ja","Denner Partner","")</f>
        <v/>
      </c>
      <c r="AM192" s="54" t="str">
        <f>IF(Migrationsartikel!AG191="ja","true","false")</f>
        <v>false</v>
      </c>
      <c r="AN192" s="54" t="str">
        <f t="shared" si="3"/>
        <v>Kassentastenbelegung (ohne GTIN/PLU)</v>
      </c>
      <c r="AO192" s="66" t="s">
        <v>219</v>
      </c>
      <c r="AP192" s="65" t="s">
        <v>1625</v>
      </c>
      <c r="AQ192" s="66" t="s">
        <v>217</v>
      </c>
      <c r="AR192" s="30" t="s">
        <v>219</v>
      </c>
    </row>
    <row r="193" spans="2:44" ht="21.75" customHeight="1" x14ac:dyDescent="0.45">
      <c r="B193" s="54" t="s">
        <v>99</v>
      </c>
      <c r="E193" s="55" t="s">
        <v>87</v>
      </c>
      <c r="F193" s="54" t="str">
        <f>"Warengruppe&gt;&gt;"&amp;_xlfn.TEXTJOIN("&gt;&gt;",TRUE,Migrationsartikel!V192:X192)</f>
        <v>Warengruppe&gt;&gt;Wein&gt;&gt;Weine&gt;&gt;Wein andere</v>
      </c>
      <c r="H193" s="55" t="s">
        <v>109</v>
      </c>
      <c r="J193" s="79">
        <f>Migrationsartikel!B192</f>
        <v>0</v>
      </c>
      <c r="L193" s="54" t="str">
        <f>_xlfn.TEXTJOIN(" ",TRUE,Migrationsartikel!F192:H192)</f>
        <v>Wein aus der Region 1l</v>
      </c>
      <c r="M193" s="54" t="str">
        <f>_xlfn.TEXTJOIN(" ",TRUE,Migrationsartikel!J192:L192)</f>
        <v>Vin de la région 1l</v>
      </c>
      <c r="N193" s="54" t="str">
        <f>_xlfn.TEXTJOIN(" ",TRUE,Migrationsartikel!N192:P192)</f>
        <v>Vino della regione 1l</v>
      </c>
      <c r="O193" s="54" t="str">
        <f>Migrationsartikel!F192</f>
        <v>Wein</v>
      </c>
      <c r="P193" s="54" t="str">
        <f>Migrationsartikel!J192</f>
        <v>Vin</v>
      </c>
      <c r="Q193" s="54" t="str">
        <f>Migrationsartikel!N192</f>
        <v>Vino</v>
      </c>
      <c r="R193" s="54" t="str">
        <f>_xlfn.TEXTJOIN(" ",TRUE,Migrationsartikel!G192)</f>
        <v>aus der Region</v>
      </c>
      <c r="S193" s="54" t="str">
        <f>_xlfn.TEXTJOIN(" ",TRUE,Migrationsartikel!K192)</f>
        <v>de la région</v>
      </c>
      <c r="T193" s="54" t="str">
        <f>_xlfn.TEXTJOIN(" ",TRUE,Migrationsartikel!O192)</f>
        <v>della regione</v>
      </c>
      <c r="U193" s="54" t="str">
        <f>_xlfn.TEXTJOIN(" ",TRUE,Migrationsartikel!H192)</f>
        <v>1l</v>
      </c>
      <c r="V193" s="54" t="str">
        <f>_xlfn.TEXTJOIN(" ",TRUE,Migrationsartikel!L192)</f>
        <v>1l</v>
      </c>
      <c r="W193" s="54" t="str">
        <f>_xlfn.TEXTJOIN(" ",TRUE,Migrationsartikel!P192)</f>
        <v>1l</v>
      </c>
      <c r="X193" s="54" t="str">
        <f>Migrationsartikel!I192</f>
        <v>Wein 1l</v>
      </c>
      <c r="Y193" s="54" t="str">
        <f>Migrationsartikel!M192</f>
        <v>Vin 1l</v>
      </c>
      <c r="Z193" s="54" t="str">
        <f>Migrationsartikel!Q192</f>
        <v>Vino 1l</v>
      </c>
      <c r="AA193" s="63">
        <f>Migrationsartikel!R192</f>
        <v>1</v>
      </c>
      <c r="AB193" s="54" t="str">
        <f>Migrationsartikel!T192</f>
        <v>Stück</v>
      </c>
      <c r="AC193" s="65">
        <f>Migrationsartikel!S192</f>
        <v>1</v>
      </c>
      <c r="AD193" s="54" t="str">
        <f>Migrationsartikel!U192</f>
        <v>(PCE) Stück</v>
      </c>
      <c r="AE193" s="55" t="s">
        <v>179</v>
      </c>
      <c r="AF193" s="67">
        <f>Migrationsartikel!AA192</f>
        <v>0</v>
      </c>
      <c r="AG193" s="55" t="s">
        <v>192</v>
      </c>
      <c r="AH193" s="54" t="str">
        <f>IF(Migrationsartikel!AB192="ja","true",FALSE)</f>
        <v>true</v>
      </c>
      <c r="AI193" s="54" t="str">
        <f>IF(Migrationsartikel!AC192="ja","true",FALSE)</f>
        <v>true</v>
      </c>
      <c r="AJ193" s="54" t="str">
        <f>IF(Migrationsartikel!AD192="ja","true",FALSE)</f>
        <v>true</v>
      </c>
      <c r="AK193" s="54" t="str">
        <f>IF(Migrationsartikel!AE192="ja","true",FALSE)</f>
        <v>true</v>
      </c>
      <c r="AL193" s="54" t="str">
        <f>IF(Migrationsartikel!AF192="ja","Denner Partner","")</f>
        <v/>
      </c>
      <c r="AM193" s="54" t="str">
        <f>IF(Migrationsartikel!AG192="ja","true","false")</f>
        <v>false</v>
      </c>
      <c r="AN193" s="54" t="str">
        <f t="shared" si="3"/>
        <v>Kassentastenbelegung (ohne GTIN/PLU)</v>
      </c>
      <c r="AO193" s="66" t="s">
        <v>219</v>
      </c>
      <c r="AP193" s="65" t="s">
        <v>1626</v>
      </c>
      <c r="AQ193" s="66" t="s">
        <v>217</v>
      </c>
      <c r="AR193" s="30" t="s">
        <v>219</v>
      </c>
    </row>
    <row r="194" spans="2:44" ht="21.75" customHeight="1" x14ac:dyDescent="0.45">
      <c r="B194" s="54" t="s">
        <v>99</v>
      </c>
      <c r="E194" s="55" t="s">
        <v>87</v>
      </c>
      <c r="F194" s="54" t="str">
        <f>"Warengruppe&gt;&gt;"&amp;_xlfn.TEXTJOIN("&gt;&gt;",TRUE,Migrationsartikel!V193:X193)</f>
        <v>Warengruppe&gt;&gt;Wein&gt;&gt;Weine&gt;&gt;Wein andere</v>
      </c>
      <c r="H194" s="55" t="s">
        <v>109</v>
      </c>
      <c r="J194" s="79">
        <f>Migrationsartikel!B193</f>
        <v>0</v>
      </c>
      <c r="L194" s="54" t="str">
        <f>_xlfn.TEXTJOIN(" ",TRUE,Migrationsartikel!F193:H193)</f>
        <v>Wein aus der Region 25cl</v>
      </c>
      <c r="M194" s="54" t="str">
        <f>_xlfn.TEXTJOIN(" ",TRUE,Migrationsartikel!J193:L193)</f>
        <v>Vin de la région 25cl</v>
      </c>
      <c r="N194" s="54" t="str">
        <f>_xlfn.TEXTJOIN(" ",TRUE,Migrationsartikel!N193:P193)</f>
        <v>Vino della regione 25cl</v>
      </c>
      <c r="O194" s="54" t="str">
        <f>Migrationsartikel!F193</f>
        <v>Wein</v>
      </c>
      <c r="P194" s="54" t="str">
        <f>Migrationsartikel!J193</f>
        <v>Vin</v>
      </c>
      <c r="Q194" s="54" t="str">
        <f>Migrationsartikel!N193</f>
        <v>Vino</v>
      </c>
      <c r="R194" s="54" t="str">
        <f>_xlfn.TEXTJOIN(" ",TRUE,Migrationsartikel!G193)</f>
        <v>aus der Region</v>
      </c>
      <c r="S194" s="54" t="str">
        <f>_xlfn.TEXTJOIN(" ",TRUE,Migrationsartikel!K193)</f>
        <v>de la région</v>
      </c>
      <c r="T194" s="54" t="str">
        <f>_xlfn.TEXTJOIN(" ",TRUE,Migrationsartikel!O193)</f>
        <v>della regione</v>
      </c>
      <c r="U194" s="54" t="str">
        <f>_xlfn.TEXTJOIN(" ",TRUE,Migrationsartikel!H193)</f>
        <v>25cl</v>
      </c>
      <c r="V194" s="54" t="str">
        <f>_xlfn.TEXTJOIN(" ",TRUE,Migrationsartikel!L193)</f>
        <v>25cl</v>
      </c>
      <c r="W194" s="54" t="str">
        <f>_xlfn.TEXTJOIN(" ",TRUE,Migrationsartikel!P193)</f>
        <v>25cl</v>
      </c>
      <c r="X194" s="54" t="str">
        <f>Migrationsartikel!I193</f>
        <v>Wein 25cl</v>
      </c>
      <c r="Y194" s="54" t="str">
        <f>Migrationsartikel!M193</f>
        <v>Vin 25cl</v>
      </c>
      <c r="Z194" s="54" t="str">
        <f>Migrationsartikel!Q193</f>
        <v>Vino 25cl</v>
      </c>
      <c r="AA194" s="63">
        <f>Migrationsartikel!R193</f>
        <v>0.25</v>
      </c>
      <c r="AB194" s="54" t="str">
        <f>Migrationsartikel!T193</f>
        <v>Stück</v>
      </c>
      <c r="AC194" s="65">
        <f>Migrationsartikel!S193</f>
        <v>1</v>
      </c>
      <c r="AD194" s="54" t="str">
        <f>Migrationsartikel!U193</f>
        <v>(PCE) Stück</v>
      </c>
      <c r="AE194" s="55" t="s">
        <v>179</v>
      </c>
      <c r="AF194" s="67">
        <f>Migrationsartikel!AA193</f>
        <v>0</v>
      </c>
      <c r="AG194" s="55" t="s">
        <v>192</v>
      </c>
      <c r="AH194" s="54" t="str">
        <f>IF(Migrationsartikel!AB193="ja","true",FALSE)</f>
        <v>true</v>
      </c>
      <c r="AI194" s="54" t="str">
        <f>IF(Migrationsartikel!AC193="ja","true",FALSE)</f>
        <v>true</v>
      </c>
      <c r="AJ194" s="54" t="str">
        <f>IF(Migrationsartikel!AD193="ja","true",FALSE)</f>
        <v>true</v>
      </c>
      <c r="AK194" s="54" t="str">
        <f>IF(Migrationsartikel!AE193="ja","true",FALSE)</f>
        <v>true</v>
      </c>
      <c r="AL194" s="54" t="str">
        <f>IF(Migrationsartikel!AF193="ja","Denner Partner","")</f>
        <v/>
      </c>
      <c r="AM194" s="54" t="str">
        <f>IF(Migrationsartikel!AG193="ja","true","false")</f>
        <v>false</v>
      </c>
      <c r="AN194" s="54" t="str">
        <f t="shared" si="3"/>
        <v>Kassentastenbelegung (ohne GTIN/PLU)</v>
      </c>
      <c r="AO194" s="66" t="s">
        <v>219</v>
      </c>
      <c r="AP194" s="65" t="s">
        <v>1627</v>
      </c>
      <c r="AQ194" s="66" t="s">
        <v>217</v>
      </c>
      <c r="AR194" s="30" t="s">
        <v>219</v>
      </c>
    </row>
    <row r="195" spans="2:44" ht="21.75" customHeight="1" x14ac:dyDescent="0.45">
      <c r="B195" s="54" t="s">
        <v>99</v>
      </c>
      <c r="E195" s="55" t="s">
        <v>87</v>
      </c>
      <c r="F195" s="54" t="str">
        <f>"Warengruppe&gt;&gt;"&amp;_xlfn.TEXTJOIN("&gt;&gt;",TRUE,Migrationsartikel!V194:X194)</f>
        <v>Warengruppe&gt;&gt;Wein&gt;&gt;Weine&gt;&gt;Wein andere</v>
      </c>
      <c r="H195" s="55" t="s">
        <v>109</v>
      </c>
      <c r="J195" s="79">
        <f>Migrationsartikel!B194</f>
        <v>0</v>
      </c>
      <c r="L195" s="54" t="str">
        <f>_xlfn.TEXTJOIN(" ",TRUE,Migrationsartikel!F194:H194)</f>
        <v>Wein aus der Region 50cl</v>
      </c>
      <c r="M195" s="54" t="str">
        <f>_xlfn.TEXTJOIN(" ",TRUE,Migrationsartikel!J194:L194)</f>
        <v>Vin de la région 50cl</v>
      </c>
      <c r="N195" s="54" t="str">
        <f>_xlfn.TEXTJOIN(" ",TRUE,Migrationsartikel!N194:P194)</f>
        <v>Vino della regione 50cl</v>
      </c>
      <c r="O195" s="54" t="str">
        <f>Migrationsartikel!F194</f>
        <v>Wein</v>
      </c>
      <c r="P195" s="54" t="str">
        <f>Migrationsartikel!J194</f>
        <v>Vin</v>
      </c>
      <c r="Q195" s="54" t="str">
        <f>Migrationsartikel!N194</f>
        <v>Vino</v>
      </c>
      <c r="R195" s="54" t="str">
        <f>_xlfn.TEXTJOIN(" ",TRUE,Migrationsartikel!G194)</f>
        <v>aus der Region</v>
      </c>
      <c r="S195" s="54" t="str">
        <f>_xlfn.TEXTJOIN(" ",TRUE,Migrationsartikel!K194)</f>
        <v>de la région</v>
      </c>
      <c r="T195" s="54" t="str">
        <f>_xlfn.TEXTJOIN(" ",TRUE,Migrationsartikel!O194)</f>
        <v>della regione</v>
      </c>
      <c r="U195" s="54" t="str">
        <f>_xlfn.TEXTJOIN(" ",TRUE,Migrationsartikel!H194)</f>
        <v>50cl</v>
      </c>
      <c r="V195" s="54" t="str">
        <f>_xlfn.TEXTJOIN(" ",TRUE,Migrationsartikel!L194)</f>
        <v>50cl</v>
      </c>
      <c r="W195" s="54" t="str">
        <f>_xlfn.TEXTJOIN(" ",TRUE,Migrationsartikel!P194)</f>
        <v>50cl</v>
      </c>
      <c r="X195" s="54" t="str">
        <f>Migrationsartikel!I194</f>
        <v>Wein 50cl</v>
      </c>
      <c r="Y195" s="54" t="str">
        <f>Migrationsartikel!M194</f>
        <v>Vin 50cl</v>
      </c>
      <c r="Z195" s="54" t="str">
        <f>Migrationsartikel!Q194</f>
        <v>Vino 50cl</v>
      </c>
      <c r="AA195" s="63">
        <f>Migrationsartikel!R194</f>
        <v>0.5</v>
      </c>
      <c r="AB195" s="54" t="str">
        <f>Migrationsartikel!T194</f>
        <v>Stück</v>
      </c>
      <c r="AC195" s="65">
        <f>Migrationsartikel!S194</f>
        <v>1</v>
      </c>
      <c r="AD195" s="54" t="str">
        <f>Migrationsartikel!U194</f>
        <v>(PCE) Stück</v>
      </c>
      <c r="AE195" s="55" t="s">
        <v>179</v>
      </c>
      <c r="AF195" s="67">
        <f>Migrationsartikel!AA194</f>
        <v>0</v>
      </c>
      <c r="AG195" s="55" t="s">
        <v>192</v>
      </c>
      <c r="AH195" s="54" t="str">
        <f>IF(Migrationsartikel!AB194="ja","true",FALSE)</f>
        <v>true</v>
      </c>
      <c r="AI195" s="54" t="str">
        <f>IF(Migrationsartikel!AC194="ja","true",FALSE)</f>
        <v>true</v>
      </c>
      <c r="AJ195" s="54" t="str">
        <f>IF(Migrationsartikel!AD194="ja","true",FALSE)</f>
        <v>true</v>
      </c>
      <c r="AK195" s="54" t="str">
        <f>IF(Migrationsartikel!AE194="ja","true",FALSE)</f>
        <v>true</v>
      </c>
      <c r="AL195" s="54" t="str">
        <f>IF(Migrationsartikel!AF194="ja","Denner Partner","")</f>
        <v/>
      </c>
      <c r="AM195" s="54" t="str">
        <f>IF(Migrationsartikel!AG194="ja","true","false")</f>
        <v>false</v>
      </c>
      <c r="AN195" s="54" t="str">
        <f t="shared" si="3"/>
        <v>Kassentastenbelegung (ohne GTIN/PLU)</v>
      </c>
      <c r="AO195" s="66" t="s">
        <v>219</v>
      </c>
      <c r="AP195" s="65" t="s">
        <v>1628</v>
      </c>
      <c r="AQ195" s="66" t="s">
        <v>217</v>
      </c>
      <c r="AR195" s="30" t="s">
        <v>219</v>
      </c>
    </row>
    <row r="196" spans="2:44" ht="21.75" customHeight="1" x14ac:dyDescent="0.45">
      <c r="B196" s="54" t="s">
        <v>99</v>
      </c>
      <c r="E196" s="55" t="s">
        <v>87</v>
      </c>
      <c r="F196" s="54" t="str">
        <f>"Warengruppe&gt;&gt;"&amp;_xlfn.TEXTJOIN("&gt;&gt;",TRUE,Migrationsartikel!V195:X195)</f>
        <v>Warengruppe&gt;&gt;Wein&gt;&gt;Weine&gt;&gt;Wein andere</v>
      </c>
      <c r="H196" s="55" t="s">
        <v>109</v>
      </c>
      <c r="J196" s="79">
        <f>Migrationsartikel!B195</f>
        <v>0</v>
      </c>
      <c r="L196" s="54" t="str">
        <f>_xlfn.TEXTJOIN(" ",TRUE,Migrationsartikel!F195:H195)</f>
        <v>Wein aus der Region 75cl</v>
      </c>
      <c r="M196" s="54" t="str">
        <f>_xlfn.TEXTJOIN(" ",TRUE,Migrationsartikel!J195:L195)</f>
        <v>Vin de la région 75cl</v>
      </c>
      <c r="N196" s="54" t="str">
        <f>_xlfn.TEXTJOIN(" ",TRUE,Migrationsartikel!N195:P195)</f>
        <v>Vino della regione 75cl</v>
      </c>
      <c r="O196" s="54" t="str">
        <f>Migrationsartikel!F195</f>
        <v>Wein</v>
      </c>
      <c r="P196" s="54" t="str">
        <f>Migrationsartikel!J195</f>
        <v>Vin</v>
      </c>
      <c r="Q196" s="54" t="str">
        <f>Migrationsartikel!N195</f>
        <v>Vino</v>
      </c>
      <c r="R196" s="54" t="str">
        <f>_xlfn.TEXTJOIN(" ",TRUE,Migrationsartikel!G195)</f>
        <v>aus der Region</v>
      </c>
      <c r="S196" s="54" t="str">
        <f>_xlfn.TEXTJOIN(" ",TRUE,Migrationsartikel!K195)</f>
        <v>de la région</v>
      </c>
      <c r="T196" s="54" t="str">
        <f>_xlfn.TEXTJOIN(" ",TRUE,Migrationsartikel!O195)</f>
        <v>della regione</v>
      </c>
      <c r="U196" s="54" t="str">
        <f>_xlfn.TEXTJOIN(" ",TRUE,Migrationsartikel!H195)</f>
        <v>75cl</v>
      </c>
      <c r="V196" s="54" t="str">
        <f>_xlfn.TEXTJOIN(" ",TRUE,Migrationsartikel!L195)</f>
        <v>75cl</v>
      </c>
      <c r="W196" s="54" t="str">
        <f>_xlfn.TEXTJOIN(" ",TRUE,Migrationsartikel!P195)</f>
        <v>75cl</v>
      </c>
      <c r="X196" s="54" t="str">
        <f>Migrationsartikel!I195</f>
        <v>Wein 75cl</v>
      </c>
      <c r="Y196" s="54" t="str">
        <f>Migrationsartikel!M195</f>
        <v>Vin 75cl</v>
      </c>
      <c r="Z196" s="54" t="str">
        <f>Migrationsartikel!Q195</f>
        <v>Vino 75cl</v>
      </c>
      <c r="AA196" s="63">
        <f>Migrationsartikel!R195</f>
        <v>0.75</v>
      </c>
      <c r="AB196" s="54" t="str">
        <f>Migrationsartikel!T195</f>
        <v>Stück</v>
      </c>
      <c r="AC196" s="65">
        <f>Migrationsartikel!S195</f>
        <v>1</v>
      </c>
      <c r="AD196" s="54" t="str">
        <f>Migrationsartikel!U195</f>
        <v>(PCE) Stück</v>
      </c>
      <c r="AE196" s="55" t="s">
        <v>179</v>
      </c>
      <c r="AF196" s="67">
        <f>Migrationsartikel!AA195</f>
        <v>0</v>
      </c>
      <c r="AG196" s="55" t="s">
        <v>192</v>
      </c>
      <c r="AH196" s="54" t="str">
        <f>IF(Migrationsartikel!AB195="ja","true",FALSE)</f>
        <v>true</v>
      </c>
      <c r="AI196" s="54" t="str">
        <f>IF(Migrationsartikel!AC195="ja","true",FALSE)</f>
        <v>true</v>
      </c>
      <c r="AJ196" s="54" t="str">
        <f>IF(Migrationsartikel!AD195="ja","true",FALSE)</f>
        <v>true</v>
      </c>
      <c r="AK196" s="54" t="str">
        <f>IF(Migrationsartikel!AE195="ja","true",FALSE)</f>
        <v>true</v>
      </c>
      <c r="AL196" s="54" t="str">
        <f>IF(Migrationsartikel!AF195="ja","Denner Partner","")</f>
        <v/>
      </c>
      <c r="AM196" s="54" t="str">
        <f>IF(Migrationsartikel!AG195="ja","true","false")</f>
        <v>false</v>
      </c>
      <c r="AN196" s="54" t="str">
        <f t="shared" ref="AN196:AN249" si="4">IF(AND(ISNUMBER(J196),J196&gt;=100,J196&lt;=999),"PLU",IF(AND(ISNUMBER(J196),J196&gt;999),"GTIN","Kassentastenbelegung (ohne GTIN/PLU)"))</f>
        <v>Kassentastenbelegung (ohne GTIN/PLU)</v>
      </c>
      <c r="AO196" s="66" t="s">
        <v>219</v>
      </c>
      <c r="AP196" s="65" t="s">
        <v>1629</v>
      </c>
      <c r="AQ196" s="66" t="s">
        <v>217</v>
      </c>
      <c r="AR196" s="30" t="s">
        <v>219</v>
      </c>
    </row>
    <row r="197" spans="2:44" ht="21.75" customHeight="1" x14ac:dyDescent="0.45">
      <c r="B197" s="54" t="s">
        <v>99</v>
      </c>
      <c r="E197" s="55" t="s">
        <v>87</v>
      </c>
      <c r="F197" s="54" t="str">
        <f>"Warengruppe&gt;&gt;"&amp;_xlfn.TEXTJOIN("&gt;&gt;",TRUE,Migrationsartikel!V196:X196)</f>
        <v>Warengruppe&gt;&gt;Früchte und Gemüse&gt;&gt;Früchte und Gemüse&gt;&gt;Früchte</v>
      </c>
      <c r="H197" s="55" t="s">
        <v>109</v>
      </c>
      <c r="J197" s="79">
        <f>Migrationsartikel!B196</f>
        <v>135</v>
      </c>
      <c r="L197" s="54" t="str">
        <f>_xlfn.TEXTJOIN(" ",TRUE,Migrationsartikel!F196:H196)</f>
        <v>Birnen Büscheli Offen Kl. 1</v>
      </c>
      <c r="M197" s="54" t="str">
        <f>_xlfn.TEXTJOIN(" ",TRUE,Migrationsartikel!J196:L196)</f>
        <v>Poires Büscheli En vrac, cl. 1</v>
      </c>
      <c r="N197" s="54" t="str">
        <f>_xlfn.TEXTJOIN(" ",TRUE,Migrationsartikel!N196:P196)</f>
        <v>Pere Büscheli Cl. 1 vendita sfusa</v>
      </c>
      <c r="O197" s="54" t="str">
        <f>Migrationsartikel!F196</f>
        <v>Birnen Büscheli</v>
      </c>
      <c r="P197" s="54" t="str">
        <f>Migrationsartikel!J196</f>
        <v>Poires Büscheli</v>
      </c>
      <c r="Q197" s="54" t="str">
        <f>Migrationsartikel!N196</f>
        <v>Pere Büscheli</v>
      </c>
      <c r="R197" s="54" t="str">
        <f>_xlfn.TEXTJOIN(" ",TRUE,Migrationsartikel!G196)</f>
        <v>Offen Kl. 1</v>
      </c>
      <c r="S197" s="54" t="str">
        <f>_xlfn.TEXTJOIN(" ",TRUE,Migrationsartikel!K196)</f>
        <v>En vrac, cl. 1</v>
      </c>
      <c r="T197" s="54" t="str">
        <f>_xlfn.TEXTJOIN(" ",TRUE,Migrationsartikel!O196)</f>
        <v>Cl. 1 vendita sfusa</v>
      </c>
      <c r="U197" s="54" t="str">
        <f>_xlfn.TEXTJOIN(" ",TRUE,Migrationsartikel!H196)</f>
        <v/>
      </c>
      <c r="V197" s="54" t="str">
        <f>_xlfn.TEXTJOIN(" ",TRUE,Migrationsartikel!L196)</f>
        <v/>
      </c>
      <c r="W197" s="54" t="str">
        <f>_xlfn.TEXTJOIN(" ",TRUE,Migrationsartikel!P196)</f>
        <v/>
      </c>
      <c r="X197" s="54" t="str">
        <f>Migrationsartikel!I196</f>
        <v>Birnen Büscheli Offen Kl. 1</v>
      </c>
      <c r="Y197" s="54" t="str">
        <f>Migrationsartikel!M196</f>
        <v>Poires Büscheli</v>
      </c>
      <c r="Z197" s="54" t="str">
        <f>Migrationsartikel!Q196</f>
        <v>Pere Büscheli Cl. 1 v.s.</v>
      </c>
      <c r="AA197" s="63">
        <f>Migrationsartikel!R196</f>
        <v>1</v>
      </c>
      <c r="AB197" s="54" t="str">
        <f>Migrationsartikel!T196</f>
        <v>Kilogramm</v>
      </c>
      <c r="AC197" s="65">
        <f>Migrationsartikel!S196</f>
        <v>1</v>
      </c>
      <c r="AD197" s="54" t="str">
        <f>Migrationsartikel!U196</f>
        <v>(KGM) KG</v>
      </c>
      <c r="AE197" s="55" t="s">
        <v>179</v>
      </c>
      <c r="AF197" s="67">
        <f>Migrationsartikel!AA196</f>
        <v>0</v>
      </c>
      <c r="AG197" s="55" t="s">
        <v>192</v>
      </c>
      <c r="AH197" s="54" t="str">
        <f>IF(Migrationsartikel!AB196="ja","true",FALSE)</f>
        <v>true</v>
      </c>
      <c r="AI197" s="54" t="str">
        <f>IF(Migrationsartikel!AC196="ja","true",FALSE)</f>
        <v>true</v>
      </c>
      <c r="AJ197" s="54" t="str">
        <f>IF(Migrationsartikel!AD196="ja","true",FALSE)</f>
        <v>true</v>
      </c>
      <c r="AK197" s="54" t="str">
        <f>IF(Migrationsartikel!AE196="ja","true",FALSE)</f>
        <v>true</v>
      </c>
      <c r="AL197" s="54" t="str">
        <f>IF(Migrationsartikel!AF196="ja","Denner Partner","")</f>
        <v/>
      </c>
      <c r="AM197" s="54" t="str">
        <f>IF(Migrationsartikel!AG196="ja","true","false")</f>
        <v>false</v>
      </c>
      <c r="AN197" s="54" t="str">
        <f t="shared" si="4"/>
        <v>PLU</v>
      </c>
      <c r="AO197" s="66" t="s">
        <v>219</v>
      </c>
      <c r="AP197" s="65" t="s">
        <v>1630</v>
      </c>
      <c r="AQ197" s="66" t="s">
        <v>217</v>
      </c>
      <c r="AR197" s="30" t="s">
        <v>219</v>
      </c>
    </row>
    <row r="198" spans="2:44" ht="21.75" customHeight="1" x14ac:dyDescent="0.45">
      <c r="B198" s="54" t="s">
        <v>99</v>
      </c>
      <c r="E198" s="55" t="s">
        <v>87</v>
      </c>
      <c r="F198" s="54" t="str">
        <f>"Warengruppe&gt;&gt;"&amp;_xlfn.TEXTJOIN("&gt;&gt;",TRUE,Migrationsartikel!V197:X197)</f>
        <v>Warengruppe&gt;&gt;Früchte und Gemüse&gt;&gt;Früchte und Gemüse&gt;&gt;Früchte</v>
      </c>
      <c r="H198" s="55" t="s">
        <v>109</v>
      </c>
      <c r="J198" s="79">
        <f>Migrationsartikel!B197</f>
        <v>180</v>
      </c>
      <c r="L198" s="54" t="str">
        <f>_xlfn.TEXTJOIN(" ",TRUE,Migrationsartikel!F197:H197)</f>
        <v>Ananas Baby 1Stk</v>
      </c>
      <c r="M198" s="54" t="str">
        <f>_xlfn.TEXTJOIN(" ",TRUE,Migrationsartikel!J197:L197)</f>
        <v>Ananas Baby 1pce</v>
      </c>
      <c r="N198" s="54" t="str">
        <f>_xlfn.TEXTJOIN(" ",TRUE,Migrationsartikel!N197:P197)</f>
        <v>Ananas Baby 1pz</v>
      </c>
      <c r="O198" s="54" t="str">
        <f>Migrationsartikel!F197</f>
        <v>Ananas</v>
      </c>
      <c r="P198" s="54" t="str">
        <f>Migrationsartikel!J197</f>
        <v>Ananas</v>
      </c>
      <c r="Q198" s="54" t="str">
        <f>Migrationsartikel!N197</f>
        <v>Ananas</v>
      </c>
      <c r="R198" s="54" t="str">
        <f>_xlfn.TEXTJOIN(" ",TRUE,Migrationsartikel!G197)</f>
        <v>Baby</v>
      </c>
      <c r="S198" s="54" t="str">
        <f>_xlfn.TEXTJOIN(" ",TRUE,Migrationsartikel!K197)</f>
        <v>Baby</v>
      </c>
      <c r="T198" s="54" t="str">
        <f>_xlfn.TEXTJOIN(" ",TRUE,Migrationsartikel!O197)</f>
        <v>Baby</v>
      </c>
      <c r="U198" s="54" t="str">
        <f>_xlfn.TEXTJOIN(" ",TRUE,Migrationsartikel!H197)</f>
        <v>1Stk</v>
      </c>
      <c r="V198" s="54" t="str">
        <f>_xlfn.TEXTJOIN(" ",TRUE,Migrationsartikel!L197)</f>
        <v>1pce</v>
      </c>
      <c r="W198" s="54" t="str">
        <f>_xlfn.TEXTJOIN(" ",TRUE,Migrationsartikel!P197)</f>
        <v>1pz</v>
      </c>
      <c r="X198" s="54" t="str">
        <f>Migrationsartikel!I197</f>
        <v>Ananas Baby Stk</v>
      </c>
      <c r="Y198" s="54" t="str">
        <f>Migrationsartikel!M197</f>
        <v>Ananas Baby</v>
      </c>
      <c r="Z198" s="54" t="str">
        <f>Migrationsartikel!Q197</f>
        <v>Ananas Baby 1 pz</v>
      </c>
      <c r="AA198" s="63">
        <f>Migrationsartikel!R197</f>
        <v>1</v>
      </c>
      <c r="AB198" s="54" t="str">
        <f>Migrationsartikel!T197</f>
        <v>Stück</v>
      </c>
      <c r="AC198" s="65">
        <f>Migrationsartikel!S197</f>
        <v>1</v>
      </c>
      <c r="AD198" s="54" t="str">
        <f>Migrationsartikel!U197</f>
        <v>(PCE) Stück</v>
      </c>
      <c r="AE198" s="55" t="s">
        <v>179</v>
      </c>
      <c r="AF198" s="67">
        <f>Migrationsartikel!AA197</f>
        <v>0</v>
      </c>
      <c r="AG198" s="55" t="s">
        <v>192</v>
      </c>
      <c r="AH198" s="54" t="str">
        <f>IF(Migrationsartikel!AB197="ja","true",FALSE)</f>
        <v>true</v>
      </c>
      <c r="AI198" s="54" t="str">
        <f>IF(Migrationsartikel!AC197="ja","true",FALSE)</f>
        <v>true</v>
      </c>
      <c r="AJ198" s="54" t="str">
        <f>IF(Migrationsartikel!AD197="ja","true",FALSE)</f>
        <v>true</v>
      </c>
      <c r="AK198" s="54" t="str">
        <f>IF(Migrationsartikel!AE197="ja","true",FALSE)</f>
        <v>true</v>
      </c>
      <c r="AL198" s="54" t="str">
        <f>IF(Migrationsartikel!AF197="ja","Denner Partner","")</f>
        <v/>
      </c>
      <c r="AM198" s="54" t="str">
        <f>IF(Migrationsartikel!AG197="ja","true","false")</f>
        <v>false</v>
      </c>
      <c r="AN198" s="54" t="str">
        <f t="shared" si="4"/>
        <v>PLU</v>
      </c>
      <c r="AO198" s="66" t="s">
        <v>219</v>
      </c>
      <c r="AP198" s="65" t="s">
        <v>1631</v>
      </c>
      <c r="AQ198" s="66" t="s">
        <v>217</v>
      </c>
      <c r="AR198" s="30" t="s">
        <v>219</v>
      </c>
    </row>
    <row r="199" spans="2:44" ht="21.75" customHeight="1" x14ac:dyDescent="0.45">
      <c r="B199" s="54" t="s">
        <v>99</v>
      </c>
      <c r="E199" s="55" t="s">
        <v>87</v>
      </c>
      <c r="F199" s="54" t="str">
        <f>"Warengruppe&gt;&gt;"&amp;_xlfn.TEXTJOIN("&gt;&gt;",TRUE,Migrationsartikel!V198:X198)</f>
        <v>Warengruppe&gt;&gt;Früchte und Gemüse&gt;&gt;Früchte und Gemüse&gt;&gt;Früchte</v>
      </c>
      <c r="H199" s="55" t="s">
        <v>109</v>
      </c>
      <c r="J199" s="79">
        <f>Migrationsartikel!B198</f>
        <v>7613399001270</v>
      </c>
      <c r="L199" s="54" t="str">
        <f>_xlfn.TEXTJOIN(" ",TRUE,Migrationsartikel!F198:H198)</f>
        <v>Ananas Becher 200g</v>
      </c>
      <c r="M199" s="54" t="str">
        <f>_xlfn.TEXTJOIN(" ",TRUE,Migrationsartikel!J198:L198)</f>
        <v>Ananas Gobelet 200g</v>
      </c>
      <c r="N199" s="54" t="str">
        <f>_xlfn.TEXTJOIN(" ",TRUE,Migrationsartikel!N198:P198)</f>
        <v>Ananas bicchiere 200g</v>
      </c>
      <c r="O199" s="54" t="str">
        <f>Migrationsartikel!F198</f>
        <v>Ananas</v>
      </c>
      <c r="P199" s="54" t="str">
        <f>Migrationsartikel!J198</f>
        <v>Ananas</v>
      </c>
      <c r="Q199" s="54" t="str">
        <f>Migrationsartikel!N198</f>
        <v>Ananas</v>
      </c>
      <c r="R199" s="54" t="str">
        <f>_xlfn.TEXTJOIN(" ",TRUE,Migrationsartikel!G198)</f>
        <v>Becher</v>
      </c>
      <c r="S199" s="54" t="str">
        <f>_xlfn.TEXTJOIN(" ",TRUE,Migrationsartikel!K198)</f>
        <v>Gobelet</v>
      </c>
      <c r="T199" s="54" t="str">
        <f>_xlfn.TEXTJOIN(" ",TRUE,Migrationsartikel!O198)</f>
        <v>bicchiere</v>
      </c>
      <c r="U199" s="54" t="str">
        <f>_xlfn.TEXTJOIN(" ",TRUE,Migrationsartikel!H198)</f>
        <v>200g</v>
      </c>
      <c r="V199" s="54" t="str">
        <f>_xlfn.TEXTJOIN(" ",TRUE,Migrationsartikel!L198)</f>
        <v>200g</v>
      </c>
      <c r="W199" s="54" t="str">
        <f>_xlfn.TEXTJOIN(" ",TRUE,Migrationsartikel!P198)</f>
        <v>200g</v>
      </c>
      <c r="X199" s="54" t="str">
        <f>Migrationsartikel!I198</f>
        <v>Ananas Becher 200g</v>
      </c>
      <c r="Y199" s="54" t="str">
        <f>Migrationsartikel!M198</f>
        <v>Ananas gobelet 200g</v>
      </c>
      <c r="Z199" s="54" t="str">
        <f>Migrationsartikel!Q198</f>
        <v>Ananas bicchiere 200g</v>
      </c>
      <c r="AA199" s="63">
        <f>Migrationsartikel!R198</f>
        <v>0.2</v>
      </c>
      <c r="AB199" s="54" t="str">
        <f>Migrationsartikel!T198</f>
        <v>Gramm</v>
      </c>
      <c r="AC199" s="65">
        <f>Migrationsartikel!S198</f>
        <v>100</v>
      </c>
      <c r="AD199" s="54" t="str">
        <f>Migrationsartikel!U198</f>
        <v>(PCE) Stück</v>
      </c>
      <c r="AE199" s="55" t="s">
        <v>179</v>
      </c>
      <c r="AF199" s="67">
        <f>Migrationsartikel!AA198</f>
        <v>0</v>
      </c>
      <c r="AG199" s="55" t="s">
        <v>192</v>
      </c>
      <c r="AH199" s="54" t="str">
        <f>IF(Migrationsartikel!AB198="ja","true",FALSE)</f>
        <v>true</v>
      </c>
      <c r="AI199" s="54" t="str">
        <f>IF(Migrationsartikel!AC198="ja","true",FALSE)</f>
        <v>true</v>
      </c>
      <c r="AJ199" s="54" t="str">
        <f>IF(Migrationsartikel!AD198="ja","true",FALSE)</f>
        <v>true</v>
      </c>
      <c r="AK199" s="54" t="str">
        <f>IF(Migrationsartikel!AE198="ja","true",FALSE)</f>
        <v>true</v>
      </c>
      <c r="AL199" s="54" t="str">
        <f>IF(Migrationsartikel!AF198="ja","Denner Partner","")</f>
        <v/>
      </c>
      <c r="AM199" s="54" t="str">
        <f>IF(Migrationsartikel!AG198="ja","true","false")</f>
        <v>false</v>
      </c>
      <c r="AN199" s="54" t="str">
        <f t="shared" si="4"/>
        <v>GTIN</v>
      </c>
      <c r="AO199" s="66" t="s">
        <v>219</v>
      </c>
      <c r="AP199" s="65" t="s">
        <v>1632</v>
      </c>
      <c r="AQ199" s="66" t="s">
        <v>217</v>
      </c>
      <c r="AR199" s="30" t="s">
        <v>219</v>
      </c>
    </row>
    <row r="200" spans="2:44" ht="21.75" customHeight="1" x14ac:dyDescent="0.45">
      <c r="B200" s="54" t="s">
        <v>99</v>
      </c>
      <c r="E200" s="55" t="s">
        <v>87</v>
      </c>
      <c r="F200" s="54" t="str">
        <f>"Warengruppe&gt;&gt;"&amp;_xlfn.TEXTJOIN("&gt;&gt;",TRUE,Migrationsartikel!V199:X199)</f>
        <v>Warengruppe&gt;&gt;Früchte und Gemüse&gt;&gt;Früchte und Gemüse&gt;&gt;Früchte</v>
      </c>
      <c r="H200" s="55" t="s">
        <v>109</v>
      </c>
      <c r="J200" s="79">
        <f>Migrationsartikel!B199</f>
        <v>7613399021476</v>
      </c>
      <c r="L200" s="54" t="str">
        <f>_xlfn.TEXTJOIN(" ",TRUE,Migrationsartikel!F199:H199)</f>
        <v>Aprikosen 2kg</v>
      </c>
      <c r="M200" s="54" t="str">
        <f>_xlfn.TEXTJOIN(" ",TRUE,Migrationsartikel!J199:L199)</f>
        <v>Abricots 2kg</v>
      </c>
      <c r="N200" s="54" t="str">
        <f>_xlfn.TEXTJOIN(" ",TRUE,Migrationsartikel!N199:P199)</f>
        <v>Albicocche 2kg</v>
      </c>
      <c r="O200" s="54" t="str">
        <f>Migrationsartikel!F199</f>
        <v>Aprikosen</v>
      </c>
      <c r="P200" s="54" t="str">
        <f>Migrationsartikel!J199</f>
        <v>Abricots</v>
      </c>
      <c r="Q200" s="54" t="str">
        <f>Migrationsartikel!N199</f>
        <v>Albicocche</v>
      </c>
      <c r="R200" s="54" t="str">
        <f>_xlfn.TEXTJOIN(" ",TRUE,Migrationsartikel!G199)</f>
        <v/>
      </c>
      <c r="S200" s="54" t="str">
        <f>_xlfn.TEXTJOIN(" ",TRUE,Migrationsartikel!K199)</f>
        <v/>
      </c>
      <c r="T200" s="54" t="str">
        <f>_xlfn.TEXTJOIN(" ",TRUE,Migrationsartikel!O199)</f>
        <v/>
      </c>
      <c r="U200" s="54" t="str">
        <f>_xlfn.TEXTJOIN(" ",TRUE,Migrationsartikel!H199)</f>
        <v>2kg</v>
      </c>
      <c r="V200" s="54" t="str">
        <f>_xlfn.TEXTJOIN(" ",TRUE,Migrationsartikel!L199)</f>
        <v>2kg</v>
      </c>
      <c r="W200" s="54" t="str">
        <f>_xlfn.TEXTJOIN(" ",TRUE,Migrationsartikel!P199)</f>
        <v>2kg</v>
      </c>
      <c r="X200" s="54" t="str">
        <f>Migrationsartikel!I199</f>
        <v>Aprikosen 2kg</v>
      </c>
      <c r="Y200" s="54" t="str">
        <f>Migrationsartikel!M199</f>
        <v>Abricots 2kg</v>
      </c>
      <c r="Z200" s="54" t="str">
        <f>Migrationsartikel!Q199</f>
        <v>Albicocche 2kg</v>
      </c>
      <c r="AA200" s="63">
        <f>Migrationsartikel!R199</f>
        <v>2</v>
      </c>
      <c r="AB200" s="54" t="str">
        <f>Migrationsartikel!T199</f>
        <v>Kilogramm</v>
      </c>
      <c r="AC200" s="65">
        <f>Migrationsartikel!S199</f>
        <v>1</v>
      </c>
      <c r="AD200" s="54" t="str">
        <f>Migrationsartikel!U199</f>
        <v>(PCE) Stück</v>
      </c>
      <c r="AE200" s="55" t="s">
        <v>179</v>
      </c>
      <c r="AF200" s="67">
        <f>Migrationsartikel!AA199</f>
        <v>0</v>
      </c>
      <c r="AG200" s="55" t="s">
        <v>192</v>
      </c>
      <c r="AH200" s="54" t="str">
        <f>IF(Migrationsartikel!AB199="ja","true",FALSE)</f>
        <v>true</v>
      </c>
      <c r="AI200" s="54" t="str">
        <f>IF(Migrationsartikel!AC199="ja","true",FALSE)</f>
        <v>true</v>
      </c>
      <c r="AJ200" s="54" t="str">
        <f>IF(Migrationsartikel!AD199="ja","true",FALSE)</f>
        <v>true</v>
      </c>
      <c r="AK200" s="54" t="str">
        <f>IF(Migrationsartikel!AE199="ja","true",FALSE)</f>
        <v>true</v>
      </c>
      <c r="AL200" s="54" t="str">
        <f>IF(Migrationsartikel!AF199="ja","Denner Partner","")</f>
        <v/>
      </c>
      <c r="AM200" s="54" t="str">
        <f>IF(Migrationsartikel!AG199="ja","true","false")</f>
        <v>false</v>
      </c>
      <c r="AN200" s="54" t="str">
        <f t="shared" si="4"/>
        <v>GTIN</v>
      </c>
      <c r="AO200" s="66" t="s">
        <v>219</v>
      </c>
      <c r="AP200" s="65" t="s">
        <v>1633</v>
      </c>
      <c r="AQ200" s="66" t="s">
        <v>217</v>
      </c>
      <c r="AR200" s="30" t="s">
        <v>219</v>
      </c>
    </row>
    <row r="201" spans="2:44" ht="21.75" customHeight="1" x14ac:dyDescent="0.45">
      <c r="B201" s="54" t="s">
        <v>99</v>
      </c>
      <c r="E201" s="55" t="s">
        <v>87</v>
      </c>
      <c r="F201" s="54" t="str">
        <f>"Warengruppe&gt;&gt;"&amp;_xlfn.TEXTJOIN("&gt;&gt;",TRUE,Migrationsartikel!V200:X200)</f>
        <v>Warengruppe&gt;&gt;Früchte und Gemüse&gt;&gt;Früchte und Gemüse&gt;&gt;Früchte</v>
      </c>
      <c r="H201" s="55" t="s">
        <v>109</v>
      </c>
      <c r="J201" s="79">
        <f>Migrationsartikel!B200</f>
        <v>2203231000000</v>
      </c>
      <c r="L201" s="54" t="str">
        <f>_xlfn.TEXTJOIN(" ",TRUE,Migrationsartikel!F200:H200)</f>
        <v>Aprikosen ca. 800g</v>
      </c>
      <c r="M201" s="54" t="str">
        <f>_xlfn.TEXTJOIN(" ",TRUE,Migrationsartikel!J200:L200)</f>
        <v>Abricots env. 800g</v>
      </c>
      <c r="N201" s="54" t="str">
        <f>_xlfn.TEXTJOIN(" ",TRUE,Migrationsartikel!N200:P200)</f>
        <v>Albicocche ca. 800g</v>
      </c>
      <c r="O201" s="54" t="str">
        <f>Migrationsartikel!F200</f>
        <v>Aprikosen</v>
      </c>
      <c r="P201" s="54" t="str">
        <f>Migrationsartikel!J200</f>
        <v>Abricots</v>
      </c>
      <c r="Q201" s="54" t="str">
        <f>Migrationsartikel!N200</f>
        <v>Albicocche</v>
      </c>
      <c r="R201" s="54" t="str">
        <f>_xlfn.TEXTJOIN(" ",TRUE,Migrationsartikel!G200)</f>
        <v/>
      </c>
      <c r="S201" s="54" t="str">
        <f>_xlfn.TEXTJOIN(" ",TRUE,Migrationsartikel!K200)</f>
        <v/>
      </c>
      <c r="T201" s="54" t="str">
        <f>_xlfn.TEXTJOIN(" ",TRUE,Migrationsartikel!O200)</f>
        <v/>
      </c>
      <c r="U201" s="54" t="str">
        <f>_xlfn.TEXTJOIN(" ",TRUE,Migrationsartikel!H200)</f>
        <v>ca. 800g</v>
      </c>
      <c r="V201" s="54" t="str">
        <f>_xlfn.TEXTJOIN(" ",TRUE,Migrationsartikel!L200)</f>
        <v>env. 800g</v>
      </c>
      <c r="W201" s="54" t="str">
        <f>_xlfn.TEXTJOIN(" ",TRUE,Migrationsartikel!P200)</f>
        <v>ca. 800g</v>
      </c>
      <c r="X201" s="54" t="str">
        <f>Migrationsartikel!I200</f>
        <v>Aprikosen ca. 800g</v>
      </c>
      <c r="Y201" s="54" t="str">
        <f>Migrationsartikel!M200</f>
        <v>Abricots env. 800g</v>
      </c>
      <c r="Z201" s="54" t="str">
        <f>Migrationsartikel!Q200</f>
        <v>Albicocche ca. 800g</v>
      </c>
      <c r="AA201" s="63">
        <f>Migrationsartikel!R200</f>
        <v>0.8</v>
      </c>
      <c r="AB201" s="54" t="str">
        <f>Migrationsartikel!T200</f>
        <v>Kilogramm</v>
      </c>
      <c r="AC201" s="65">
        <f>Migrationsartikel!S200</f>
        <v>1</v>
      </c>
      <c r="AD201" s="54" t="str">
        <f>Migrationsartikel!U200</f>
        <v>(PCE) Stück</v>
      </c>
      <c r="AE201" s="55" t="s">
        <v>179</v>
      </c>
      <c r="AF201" s="67">
        <f>Migrationsartikel!AA200</f>
        <v>0</v>
      </c>
      <c r="AG201" s="55" t="s">
        <v>192</v>
      </c>
      <c r="AH201" s="54" t="str">
        <f>IF(Migrationsartikel!AB200="ja","true",FALSE)</f>
        <v>true</v>
      </c>
      <c r="AI201" s="54" t="str">
        <f>IF(Migrationsartikel!AC200="ja","true",FALSE)</f>
        <v>true</v>
      </c>
      <c r="AJ201" s="54" t="str">
        <f>IF(Migrationsartikel!AD200="ja","true",FALSE)</f>
        <v>true</v>
      </c>
      <c r="AK201" s="54" t="str">
        <f>IF(Migrationsartikel!AE200="ja","true",FALSE)</f>
        <v>true</v>
      </c>
      <c r="AL201" s="54" t="str">
        <f>IF(Migrationsartikel!AF200="ja","Denner Partner","")</f>
        <v/>
      </c>
      <c r="AM201" s="54" t="str">
        <f>IF(Migrationsartikel!AG200="ja","true","false")</f>
        <v>false</v>
      </c>
      <c r="AN201" s="54" t="str">
        <f t="shared" si="4"/>
        <v>GTIN</v>
      </c>
      <c r="AO201" s="66" t="s">
        <v>219</v>
      </c>
      <c r="AP201" s="65" t="s">
        <v>1634</v>
      </c>
      <c r="AQ201" s="66" t="s">
        <v>217</v>
      </c>
      <c r="AR201" s="30" t="s">
        <v>219</v>
      </c>
    </row>
    <row r="202" spans="2:44" ht="21.75" customHeight="1" x14ac:dyDescent="0.45">
      <c r="B202" s="54" t="s">
        <v>99</v>
      </c>
      <c r="E202" s="55" t="s">
        <v>87</v>
      </c>
      <c r="F202" s="54" t="str">
        <f>"Warengruppe&gt;&gt;"&amp;_xlfn.TEXTJOIN("&gt;&gt;",TRUE,Migrationsartikel!V201:X201)</f>
        <v>Warengruppe&gt;&gt;Früchte und Gemüse&gt;&gt;Früchte und Gemüse&gt;&gt;Früchte</v>
      </c>
      <c r="H202" s="55" t="s">
        <v>109</v>
      </c>
      <c r="J202" s="79">
        <f>Migrationsartikel!B201</f>
        <v>124</v>
      </c>
      <c r="L202" s="54" t="str">
        <f>_xlfn.TEXTJOIN(" ",TRUE,Migrationsartikel!F201:H201)</f>
        <v>Aprikosen Offen</v>
      </c>
      <c r="M202" s="54" t="str">
        <f>_xlfn.TEXTJOIN(" ",TRUE,Migrationsartikel!J201:L201)</f>
        <v>Abrivots En Vrac</v>
      </c>
      <c r="N202" s="54" t="str">
        <f>_xlfn.TEXTJOIN(" ",TRUE,Migrationsartikel!N201:P201)</f>
        <v>Albicocche vendita sfusa</v>
      </c>
      <c r="O202" s="54" t="str">
        <f>Migrationsartikel!F201</f>
        <v>Aprikosen Offen</v>
      </c>
      <c r="P202" s="54" t="str">
        <f>Migrationsartikel!J201</f>
        <v>Abrivots</v>
      </c>
      <c r="Q202" s="54" t="str">
        <f>Migrationsartikel!N201</f>
        <v>Albicocche</v>
      </c>
      <c r="R202" s="54" t="str">
        <f>_xlfn.TEXTJOIN(" ",TRUE,Migrationsartikel!G201)</f>
        <v/>
      </c>
      <c r="S202" s="54" t="str">
        <f>_xlfn.TEXTJOIN(" ",TRUE,Migrationsartikel!K201)</f>
        <v>En Vrac</v>
      </c>
      <c r="T202" s="54" t="str">
        <f>_xlfn.TEXTJOIN(" ",TRUE,Migrationsartikel!O201)</f>
        <v>vendita sfusa</v>
      </c>
      <c r="U202" s="54" t="str">
        <f>_xlfn.TEXTJOIN(" ",TRUE,Migrationsartikel!H201)</f>
        <v/>
      </c>
      <c r="V202" s="54" t="str">
        <f>_xlfn.TEXTJOIN(" ",TRUE,Migrationsartikel!L201)</f>
        <v/>
      </c>
      <c r="W202" s="54" t="str">
        <f>_xlfn.TEXTJOIN(" ",TRUE,Migrationsartikel!P201)</f>
        <v/>
      </c>
      <c r="X202" s="54" t="str">
        <f>Migrationsartikel!I201</f>
        <v>Aprikosen Offen</v>
      </c>
      <c r="Y202" s="54" t="str">
        <f>Migrationsartikel!M201</f>
        <v>Abricots en vrac</v>
      </c>
      <c r="Z202" s="54" t="str">
        <f>Migrationsartikel!Q201</f>
        <v>Albicocche vend. sfusa</v>
      </c>
      <c r="AA202" s="63">
        <f>Migrationsartikel!R201</f>
        <v>1</v>
      </c>
      <c r="AB202" s="54" t="str">
        <f>Migrationsartikel!T201</f>
        <v>Kilogramm</v>
      </c>
      <c r="AC202" s="65">
        <f>Migrationsartikel!S201</f>
        <v>1</v>
      </c>
      <c r="AD202" s="54" t="str">
        <f>Migrationsartikel!U201</f>
        <v>(KGM) KG</v>
      </c>
      <c r="AE202" s="55" t="s">
        <v>179</v>
      </c>
      <c r="AF202" s="67">
        <f>Migrationsartikel!AA201</f>
        <v>0</v>
      </c>
      <c r="AG202" s="55" t="s">
        <v>192</v>
      </c>
      <c r="AH202" s="54" t="str">
        <f>IF(Migrationsartikel!AB201="ja","true",FALSE)</f>
        <v>true</v>
      </c>
      <c r="AI202" s="54" t="str">
        <f>IF(Migrationsartikel!AC201="ja","true",FALSE)</f>
        <v>true</v>
      </c>
      <c r="AJ202" s="54" t="str">
        <f>IF(Migrationsartikel!AD201="ja","true",FALSE)</f>
        <v>true</v>
      </c>
      <c r="AK202" s="54" t="str">
        <f>IF(Migrationsartikel!AE201="ja","true",FALSE)</f>
        <v>true</v>
      </c>
      <c r="AL202" s="54" t="str">
        <f>IF(Migrationsartikel!AF201="ja","Denner Partner","")</f>
        <v/>
      </c>
      <c r="AM202" s="54" t="str">
        <f>IF(Migrationsartikel!AG201="ja","true","false")</f>
        <v>false</v>
      </c>
      <c r="AN202" s="54" t="str">
        <f t="shared" si="4"/>
        <v>PLU</v>
      </c>
      <c r="AO202" s="66" t="s">
        <v>219</v>
      </c>
      <c r="AP202" s="65" t="s">
        <v>1635</v>
      </c>
      <c r="AQ202" s="66" t="s">
        <v>217</v>
      </c>
      <c r="AR202" s="30" t="s">
        <v>219</v>
      </c>
    </row>
    <row r="203" spans="2:44" ht="21.75" customHeight="1" x14ac:dyDescent="0.45">
      <c r="B203" s="54" t="s">
        <v>99</v>
      </c>
      <c r="E203" s="55" t="s">
        <v>87</v>
      </c>
      <c r="F203" s="54" t="str">
        <f>"Warengruppe&gt;&gt;"&amp;_xlfn.TEXTJOIN("&gt;&gt;",TRUE,Migrationsartikel!V202:X202)</f>
        <v>Warengruppe&gt;&gt;Früchte und Gemüse&gt;&gt;Früchte und Gemüse&gt;&gt;Früchte</v>
      </c>
      <c r="H203" s="55" t="s">
        <v>109</v>
      </c>
      <c r="J203" s="79">
        <f>Migrationsartikel!B202</f>
        <v>7613399047834</v>
      </c>
      <c r="L203" s="54" t="str">
        <f>_xlfn.TEXTJOIN(" ",TRUE,Migrationsartikel!F202:H202)</f>
        <v>Aprikosen getrocknet 200g</v>
      </c>
      <c r="M203" s="54" t="str">
        <f>_xlfn.TEXTJOIN(" ",TRUE,Migrationsartikel!J202:L202)</f>
        <v>Abricots secs 200g</v>
      </c>
      <c r="N203" s="54" t="str">
        <f>_xlfn.TEXTJOIN(" ",TRUE,Migrationsartikel!N202:P202)</f>
        <v>Albicocche secche 200g</v>
      </c>
      <c r="O203" s="54" t="str">
        <f>Migrationsartikel!F202</f>
        <v>Aprikosen getrocknet</v>
      </c>
      <c r="P203" s="54" t="str">
        <f>Migrationsartikel!J202</f>
        <v>Abricots secs</v>
      </c>
      <c r="Q203" s="54" t="str">
        <f>Migrationsartikel!N202</f>
        <v>Albicocche secche</v>
      </c>
      <c r="R203" s="54" t="str">
        <f>_xlfn.TEXTJOIN(" ",TRUE,Migrationsartikel!G202)</f>
        <v/>
      </c>
      <c r="S203" s="54" t="str">
        <f>_xlfn.TEXTJOIN(" ",TRUE,Migrationsartikel!K202)</f>
        <v/>
      </c>
      <c r="T203" s="54" t="str">
        <f>_xlfn.TEXTJOIN(" ",TRUE,Migrationsartikel!O202)</f>
        <v/>
      </c>
      <c r="U203" s="54" t="str">
        <f>_xlfn.TEXTJOIN(" ",TRUE,Migrationsartikel!H202)</f>
        <v>200g</v>
      </c>
      <c r="V203" s="54" t="str">
        <f>_xlfn.TEXTJOIN(" ",TRUE,Migrationsartikel!L202)</f>
        <v>200g</v>
      </c>
      <c r="W203" s="54" t="str">
        <f>_xlfn.TEXTJOIN(" ",TRUE,Migrationsartikel!P202)</f>
        <v>200g</v>
      </c>
      <c r="X203" s="54" t="str">
        <f>Migrationsartikel!I202</f>
        <v>Aprikosen getrocknet 200g</v>
      </c>
      <c r="Y203" s="54" t="str">
        <f>Migrationsartikel!M202</f>
        <v>Abricots secs 200g</v>
      </c>
      <c r="Z203" s="54" t="str">
        <f>Migrationsartikel!Q202</f>
        <v>Albicocche secche 200g</v>
      </c>
      <c r="AA203" s="63">
        <f>Migrationsartikel!R202</f>
        <v>0.2</v>
      </c>
      <c r="AB203" s="54" t="str">
        <f>Migrationsartikel!T202</f>
        <v>Gramm</v>
      </c>
      <c r="AC203" s="65">
        <f>Migrationsartikel!S202</f>
        <v>100</v>
      </c>
      <c r="AD203" s="54" t="str">
        <f>Migrationsartikel!U202</f>
        <v>(PCE) Stück</v>
      </c>
      <c r="AE203" s="55" t="s">
        <v>179</v>
      </c>
      <c r="AF203" s="67">
        <f>Migrationsartikel!AA202</f>
        <v>0</v>
      </c>
      <c r="AG203" s="55" t="s">
        <v>192</v>
      </c>
      <c r="AH203" s="54" t="str">
        <f>IF(Migrationsartikel!AB202="ja","true",FALSE)</f>
        <v>true</v>
      </c>
      <c r="AI203" s="54" t="str">
        <f>IF(Migrationsartikel!AC202="ja","true",FALSE)</f>
        <v>true</v>
      </c>
      <c r="AJ203" s="54" t="str">
        <f>IF(Migrationsartikel!AD202="ja","true",FALSE)</f>
        <v>true</v>
      </c>
      <c r="AK203" s="54" t="str">
        <f>IF(Migrationsartikel!AE202="ja","true",FALSE)</f>
        <v>true</v>
      </c>
      <c r="AL203" s="54" t="str">
        <f>IF(Migrationsartikel!AF202="ja","Denner Partner","")</f>
        <v/>
      </c>
      <c r="AM203" s="54" t="str">
        <f>IF(Migrationsartikel!AG202="ja","true","false")</f>
        <v>false</v>
      </c>
      <c r="AN203" s="54" t="str">
        <f t="shared" si="4"/>
        <v>GTIN</v>
      </c>
      <c r="AO203" s="66" t="s">
        <v>219</v>
      </c>
      <c r="AP203" s="65" t="s">
        <v>1636</v>
      </c>
      <c r="AQ203" s="66" t="s">
        <v>217</v>
      </c>
      <c r="AR203" s="30" t="s">
        <v>219</v>
      </c>
    </row>
    <row r="204" spans="2:44" ht="21.75" customHeight="1" x14ac:dyDescent="0.45">
      <c r="B204" s="54" t="s">
        <v>99</v>
      </c>
      <c r="E204" s="55" t="s">
        <v>87</v>
      </c>
      <c r="F204" s="54" t="str">
        <f>"Warengruppe&gt;&gt;"&amp;_xlfn.TEXTJOIN("&gt;&gt;",TRUE,Migrationsartikel!V203:X203)</f>
        <v>Warengruppe&gt;&gt;Früchte und Gemüse&gt;&gt;Früchte und Gemüse&gt;&gt;Früchte</v>
      </c>
      <c r="H204" s="55" t="s">
        <v>109</v>
      </c>
      <c r="J204" s="79">
        <f>Migrationsartikel!B203</f>
        <v>126</v>
      </c>
      <c r="L204" s="54" t="str">
        <f>_xlfn.TEXTJOIN(" ",TRUE,Migrationsartikel!F203:H203)</f>
        <v>Bananen Fyffes Offen</v>
      </c>
      <c r="M204" s="54" t="str">
        <f>_xlfn.TEXTJOIN(" ",TRUE,Migrationsartikel!J203:L203)</f>
        <v>Bananes Fyffes En vrac</v>
      </c>
      <c r="N204" s="54" t="str">
        <f>_xlfn.TEXTJOIN(" ",TRUE,Migrationsartikel!N203:P203)</f>
        <v>Banane Fyffes vendita sfusa</v>
      </c>
      <c r="O204" s="54" t="str">
        <f>Migrationsartikel!F203</f>
        <v>Bananen Fyffes</v>
      </c>
      <c r="P204" s="54" t="str">
        <f>Migrationsartikel!J203</f>
        <v>Bananes Fyffes</v>
      </c>
      <c r="Q204" s="54" t="str">
        <f>Migrationsartikel!N203</f>
        <v>Banane Fyffes</v>
      </c>
      <c r="R204" s="54" t="str">
        <f>_xlfn.TEXTJOIN(" ",TRUE,Migrationsartikel!G203)</f>
        <v>Offen</v>
      </c>
      <c r="S204" s="54" t="str">
        <f>_xlfn.TEXTJOIN(" ",TRUE,Migrationsartikel!K203)</f>
        <v>En vrac</v>
      </c>
      <c r="T204" s="54" t="str">
        <f>_xlfn.TEXTJOIN(" ",TRUE,Migrationsartikel!O203)</f>
        <v>vendita sfusa</v>
      </c>
      <c r="U204" s="54" t="str">
        <f>_xlfn.TEXTJOIN(" ",TRUE,Migrationsartikel!H203)</f>
        <v/>
      </c>
      <c r="V204" s="54" t="str">
        <f>_xlfn.TEXTJOIN(" ",TRUE,Migrationsartikel!L203)</f>
        <v/>
      </c>
      <c r="W204" s="54" t="str">
        <f>_xlfn.TEXTJOIN(" ",TRUE,Migrationsartikel!P203)</f>
        <v/>
      </c>
      <c r="X204" s="54" t="str">
        <f>Migrationsartikel!I203</f>
        <v>Bananen Fyffes Offen</v>
      </c>
      <c r="Y204" s="54" t="str">
        <f>Migrationsartikel!M203</f>
        <v>Bananes Fyffes en vrac</v>
      </c>
      <c r="Z204" s="54" t="str">
        <f>Migrationsartikel!Q203</f>
        <v>Banane Fyffes vend. sfusa</v>
      </c>
      <c r="AA204" s="63">
        <f>Migrationsartikel!R203</f>
        <v>1</v>
      </c>
      <c r="AB204" s="54" t="str">
        <f>Migrationsartikel!T203</f>
        <v>Kilogramm</v>
      </c>
      <c r="AC204" s="65">
        <f>Migrationsartikel!S203</f>
        <v>1</v>
      </c>
      <c r="AD204" s="54" t="str">
        <f>Migrationsartikel!U203</f>
        <v>(KGM) KG</v>
      </c>
      <c r="AE204" s="55" t="s">
        <v>179</v>
      </c>
      <c r="AF204" s="67">
        <f>Migrationsartikel!AA203</f>
        <v>0</v>
      </c>
      <c r="AG204" s="55" t="s">
        <v>192</v>
      </c>
      <c r="AH204" s="54" t="str">
        <f>IF(Migrationsartikel!AB203="ja","true",FALSE)</f>
        <v>true</v>
      </c>
      <c r="AI204" s="54" t="str">
        <f>IF(Migrationsartikel!AC203="ja","true",FALSE)</f>
        <v>true</v>
      </c>
      <c r="AJ204" s="54" t="str">
        <f>IF(Migrationsartikel!AD203="ja","true",FALSE)</f>
        <v>true</v>
      </c>
      <c r="AK204" s="54" t="str">
        <f>IF(Migrationsartikel!AE203="ja","true",FALSE)</f>
        <v>true</v>
      </c>
      <c r="AL204" s="54" t="str">
        <f>IF(Migrationsartikel!AF203="ja","Denner Partner","")</f>
        <v/>
      </c>
      <c r="AM204" s="54" t="str">
        <f>IF(Migrationsartikel!AG203="ja","true","false")</f>
        <v>false</v>
      </c>
      <c r="AN204" s="54" t="str">
        <f t="shared" si="4"/>
        <v>PLU</v>
      </c>
      <c r="AO204" s="66" t="s">
        <v>219</v>
      </c>
      <c r="AP204" s="65" t="s">
        <v>1637</v>
      </c>
      <c r="AQ204" s="66" t="s">
        <v>217</v>
      </c>
      <c r="AR204" s="30" t="s">
        <v>219</v>
      </c>
    </row>
    <row r="205" spans="2:44" ht="21.75" customHeight="1" x14ac:dyDescent="0.45">
      <c r="B205" s="54" t="s">
        <v>99</v>
      </c>
      <c r="C205"/>
      <c r="D205"/>
      <c r="E205" s="55" t="s">
        <v>87</v>
      </c>
      <c r="F205" s="54" t="str">
        <f>"Warengruppe&gt;&gt;"&amp;_xlfn.TEXTJOIN("&gt;&gt;",TRUE,Migrationsartikel!V204:X204)</f>
        <v>Warengruppe&gt;&gt;Früchte und Gemüse&gt;&gt;Früchte und Gemüse&gt;&gt;Früchte</v>
      </c>
      <c r="G205" s="30"/>
      <c r="H205" s="55" t="s">
        <v>109</v>
      </c>
      <c r="J205" s="79">
        <f>Migrationsartikel!B204</f>
        <v>2201581000000</v>
      </c>
      <c r="L205" s="54" t="str">
        <f>_xlfn.TEXTJOIN(" ",TRUE,Migrationsartikel!F204:H204)</f>
        <v>Bananen gepackt</v>
      </c>
      <c r="M205" s="54" t="str">
        <f>_xlfn.TEXTJOIN(" ",TRUE,Migrationsartikel!J204:L204)</f>
        <v>Bananes Emballé</v>
      </c>
      <c r="N205" s="54" t="str">
        <f>_xlfn.TEXTJOIN(" ",TRUE,Migrationsartikel!N204:P204)</f>
        <v>Banane confezionato</v>
      </c>
      <c r="O205" s="54" t="str">
        <f>Migrationsartikel!F204</f>
        <v>Bananen</v>
      </c>
      <c r="P205" s="54" t="str">
        <f>Migrationsartikel!J204</f>
        <v>Bananes</v>
      </c>
      <c r="Q205" s="54" t="str">
        <f>Migrationsartikel!N204</f>
        <v>Banane</v>
      </c>
      <c r="R205" s="54" t="str">
        <f>_xlfn.TEXTJOIN(" ",TRUE,Migrationsartikel!G204)</f>
        <v>gepackt</v>
      </c>
      <c r="S205" s="54" t="str">
        <f>_xlfn.TEXTJOIN(" ",TRUE,Migrationsartikel!K204)</f>
        <v>Emballé</v>
      </c>
      <c r="T205" s="54" t="str">
        <f>_xlfn.TEXTJOIN(" ",TRUE,Migrationsartikel!O204)</f>
        <v>confezionato</v>
      </c>
      <c r="U205" s="54" t="str">
        <f>_xlfn.TEXTJOIN(" ",TRUE,Migrationsartikel!H204)</f>
        <v/>
      </c>
      <c r="V205" s="54" t="str">
        <f>_xlfn.TEXTJOIN(" ",TRUE,Migrationsartikel!L204)</f>
        <v/>
      </c>
      <c r="W205" s="54" t="str">
        <f>_xlfn.TEXTJOIN(" ",TRUE,Migrationsartikel!P204)</f>
        <v/>
      </c>
      <c r="X205" s="54" t="str">
        <f>Migrationsartikel!I204</f>
        <v>Bananen gepackt</v>
      </c>
      <c r="Y205" s="54" t="str">
        <f>Migrationsartikel!M204</f>
        <v>Bananes emballé</v>
      </c>
      <c r="Z205" s="54" t="str">
        <f>Migrationsartikel!Q204</f>
        <v>Banane confezionato</v>
      </c>
      <c r="AA205" s="63">
        <f>Migrationsartikel!R204</f>
        <v>1</v>
      </c>
      <c r="AB205" s="54" t="str">
        <f>Migrationsartikel!T204</f>
        <v>Kilogramm</v>
      </c>
      <c r="AC205" s="65">
        <f>Migrationsartikel!S204</f>
        <v>1</v>
      </c>
      <c r="AD205" s="54" t="str">
        <f>Migrationsartikel!U204</f>
        <v>(PCE) Stück</v>
      </c>
      <c r="AE205" s="55" t="s">
        <v>179</v>
      </c>
      <c r="AF205" s="67">
        <f>Migrationsartikel!AA204</f>
        <v>0</v>
      </c>
      <c r="AG205" s="55" t="s">
        <v>192</v>
      </c>
      <c r="AH205" s="54" t="str">
        <f>IF(Migrationsartikel!AB204="ja","true",FALSE)</f>
        <v>true</v>
      </c>
      <c r="AI205" s="54" t="str">
        <f>IF(Migrationsartikel!AC204="ja","true",FALSE)</f>
        <v>true</v>
      </c>
      <c r="AJ205" s="54" t="str">
        <f>IF(Migrationsartikel!AD204="ja","true",FALSE)</f>
        <v>true</v>
      </c>
      <c r="AK205" s="54" t="str">
        <f>IF(Migrationsartikel!AE204="ja","true",FALSE)</f>
        <v>true</v>
      </c>
      <c r="AL205" s="54" t="str">
        <f>IF(Migrationsartikel!AF204="ja","Denner Partner","")</f>
        <v/>
      </c>
      <c r="AM205" s="54" t="str">
        <f>IF(Migrationsartikel!AG204="ja","true","false")</f>
        <v>false</v>
      </c>
      <c r="AN205" s="54" t="str">
        <f t="shared" si="4"/>
        <v>GTIN</v>
      </c>
      <c r="AO205" s="66" t="s">
        <v>219</v>
      </c>
      <c r="AP205" s="65" t="s">
        <v>1638</v>
      </c>
      <c r="AQ205" s="66" t="s">
        <v>217</v>
      </c>
      <c r="AR205" s="30" t="s">
        <v>219</v>
      </c>
    </row>
    <row r="206" spans="2:44" ht="21.75" customHeight="1" x14ac:dyDescent="0.45">
      <c r="B206" s="54" t="s">
        <v>99</v>
      </c>
      <c r="E206" s="55" t="s">
        <v>87</v>
      </c>
      <c r="F206" s="54" t="str">
        <f>"Warengruppe&gt;&gt;"&amp;_xlfn.TEXTJOIN("&gt;&gt;",TRUE,Migrationsartikel!V205:X205)</f>
        <v>Warengruppe&gt;&gt;Früchte und Gemüse&gt;&gt;Früchte und Gemüse&gt;&gt;Früchte</v>
      </c>
      <c r="H206" s="55" t="s">
        <v>109</v>
      </c>
      <c r="J206" s="79">
        <f>Migrationsartikel!B205</f>
        <v>7610632050514</v>
      </c>
      <c r="L206" s="54" t="str">
        <f>_xlfn.TEXTJOIN(" ",TRUE,Migrationsartikel!F205:H205)</f>
        <v>Beerenmischung Schale 250g</v>
      </c>
      <c r="M206" s="54" t="str">
        <f>_xlfn.TEXTJOIN(" ",TRUE,Migrationsartikel!J205:L205)</f>
        <v>Mélange de baies Barquette 250g</v>
      </c>
      <c r="N206" s="54" t="str">
        <f>_xlfn.TEXTJOIN(" ",TRUE,Migrationsartikel!N205:P205)</f>
        <v>Bacche miste vaschetta 250g</v>
      </c>
      <c r="O206" s="54" t="str">
        <f>Migrationsartikel!F205</f>
        <v>Beerenmischung</v>
      </c>
      <c r="P206" s="54" t="str">
        <f>Migrationsartikel!J205</f>
        <v>Mélange de baies</v>
      </c>
      <c r="Q206" s="54" t="str">
        <f>Migrationsartikel!N205</f>
        <v>Bacche miste</v>
      </c>
      <c r="R206" s="54" t="str">
        <f>_xlfn.TEXTJOIN(" ",TRUE,Migrationsartikel!G205)</f>
        <v>Schale</v>
      </c>
      <c r="S206" s="54" t="str">
        <f>_xlfn.TEXTJOIN(" ",TRUE,Migrationsartikel!K205)</f>
        <v>Barquette</v>
      </c>
      <c r="T206" s="54" t="str">
        <f>_xlfn.TEXTJOIN(" ",TRUE,Migrationsartikel!O205)</f>
        <v>vaschetta</v>
      </c>
      <c r="U206" s="54" t="str">
        <f>_xlfn.TEXTJOIN(" ",TRUE,Migrationsartikel!H205)</f>
        <v>250g</v>
      </c>
      <c r="V206" s="54" t="str">
        <f>_xlfn.TEXTJOIN(" ",TRUE,Migrationsartikel!L205)</f>
        <v>250g</v>
      </c>
      <c r="W206" s="54" t="str">
        <f>_xlfn.TEXTJOIN(" ",TRUE,Migrationsartikel!P205)</f>
        <v>250g</v>
      </c>
      <c r="X206" s="54" t="str">
        <f>Migrationsartikel!I205</f>
        <v>Beerenmischung Schale 250g</v>
      </c>
      <c r="Y206" s="54" t="str">
        <f>Migrationsartikel!M205</f>
        <v>Melange de baies 250g</v>
      </c>
      <c r="Z206" s="54" t="str">
        <f>Migrationsartikel!Q205</f>
        <v>Bacche miste 250g</v>
      </c>
      <c r="AA206" s="63">
        <f>Migrationsartikel!R205</f>
        <v>0.25</v>
      </c>
      <c r="AB206" s="54" t="str">
        <f>Migrationsartikel!T205</f>
        <v>Gramm</v>
      </c>
      <c r="AC206" s="65">
        <f>Migrationsartikel!S205</f>
        <v>100</v>
      </c>
      <c r="AD206" s="54" t="str">
        <f>Migrationsartikel!U205</f>
        <v>(PCE) Stück</v>
      </c>
      <c r="AE206" s="55" t="s">
        <v>179</v>
      </c>
      <c r="AF206" s="67">
        <f>Migrationsartikel!AA205</f>
        <v>0</v>
      </c>
      <c r="AG206" s="55" t="s">
        <v>192</v>
      </c>
      <c r="AH206" s="54" t="str">
        <f>IF(Migrationsartikel!AB205="ja","true",FALSE)</f>
        <v>true</v>
      </c>
      <c r="AI206" s="54" t="str">
        <f>IF(Migrationsartikel!AC205="ja","true",FALSE)</f>
        <v>true</v>
      </c>
      <c r="AJ206" s="54" t="str">
        <f>IF(Migrationsartikel!AD205="ja","true",FALSE)</f>
        <v>true</v>
      </c>
      <c r="AK206" s="54" t="str">
        <f>IF(Migrationsartikel!AE205="ja","true",FALSE)</f>
        <v>true</v>
      </c>
      <c r="AL206" s="54" t="str">
        <f>IF(Migrationsartikel!AF205="ja","Denner Partner","")</f>
        <v/>
      </c>
      <c r="AM206" s="54" t="str">
        <f>IF(Migrationsartikel!AG205="ja","true","false")</f>
        <v>false</v>
      </c>
      <c r="AN206" s="54" t="str">
        <f t="shared" si="4"/>
        <v>GTIN</v>
      </c>
      <c r="AO206" s="66" t="s">
        <v>219</v>
      </c>
      <c r="AP206" s="65" t="s">
        <v>1639</v>
      </c>
      <c r="AQ206" s="66" t="s">
        <v>217</v>
      </c>
      <c r="AR206" s="30" t="s">
        <v>219</v>
      </c>
    </row>
    <row r="207" spans="2:44" ht="21.75" customHeight="1" x14ac:dyDescent="0.45">
      <c r="B207" s="54" t="s">
        <v>99</v>
      </c>
      <c r="E207" s="55" t="s">
        <v>87</v>
      </c>
      <c r="F207" s="54" t="str">
        <f>"Warengruppe&gt;&gt;"&amp;_xlfn.TEXTJOIN("&gt;&gt;",TRUE,Migrationsartikel!V206:X206)</f>
        <v>Warengruppe&gt;&gt;Früchte und Gemüse&gt;&gt;Früchte und Gemüse&gt;&gt;Früchte</v>
      </c>
      <c r="H207" s="55" t="s">
        <v>109</v>
      </c>
      <c r="J207" s="79">
        <f>Migrationsartikel!B206</f>
        <v>128</v>
      </c>
      <c r="L207" s="54" t="str">
        <f>_xlfn.TEXTJOIN(" ",TRUE,Migrationsartikel!F206:H206)</f>
        <v>Bio Bananen Offen</v>
      </c>
      <c r="M207" s="54" t="str">
        <f>_xlfn.TEXTJOIN(" ",TRUE,Migrationsartikel!J206:L206)</f>
        <v>Bio Bananes En vrac</v>
      </c>
      <c r="N207" s="54" t="str">
        <f>_xlfn.TEXTJOIN(" ",TRUE,Migrationsartikel!N206:P206)</f>
        <v>Bio Banane vendita sfusa</v>
      </c>
      <c r="O207" s="54" t="str">
        <f>Migrationsartikel!F206</f>
        <v>Bio Bananen Offen</v>
      </c>
      <c r="P207" s="54" t="str">
        <f>Migrationsartikel!J206</f>
        <v>Bio Bananes</v>
      </c>
      <c r="Q207" s="54" t="str">
        <f>Migrationsartikel!N206</f>
        <v>Bio Banane</v>
      </c>
      <c r="R207" s="54" t="str">
        <f>_xlfn.TEXTJOIN(" ",TRUE,Migrationsartikel!G206)</f>
        <v/>
      </c>
      <c r="S207" s="54" t="str">
        <f>_xlfn.TEXTJOIN(" ",TRUE,Migrationsartikel!K206)</f>
        <v>En vrac</v>
      </c>
      <c r="T207" s="54" t="str">
        <f>_xlfn.TEXTJOIN(" ",TRUE,Migrationsartikel!O206)</f>
        <v>vendita sfusa</v>
      </c>
      <c r="U207" s="54" t="str">
        <f>_xlfn.TEXTJOIN(" ",TRUE,Migrationsartikel!H206)</f>
        <v/>
      </c>
      <c r="V207" s="54" t="str">
        <f>_xlfn.TEXTJOIN(" ",TRUE,Migrationsartikel!L206)</f>
        <v/>
      </c>
      <c r="W207" s="54" t="str">
        <f>_xlfn.TEXTJOIN(" ",TRUE,Migrationsartikel!P206)</f>
        <v/>
      </c>
      <c r="X207" s="54" t="str">
        <f>Migrationsartikel!I206</f>
        <v>Bio Bananen Offen</v>
      </c>
      <c r="Y207" s="54" t="str">
        <f>Migrationsartikel!M206</f>
        <v>Bio Bananes en vrac</v>
      </c>
      <c r="Z207" s="54" t="str">
        <f>Migrationsartikel!Q206</f>
        <v>Bio Banane vendita sfusa</v>
      </c>
      <c r="AA207" s="63">
        <f>Migrationsartikel!R206</f>
        <v>1</v>
      </c>
      <c r="AB207" s="54" t="str">
        <f>Migrationsartikel!T206</f>
        <v>Kilogramm</v>
      </c>
      <c r="AC207" s="65">
        <f>Migrationsartikel!S206</f>
        <v>1</v>
      </c>
      <c r="AD207" s="54" t="str">
        <f>Migrationsartikel!U206</f>
        <v>(KGM) KG</v>
      </c>
      <c r="AE207" s="55" t="s">
        <v>179</v>
      </c>
      <c r="AF207" s="67">
        <f>Migrationsartikel!AA206</f>
        <v>0</v>
      </c>
      <c r="AG207" s="55" t="s">
        <v>192</v>
      </c>
      <c r="AH207" s="54" t="str">
        <f>IF(Migrationsartikel!AB206="ja","true",FALSE)</f>
        <v>true</v>
      </c>
      <c r="AI207" s="54" t="str">
        <f>IF(Migrationsartikel!AC206="ja","true",FALSE)</f>
        <v>true</v>
      </c>
      <c r="AJ207" s="54" t="str">
        <f>IF(Migrationsartikel!AD206="ja","true",FALSE)</f>
        <v>true</v>
      </c>
      <c r="AK207" s="54" t="str">
        <f>IF(Migrationsartikel!AE206="ja","true",FALSE)</f>
        <v>true</v>
      </c>
      <c r="AL207" s="54" t="str">
        <f>IF(Migrationsartikel!AF206="ja","Denner Partner","")</f>
        <v/>
      </c>
      <c r="AM207" s="54" t="str">
        <f>IF(Migrationsartikel!AG206="ja","true","false")</f>
        <v>false</v>
      </c>
      <c r="AN207" s="54" t="str">
        <f t="shared" si="4"/>
        <v>PLU</v>
      </c>
      <c r="AO207" s="66" t="s">
        <v>219</v>
      </c>
      <c r="AP207" s="65" t="s">
        <v>1640</v>
      </c>
      <c r="AQ207" s="66" t="s">
        <v>217</v>
      </c>
      <c r="AR207" s="30" t="s">
        <v>219</v>
      </c>
    </row>
    <row r="208" spans="2:44" ht="21.75" customHeight="1" x14ac:dyDescent="0.45">
      <c r="B208" s="54" t="s">
        <v>99</v>
      </c>
      <c r="E208" s="55" t="s">
        <v>87</v>
      </c>
      <c r="F208" s="54" t="str">
        <f>"Warengruppe&gt;&gt;"&amp;_xlfn.TEXTJOIN("&gt;&gt;",TRUE,Migrationsartikel!V207:X207)</f>
        <v>Warengruppe&gt;&gt;Früchte und Gemüse&gt;&gt;Früchte und Gemüse&gt;&gt;Früchte</v>
      </c>
      <c r="H208" s="55" t="s">
        <v>109</v>
      </c>
      <c r="J208" s="79">
        <f>Migrationsartikel!B207</f>
        <v>171</v>
      </c>
      <c r="L208" s="54" t="str">
        <f>_xlfn.TEXTJOIN(" ",TRUE,Migrationsartikel!F207:H207)</f>
        <v>Bio Wassermelone Mini</v>
      </c>
      <c r="M208" s="54" t="str">
        <f>_xlfn.TEXTJOIN(" ",TRUE,Migrationsartikel!J207:L207)</f>
        <v>Bio Pastèques Mini</v>
      </c>
      <c r="N208" s="54" t="str">
        <f>_xlfn.TEXTJOIN(" ",TRUE,Migrationsartikel!N207:P207)</f>
        <v>Bio Angurie mini</v>
      </c>
      <c r="O208" s="54" t="str">
        <f>Migrationsartikel!F207</f>
        <v>Bio Wassermelone Mini</v>
      </c>
      <c r="P208" s="54" t="str">
        <f>Migrationsartikel!J207</f>
        <v>Bio Pastèques</v>
      </c>
      <c r="Q208" s="54" t="str">
        <f>Migrationsartikel!N207</f>
        <v>Bio Angurie mini</v>
      </c>
      <c r="R208" s="54" t="str">
        <f>_xlfn.TEXTJOIN(" ",TRUE,Migrationsartikel!G207)</f>
        <v/>
      </c>
      <c r="S208" s="54" t="str">
        <f>_xlfn.TEXTJOIN(" ",TRUE,Migrationsartikel!K207)</f>
        <v>Mini</v>
      </c>
      <c r="T208" s="54" t="str">
        <f>_xlfn.TEXTJOIN(" ",TRUE,Migrationsartikel!O207)</f>
        <v/>
      </c>
      <c r="U208" s="54" t="str">
        <f>_xlfn.TEXTJOIN(" ",TRUE,Migrationsartikel!H207)</f>
        <v/>
      </c>
      <c r="V208" s="54" t="str">
        <f>_xlfn.TEXTJOIN(" ",TRUE,Migrationsartikel!L207)</f>
        <v/>
      </c>
      <c r="W208" s="54" t="str">
        <f>_xlfn.TEXTJOIN(" ",TRUE,Migrationsartikel!P207)</f>
        <v/>
      </c>
      <c r="X208" s="54" t="str">
        <f>Migrationsartikel!I207</f>
        <v>Bio Wassermelone Mini</v>
      </c>
      <c r="Y208" s="54" t="str">
        <f>Migrationsartikel!M207</f>
        <v>Bio Pastèques Mini</v>
      </c>
      <c r="Z208" s="54" t="str">
        <f>Migrationsartikel!Q207</f>
        <v>Bio Angurie mini</v>
      </c>
      <c r="AA208" s="63">
        <f>Migrationsartikel!R207</f>
        <v>1</v>
      </c>
      <c r="AB208" s="54" t="str">
        <f>Migrationsartikel!T207</f>
        <v>Kilogramm</v>
      </c>
      <c r="AC208" s="65">
        <f>Migrationsartikel!S207</f>
        <v>1</v>
      </c>
      <c r="AD208" s="54" t="str">
        <f>Migrationsartikel!U207</f>
        <v>(KGM) KG</v>
      </c>
      <c r="AE208" s="55" t="s">
        <v>179</v>
      </c>
      <c r="AF208" s="67">
        <f>Migrationsartikel!AA207</f>
        <v>0</v>
      </c>
      <c r="AG208" s="55" t="s">
        <v>192</v>
      </c>
      <c r="AH208" s="54" t="str">
        <f>IF(Migrationsartikel!AB207="ja","true",FALSE)</f>
        <v>true</v>
      </c>
      <c r="AI208" s="54" t="str">
        <f>IF(Migrationsartikel!AC207="ja","true",FALSE)</f>
        <v>true</v>
      </c>
      <c r="AJ208" s="54" t="str">
        <f>IF(Migrationsartikel!AD207="ja","true",FALSE)</f>
        <v>true</v>
      </c>
      <c r="AK208" s="54" t="str">
        <f>IF(Migrationsartikel!AE207="ja","true",FALSE)</f>
        <v>true</v>
      </c>
      <c r="AL208" s="54" t="str">
        <f>IF(Migrationsartikel!AF207="ja","Denner Partner","")</f>
        <v/>
      </c>
      <c r="AM208" s="54" t="str">
        <f>IF(Migrationsartikel!AG207="ja","true","false")</f>
        <v>false</v>
      </c>
      <c r="AN208" s="54" t="str">
        <f t="shared" si="4"/>
        <v>PLU</v>
      </c>
      <c r="AO208" s="66" t="s">
        <v>219</v>
      </c>
      <c r="AP208" s="65" t="s">
        <v>1641</v>
      </c>
      <c r="AQ208" s="66" t="s">
        <v>217</v>
      </c>
      <c r="AR208" s="30" t="s">
        <v>219</v>
      </c>
    </row>
    <row r="209" spans="2:44" ht="21.75" customHeight="1" x14ac:dyDescent="0.45">
      <c r="B209" s="54" t="s">
        <v>99</v>
      </c>
      <c r="E209" s="55" t="s">
        <v>87</v>
      </c>
      <c r="F209" s="54" t="str">
        <f>"Warengruppe&gt;&gt;"&amp;_xlfn.TEXTJOIN("&gt;&gt;",TRUE,Migrationsartikel!V208:X208)</f>
        <v>Warengruppe&gt;&gt;Früchte und Gemüse&gt;&gt;Früchte und Gemüse&gt;&gt;Früchte</v>
      </c>
      <c r="H209" s="55" t="s">
        <v>109</v>
      </c>
      <c r="J209" s="79">
        <f>Migrationsartikel!B208</f>
        <v>159</v>
      </c>
      <c r="L209" s="54" t="str">
        <f>_xlfn.TEXTJOIN(" ",TRUE,Migrationsartikel!F208:H208)</f>
        <v>Bio Orangen Offen</v>
      </c>
      <c r="M209" s="54" t="str">
        <f>_xlfn.TEXTJOIN(" ",TRUE,Migrationsartikel!J208:L208)</f>
        <v>Bio Oranges En vrac</v>
      </c>
      <c r="N209" s="54" t="str">
        <f>_xlfn.TEXTJOIN(" ",TRUE,Migrationsartikel!N208:P208)</f>
        <v>Bio Arance vendita sfusa</v>
      </c>
      <c r="O209" s="54" t="str">
        <f>Migrationsartikel!F208</f>
        <v>Bio Orangen Offen</v>
      </c>
      <c r="P209" s="54" t="str">
        <f>Migrationsartikel!J208</f>
        <v>Bio Oranges</v>
      </c>
      <c r="Q209" s="54" t="str">
        <f>Migrationsartikel!N208</f>
        <v>Bio Arance</v>
      </c>
      <c r="R209" s="54" t="str">
        <f>_xlfn.TEXTJOIN(" ",TRUE,Migrationsartikel!G208)</f>
        <v/>
      </c>
      <c r="S209" s="54" t="str">
        <f>_xlfn.TEXTJOIN(" ",TRUE,Migrationsartikel!K208)</f>
        <v>En vrac</v>
      </c>
      <c r="T209" s="54" t="str">
        <f>_xlfn.TEXTJOIN(" ",TRUE,Migrationsartikel!O208)</f>
        <v>vendita sfusa</v>
      </c>
      <c r="U209" s="54" t="str">
        <f>_xlfn.TEXTJOIN(" ",TRUE,Migrationsartikel!H208)</f>
        <v/>
      </c>
      <c r="V209" s="54" t="str">
        <f>_xlfn.TEXTJOIN(" ",TRUE,Migrationsartikel!L208)</f>
        <v/>
      </c>
      <c r="W209" s="54" t="str">
        <f>_xlfn.TEXTJOIN(" ",TRUE,Migrationsartikel!P208)</f>
        <v/>
      </c>
      <c r="X209" s="54" t="str">
        <f>Migrationsartikel!I208</f>
        <v>Bio Orangen Offen</v>
      </c>
      <c r="Y209" s="54" t="str">
        <f>Migrationsartikel!M208</f>
        <v>Bio Oranges en vrac</v>
      </c>
      <c r="Z209" s="54" t="str">
        <f>Migrationsartikel!Q208</f>
        <v>Bio Arance vendita sfusa</v>
      </c>
      <c r="AA209" s="63">
        <f>Migrationsartikel!R208</f>
        <v>1</v>
      </c>
      <c r="AB209" s="54" t="str">
        <f>Migrationsartikel!T208</f>
        <v>Kilogramm</v>
      </c>
      <c r="AC209" s="65">
        <f>Migrationsartikel!S208</f>
        <v>1</v>
      </c>
      <c r="AD209" s="54" t="str">
        <f>Migrationsartikel!U208</f>
        <v>(KGM) KG</v>
      </c>
      <c r="AE209" s="55" t="s">
        <v>179</v>
      </c>
      <c r="AF209" s="67">
        <f>Migrationsartikel!AA208</f>
        <v>0</v>
      </c>
      <c r="AG209" s="55" t="s">
        <v>192</v>
      </c>
      <c r="AH209" s="54" t="str">
        <f>IF(Migrationsartikel!AB208="ja","true",FALSE)</f>
        <v>true</v>
      </c>
      <c r="AI209" s="54" t="str">
        <f>IF(Migrationsartikel!AC208="ja","true",FALSE)</f>
        <v>true</v>
      </c>
      <c r="AJ209" s="54" t="str">
        <f>IF(Migrationsartikel!AD208="ja","true",FALSE)</f>
        <v>true</v>
      </c>
      <c r="AK209" s="54" t="str">
        <f>IF(Migrationsartikel!AE208="ja","true",FALSE)</f>
        <v>true</v>
      </c>
      <c r="AL209" s="54" t="str">
        <f>IF(Migrationsartikel!AF208="ja","Denner Partner","")</f>
        <v/>
      </c>
      <c r="AM209" s="54" t="str">
        <f>IF(Migrationsartikel!AG208="ja","true","false")</f>
        <v>false</v>
      </c>
      <c r="AN209" s="54" t="str">
        <f t="shared" si="4"/>
        <v>PLU</v>
      </c>
      <c r="AO209" s="66" t="s">
        <v>219</v>
      </c>
      <c r="AP209" s="65" t="s">
        <v>1642</v>
      </c>
      <c r="AQ209" s="66" t="s">
        <v>217</v>
      </c>
      <c r="AR209" s="30" t="s">
        <v>219</v>
      </c>
    </row>
    <row r="210" spans="2:44" ht="21.75" customHeight="1" x14ac:dyDescent="0.45">
      <c r="B210" s="54" t="s">
        <v>99</v>
      </c>
      <c r="E210" s="55" t="s">
        <v>87</v>
      </c>
      <c r="F210" s="54" t="str">
        <f>"Warengruppe&gt;&gt;"&amp;_xlfn.TEXTJOIN("&gt;&gt;",TRUE,Migrationsartikel!V209:X209)</f>
        <v>Warengruppe&gt;&gt;Früchte und Gemüse&gt;&gt;Früchte und Gemüse&gt;&gt;Früchte</v>
      </c>
      <c r="H210" s="55" t="s">
        <v>109</v>
      </c>
      <c r="J210" s="79">
        <f>Migrationsartikel!B209</f>
        <v>142</v>
      </c>
      <c r="L210" s="54" t="str">
        <f>_xlfn.TEXTJOIN(" ",TRUE,Migrationsartikel!F209:H209)</f>
        <v>Birnen Kaiser Offen Kl. 1</v>
      </c>
      <c r="M210" s="54" t="str">
        <f>_xlfn.TEXTJOIN(" ",TRUE,Migrationsartikel!J209:L209)</f>
        <v>Poires Beurré Bosc En vrac, cl. 1</v>
      </c>
      <c r="N210" s="54" t="str">
        <f>_xlfn.TEXTJOIN(" ",TRUE,Migrationsartikel!N209:P209)</f>
        <v>Pere Kaiser Cl. 1 vendita sfusa</v>
      </c>
      <c r="O210" s="54" t="str">
        <f>Migrationsartikel!F209</f>
        <v>Birnen Kaiser</v>
      </c>
      <c r="P210" s="54" t="str">
        <f>Migrationsartikel!J209</f>
        <v>Poires Beurré Bosc</v>
      </c>
      <c r="Q210" s="54" t="str">
        <f>Migrationsartikel!N209</f>
        <v>Pere Kaiser</v>
      </c>
      <c r="R210" s="54" t="str">
        <f>_xlfn.TEXTJOIN(" ",TRUE,Migrationsartikel!G209)</f>
        <v>Offen Kl. 1</v>
      </c>
      <c r="S210" s="54" t="str">
        <f>_xlfn.TEXTJOIN(" ",TRUE,Migrationsartikel!K209)</f>
        <v>En vrac, cl. 1</v>
      </c>
      <c r="T210" s="54" t="str">
        <f>_xlfn.TEXTJOIN(" ",TRUE,Migrationsartikel!O209)</f>
        <v>Cl. 1 vendita sfusa</v>
      </c>
      <c r="U210" s="54" t="str">
        <f>_xlfn.TEXTJOIN(" ",TRUE,Migrationsartikel!H209)</f>
        <v/>
      </c>
      <c r="V210" s="54" t="str">
        <f>_xlfn.TEXTJOIN(" ",TRUE,Migrationsartikel!L209)</f>
        <v/>
      </c>
      <c r="W210" s="54" t="str">
        <f>_xlfn.TEXTJOIN(" ",TRUE,Migrationsartikel!P209)</f>
        <v/>
      </c>
      <c r="X210" s="54" t="str">
        <f>Migrationsartikel!I209</f>
        <v>Birnen Kaiser Offen Kl.1</v>
      </c>
      <c r="Y210" s="54" t="str">
        <f>Migrationsartikel!M209</f>
        <v>Poire Beurré Bosc en v. cl1</v>
      </c>
      <c r="Z210" s="54" t="str">
        <f>Migrationsartikel!Q209</f>
        <v>Pere Kaiser cl. 1 vendta sf.</v>
      </c>
      <c r="AA210" s="63">
        <f>Migrationsartikel!R209</f>
        <v>1</v>
      </c>
      <c r="AB210" s="54" t="str">
        <f>Migrationsartikel!T209</f>
        <v>Kilogramm</v>
      </c>
      <c r="AC210" s="65">
        <f>Migrationsartikel!S209</f>
        <v>1</v>
      </c>
      <c r="AD210" s="54" t="str">
        <f>Migrationsartikel!U209</f>
        <v>(KGM) KG</v>
      </c>
      <c r="AE210" s="55" t="s">
        <v>179</v>
      </c>
      <c r="AF210" s="67">
        <f>Migrationsartikel!AA209</f>
        <v>0</v>
      </c>
      <c r="AG210" s="55" t="s">
        <v>192</v>
      </c>
      <c r="AH210" s="54" t="str">
        <f>IF(Migrationsartikel!AB209="ja","true",FALSE)</f>
        <v>true</v>
      </c>
      <c r="AI210" s="54" t="str">
        <f>IF(Migrationsartikel!AC209="ja","true",FALSE)</f>
        <v>true</v>
      </c>
      <c r="AJ210" s="54" t="str">
        <f>IF(Migrationsartikel!AD209="ja","true",FALSE)</f>
        <v>true</v>
      </c>
      <c r="AK210" s="54" t="str">
        <f>IF(Migrationsartikel!AE209="ja","true",FALSE)</f>
        <v>true</v>
      </c>
      <c r="AL210" s="54" t="str">
        <f>IF(Migrationsartikel!AF209="ja","Denner Partner","")</f>
        <v/>
      </c>
      <c r="AM210" s="54" t="str">
        <f>IF(Migrationsartikel!AG209="ja","true","false")</f>
        <v>false</v>
      </c>
      <c r="AN210" s="54" t="str">
        <f t="shared" si="4"/>
        <v>PLU</v>
      </c>
      <c r="AO210" s="66" t="s">
        <v>219</v>
      </c>
      <c r="AP210" s="65" t="s">
        <v>1643</v>
      </c>
      <c r="AQ210" s="66" t="s">
        <v>217</v>
      </c>
      <c r="AR210" s="30" t="s">
        <v>219</v>
      </c>
    </row>
    <row r="211" spans="2:44" ht="21.75" customHeight="1" x14ac:dyDescent="0.45">
      <c r="B211" s="54" t="s">
        <v>99</v>
      </c>
      <c r="E211" s="55" t="s">
        <v>87</v>
      </c>
      <c r="F211" s="54" t="str">
        <f>"Warengruppe&gt;&gt;"&amp;_xlfn.TEXTJOIN("&gt;&gt;",TRUE,Migrationsartikel!V210:X210)</f>
        <v>Warengruppe&gt;&gt;Früchte und Gemüse&gt;&gt;Früchte und Gemüse&gt;&gt;Früchte</v>
      </c>
      <c r="H211" s="55" t="s">
        <v>109</v>
      </c>
      <c r="J211" s="79">
        <f>Migrationsartikel!B210</f>
        <v>2203071000000</v>
      </c>
      <c r="L211" s="54" t="str">
        <f>_xlfn.TEXTJOIN(" ",TRUE,Migrationsartikel!F210:H210)</f>
        <v>Birnen Abate Kl. 1 gepackt</v>
      </c>
      <c r="M211" s="54" t="str">
        <f>_xlfn.TEXTJOIN(" ",TRUE,Migrationsartikel!J210:L210)</f>
        <v>Poires Abate Cl. 1 emballé</v>
      </c>
      <c r="N211" s="54" t="str">
        <f>_xlfn.TEXTJOIN(" ",TRUE,Migrationsartikel!N210:P210)</f>
        <v>Pere Abate Cl. 1 confezionato</v>
      </c>
      <c r="O211" s="54" t="str">
        <f>Migrationsartikel!F210</f>
        <v>Birnen Abate</v>
      </c>
      <c r="P211" s="54" t="str">
        <f>Migrationsartikel!J210</f>
        <v>Poires Abate</v>
      </c>
      <c r="Q211" s="54" t="str">
        <f>Migrationsartikel!N210</f>
        <v>Pere Abate</v>
      </c>
      <c r="R211" s="54" t="str">
        <f>_xlfn.TEXTJOIN(" ",TRUE,Migrationsartikel!G210)</f>
        <v>Kl. 1 gepackt</v>
      </c>
      <c r="S211" s="54" t="str">
        <f>_xlfn.TEXTJOIN(" ",TRUE,Migrationsartikel!K210)</f>
        <v>Cl. 1 emballé</v>
      </c>
      <c r="T211" s="54" t="str">
        <f>_xlfn.TEXTJOIN(" ",TRUE,Migrationsartikel!O210)</f>
        <v>Cl. 1 confezionato</v>
      </c>
      <c r="U211" s="54" t="str">
        <f>_xlfn.TEXTJOIN(" ",TRUE,Migrationsartikel!H210)</f>
        <v/>
      </c>
      <c r="V211" s="54" t="str">
        <f>_xlfn.TEXTJOIN(" ",TRUE,Migrationsartikel!L210)</f>
        <v/>
      </c>
      <c r="W211" s="54" t="str">
        <f>_xlfn.TEXTJOIN(" ",TRUE,Migrationsartikel!P210)</f>
        <v/>
      </c>
      <c r="X211" s="54" t="str">
        <f>Migrationsartikel!I210</f>
        <v>Birnen Abate Kl. 1 gepackt</v>
      </c>
      <c r="Y211" s="54" t="str">
        <f>Migrationsartikel!M210</f>
        <v>Poires Abate cl. 1 emballé</v>
      </c>
      <c r="Z211" s="54" t="str">
        <f>Migrationsartikel!Q210</f>
        <v>Pere Abate cl.1 confezionato</v>
      </c>
      <c r="AA211" s="63">
        <f>Migrationsartikel!R210</f>
        <v>1</v>
      </c>
      <c r="AB211" s="54" t="str">
        <f>Migrationsartikel!T210</f>
        <v>Kilogramm</v>
      </c>
      <c r="AC211" s="65">
        <f>Migrationsartikel!S210</f>
        <v>1</v>
      </c>
      <c r="AD211" s="54" t="str">
        <f>Migrationsartikel!U210</f>
        <v>(PCE) Stück</v>
      </c>
      <c r="AE211" s="55" t="s">
        <v>179</v>
      </c>
      <c r="AF211" s="67">
        <f>Migrationsartikel!AA210</f>
        <v>0</v>
      </c>
      <c r="AG211" s="55" t="s">
        <v>192</v>
      </c>
      <c r="AH211" s="54" t="str">
        <f>IF(Migrationsartikel!AB210="ja","true",FALSE)</f>
        <v>true</v>
      </c>
      <c r="AI211" s="54" t="str">
        <f>IF(Migrationsartikel!AC210="ja","true",FALSE)</f>
        <v>true</v>
      </c>
      <c r="AJ211" s="54" t="str">
        <f>IF(Migrationsartikel!AD210="ja","true",FALSE)</f>
        <v>true</v>
      </c>
      <c r="AK211" s="54" t="str">
        <f>IF(Migrationsartikel!AE210="ja","true",FALSE)</f>
        <v>true</v>
      </c>
      <c r="AL211" s="54" t="str">
        <f>IF(Migrationsartikel!AF210="ja","Denner Partner","")</f>
        <v/>
      </c>
      <c r="AM211" s="54" t="str">
        <f>IF(Migrationsartikel!AG210="ja","true","false")</f>
        <v>false</v>
      </c>
      <c r="AN211" s="54" t="str">
        <f t="shared" si="4"/>
        <v>GTIN</v>
      </c>
      <c r="AO211" s="66" t="s">
        <v>219</v>
      </c>
      <c r="AP211" s="65" t="s">
        <v>1644</v>
      </c>
      <c r="AQ211" s="66" t="s">
        <v>217</v>
      </c>
      <c r="AR211" s="30" t="s">
        <v>219</v>
      </c>
    </row>
    <row r="212" spans="2:44" ht="21.75" customHeight="1" x14ac:dyDescent="0.45">
      <c r="B212" s="54" t="s">
        <v>99</v>
      </c>
      <c r="E212" s="55" t="s">
        <v>87</v>
      </c>
      <c r="F212" s="54" t="str">
        <f>"Warengruppe&gt;&gt;"&amp;_xlfn.TEXTJOIN("&gt;&gt;",TRUE,Migrationsartikel!V211:X211)</f>
        <v>Warengruppe&gt;&gt;Früchte und Gemüse&gt;&gt;Früchte und Gemüse&gt;&gt;Früchte</v>
      </c>
      <c r="H212" s="55" t="s">
        <v>109</v>
      </c>
      <c r="J212" s="79">
        <f>Migrationsartikel!B211</f>
        <v>2215861000009</v>
      </c>
      <c r="L212" s="54" t="str">
        <f>_xlfn.TEXTJOIN(" ",TRUE,Migrationsartikel!F211:H211)</f>
        <v>Bio Birnen Abate Kl. 1 gepackt</v>
      </c>
      <c r="M212" s="54" t="str">
        <f>_xlfn.TEXTJOIN(" ",TRUE,Migrationsartikel!J211:L211)</f>
        <v>Bio Poires Abate Cl. 1 emballé</v>
      </c>
      <c r="N212" s="54" t="str">
        <f>_xlfn.TEXTJOIN(" ",TRUE,Migrationsartikel!N211:P211)</f>
        <v>Bio Pere Abate Cl. 1 confezionato</v>
      </c>
      <c r="O212" s="54" t="str">
        <f>Migrationsartikel!F211</f>
        <v>Bio Birnen Abate</v>
      </c>
      <c r="P212" s="54" t="str">
        <f>Migrationsartikel!J211</f>
        <v>Bio Poires Abate</v>
      </c>
      <c r="Q212" s="54" t="str">
        <f>Migrationsartikel!N211</f>
        <v>Bio Pere Abate</v>
      </c>
      <c r="R212" s="54" t="str">
        <f>_xlfn.TEXTJOIN(" ",TRUE,Migrationsartikel!G211)</f>
        <v>Kl. 1 gepackt</v>
      </c>
      <c r="S212" s="54" t="str">
        <f>_xlfn.TEXTJOIN(" ",TRUE,Migrationsartikel!K211)</f>
        <v>Cl. 1 emballé</v>
      </c>
      <c r="T212" s="54" t="str">
        <f>_xlfn.TEXTJOIN(" ",TRUE,Migrationsartikel!O211)</f>
        <v>Cl. 1 confezionato</v>
      </c>
      <c r="U212" s="54" t="str">
        <f>_xlfn.TEXTJOIN(" ",TRUE,Migrationsartikel!H211)</f>
        <v/>
      </c>
      <c r="V212" s="54" t="str">
        <f>_xlfn.TEXTJOIN(" ",TRUE,Migrationsartikel!L211)</f>
        <v/>
      </c>
      <c r="W212" s="54" t="str">
        <f>_xlfn.TEXTJOIN(" ",TRUE,Migrationsartikel!P211)</f>
        <v/>
      </c>
      <c r="X212" s="54" t="str">
        <f>Migrationsartikel!I211</f>
        <v>Bio Birnen Abate Kl. 1 gep.</v>
      </c>
      <c r="Y212" s="54" t="str">
        <f>Migrationsartikel!M211</f>
        <v>Bio Poires Abate cl1 emballé</v>
      </c>
      <c r="Z212" s="54" t="str">
        <f>Migrationsartikel!Q211</f>
        <v>Bio Pere Abate cl. 1 confez.</v>
      </c>
      <c r="AA212" s="63">
        <f>Migrationsartikel!R211</f>
        <v>1</v>
      </c>
      <c r="AB212" s="54" t="str">
        <f>Migrationsartikel!T211</f>
        <v>Kilogramm</v>
      </c>
      <c r="AC212" s="65">
        <f>Migrationsartikel!S211</f>
        <v>1</v>
      </c>
      <c r="AD212" s="54" t="str">
        <f>Migrationsartikel!U211</f>
        <v>(PCE) Stück</v>
      </c>
      <c r="AE212" s="55" t="s">
        <v>179</v>
      </c>
      <c r="AF212" s="67">
        <f>Migrationsartikel!AA211</f>
        <v>0</v>
      </c>
      <c r="AG212" s="55" t="s">
        <v>192</v>
      </c>
      <c r="AH212" s="54" t="str">
        <f>IF(Migrationsartikel!AB211="ja","true",FALSE)</f>
        <v>true</v>
      </c>
      <c r="AI212" s="54" t="str">
        <f>IF(Migrationsartikel!AC211="ja","true",FALSE)</f>
        <v>true</v>
      </c>
      <c r="AJ212" s="54" t="str">
        <f>IF(Migrationsartikel!AD211="ja","true",FALSE)</f>
        <v>true</v>
      </c>
      <c r="AK212" s="54" t="str">
        <f>IF(Migrationsartikel!AE211="ja","true",FALSE)</f>
        <v>true</v>
      </c>
      <c r="AL212" s="54" t="str">
        <f>IF(Migrationsartikel!AF211="ja","Denner Partner","")</f>
        <v/>
      </c>
      <c r="AM212" s="54" t="str">
        <f>IF(Migrationsartikel!AG211="ja","true","false")</f>
        <v>false</v>
      </c>
      <c r="AN212" s="54" t="str">
        <f t="shared" si="4"/>
        <v>GTIN</v>
      </c>
      <c r="AO212" s="66" t="s">
        <v>219</v>
      </c>
      <c r="AP212" s="65" t="s">
        <v>1645</v>
      </c>
      <c r="AQ212" s="66" t="s">
        <v>217</v>
      </c>
      <c r="AR212" s="30" t="s">
        <v>219</v>
      </c>
    </row>
    <row r="213" spans="2:44" ht="21.75" customHeight="1" x14ac:dyDescent="0.45">
      <c r="B213" s="54" t="s">
        <v>99</v>
      </c>
      <c r="E213" s="55" t="s">
        <v>87</v>
      </c>
      <c r="F213" s="54" t="str">
        <f>"Warengruppe&gt;&gt;"&amp;_xlfn.TEXTJOIN("&gt;&gt;",TRUE,Migrationsartikel!V212:X212)</f>
        <v>Warengruppe&gt;&gt;Früchte und Gemüse&gt;&gt;Früchte und Gemüse&gt;&gt;Früchte</v>
      </c>
      <c r="H213" s="55" t="s">
        <v>109</v>
      </c>
      <c r="J213" s="79">
        <f>Migrationsartikel!B212</f>
        <v>134</v>
      </c>
      <c r="L213" s="54" t="str">
        <f>_xlfn.TEXTJOIN(" ",TRUE,Migrationsartikel!F212:H212)</f>
        <v>Birnen Boscop Offen Kl. 1</v>
      </c>
      <c r="M213" s="54" t="str">
        <f>_xlfn.TEXTJOIN(" ",TRUE,Migrationsartikel!J212:L212)</f>
        <v>Poires Boscop En vrac, cl. 1</v>
      </c>
      <c r="N213" s="54" t="str">
        <f>_xlfn.TEXTJOIN(" ",TRUE,Migrationsartikel!N212:P212)</f>
        <v>Pere Boscop Cl. 1 vendita sfusa</v>
      </c>
      <c r="O213" s="54" t="str">
        <f>Migrationsartikel!F212</f>
        <v>Birnen Boscop</v>
      </c>
      <c r="P213" s="54" t="str">
        <f>Migrationsartikel!J212</f>
        <v>Poires Boscop</v>
      </c>
      <c r="Q213" s="54" t="str">
        <f>Migrationsartikel!N212</f>
        <v>Pere Boscop</v>
      </c>
      <c r="R213" s="54" t="str">
        <f>_xlfn.TEXTJOIN(" ",TRUE,Migrationsartikel!G212)</f>
        <v>Offen Kl. 1</v>
      </c>
      <c r="S213" s="54" t="str">
        <f>_xlfn.TEXTJOIN(" ",TRUE,Migrationsartikel!K212)</f>
        <v>En vrac, cl. 1</v>
      </c>
      <c r="T213" s="54" t="str">
        <f>_xlfn.TEXTJOIN(" ",TRUE,Migrationsartikel!O212)</f>
        <v>Cl. 1 vendita sfusa</v>
      </c>
      <c r="U213" s="54" t="str">
        <f>_xlfn.TEXTJOIN(" ",TRUE,Migrationsartikel!H212)</f>
        <v/>
      </c>
      <c r="V213" s="54" t="str">
        <f>_xlfn.TEXTJOIN(" ",TRUE,Migrationsartikel!L212)</f>
        <v/>
      </c>
      <c r="W213" s="54" t="str">
        <f>_xlfn.TEXTJOIN(" ",TRUE,Migrationsartikel!P212)</f>
        <v/>
      </c>
      <c r="X213" s="54" t="str">
        <f>Migrationsartikel!I212</f>
        <v>Birnen Boscop Offen Kl. 1</v>
      </c>
      <c r="Y213" s="54" t="str">
        <f>Migrationsartikel!M212</f>
        <v>Poires Boscop en vrac cl. 1</v>
      </c>
      <c r="Z213" s="54" t="str">
        <f>Migrationsartikel!Q212</f>
        <v>Pere Boscop cl.1 vend. sfusa</v>
      </c>
      <c r="AA213" s="63">
        <f>Migrationsartikel!R212</f>
        <v>1</v>
      </c>
      <c r="AB213" s="54" t="str">
        <f>Migrationsartikel!T212</f>
        <v>Kilogramm</v>
      </c>
      <c r="AC213" s="65">
        <f>Migrationsartikel!S212</f>
        <v>1</v>
      </c>
      <c r="AD213" s="54" t="str">
        <f>Migrationsartikel!U212</f>
        <v>(KGM) KG</v>
      </c>
      <c r="AE213" s="55" t="s">
        <v>179</v>
      </c>
      <c r="AF213" s="67">
        <f>Migrationsartikel!AA212</f>
        <v>0</v>
      </c>
      <c r="AG213" s="55" t="s">
        <v>192</v>
      </c>
      <c r="AH213" s="54" t="str">
        <f>IF(Migrationsartikel!AB212="ja","true",FALSE)</f>
        <v>true</v>
      </c>
      <c r="AI213" s="54" t="str">
        <f>IF(Migrationsartikel!AC212="ja","true",FALSE)</f>
        <v>true</v>
      </c>
      <c r="AJ213" s="54" t="str">
        <f>IF(Migrationsartikel!AD212="ja","true",FALSE)</f>
        <v>true</v>
      </c>
      <c r="AK213" s="54" t="str">
        <f>IF(Migrationsartikel!AE212="ja","true",FALSE)</f>
        <v>true</v>
      </c>
      <c r="AL213" s="54" t="str">
        <f>IF(Migrationsartikel!AF212="ja","Denner Partner","")</f>
        <v/>
      </c>
      <c r="AM213" s="54" t="str">
        <f>IF(Migrationsartikel!AG212="ja","true","false")</f>
        <v>false</v>
      </c>
      <c r="AN213" s="54" t="str">
        <f t="shared" si="4"/>
        <v>PLU</v>
      </c>
      <c r="AO213" s="66" t="s">
        <v>219</v>
      </c>
      <c r="AP213" s="65" t="s">
        <v>1646</v>
      </c>
      <c r="AQ213" s="66" t="s">
        <v>217</v>
      </c>
      <c r="AR213" s="30" t="s">
        <v>219</v>
      </c>
    </row>
    <row r="214" spans="2:44" ht="21.75" customHeight="1" x14ac:dyDescent="0.45">
      <c r="B214" s="54" t="s">
        <v>99</v>
      </c>
      <c r="E214" s="55" t="s">
        <v>87</v>
      </c>
      <c r="F214" s="54" t="str">
        <f>"Warengruppe&gt;&gt;"&amp;_xlfn.TEXTJOIN("&gt;&gt;",TRUE,Migrationsartikel!V213:X213)</f>
        <v>Warengruppe&gt;&gt;Früchte und Gemüse&gt;&gt;Früchte und Gemüse&gt;&gt;Früchte</v>
      </c>
      <c r="H214" s="55" t="s">
        <v>109</v>
      </c>
      <c r="J214" s="79">
        <f>Migrationsartikel!B213</f>
        <v>2260561000002</v>
      </c>
      <c r="L214" s="54" t="str">
        <f>_xlfn.TEXTJOIN(" ",TRUE,Migrationsartikel!F213:H213)</f>
        <v>Birnen Boscop Kl. 1 gepackt</v>
      </c>
      <c r="M214" s="54" t="str">
        <f>_xlfn.TEXTJOIN(" ",TRUE,Migrationsartikel!J213:L213)</f>
        <v>Poires Boscop Cl. 1 emballé</v>
      </c>
      <c r="N214" s="54" t="str">
        <f>_xlfn.TEXTJOIN(" ",TRUE,Migrationsartikel!N213:P213)</f>
        <v>Pere Boscop Cl. 1 confezionato</v>
      </c>
      <c r="O214" s="54" t="str">
        <f>Migrationsartikel!F213</f>
        <v>Birnen Boscop</v>
      </c>
      <c r="P214" s="54" t="str">
        <f>Migrationsartikel!J213</f>
        <v>Poires Boscop</v>
      </c>
      <c r="Q214" s="54" t="str">
        <f>Migrationsartikel!N213</f>
        <v>Pere Boscop</v>
      </c>
      <c r="R214" s="54" t="str">
        <f>_xlfn.TEXTJOIN(" ",TRUE,Migrationsartikel!G213)</f>
        <v>Kl. 1 gepackt</v>
      </c>
      <c r="S214" s="54" t="str">
        <f>_xlfn.TEXTJOIN(" ",TRUE,Migrationsartikel!K213)</f>
        <v>Cl. 1 emballé</v>
      </c>
      <c r="T214" s="54" t="str">
        <f>_xlfn.TEXTJOIN(" ",TRUE,Migrationsartikel!O213)</f>
        <v>Cl. 1 confezionato</v>
      </c>
      <c r="U214" s="54" t="str">
        <f>_xlfn.TEXTJOIN(" ",TRUE,Migrationsartikel!H213)</f>
        <v/>
      </c>
      <c r="V214" s="54" t="str">
        <f>_xlfn.TEXTJOIN(" ",TRUE,Migrationsartikel!L213)</f>
        <v/>
      </c>
      <c r="W214" s="54" t="str">
        <f>_xlfn.TEXTJOIN(" ",TRUE,Migrationsartikel!P213)</f>
        <v/>
      </c>
      <c r="X214" s="54" t="str">
        <f>Migrationsartikel!I213</f>
        <v>Birnen Boscop Kl. 1 gepackt</v>
      </c>
      <c r="Y214" s="54" t="str">
        <f>Migrationsartikel!M213</f>
        <v>Poires Boscop cl. 1 emballé</v>
      </c>
      <c r="Z214" s="54" t="str">
        <f>Migrationsartikel!Q213</f>
        <v>Pere Boscop cl. 1 confez.</v>
      </c>
      <c r="AA214" s="63">
        <f>Migrationsartikel!R213</f>
        <v>1</v>
      </c>
      <c r="AB214" s="54" t="str">
        <f>Migrationsartikel!T213</f>
        <v>Kilogramm</v>
      </c>
      <c r="AC214" s="65">
        <f>Migrationsartikel!S213</f>
        <v>1</v>
      </c>
      <c r="AD214" s="54" t="str">
        <f>Migrationsartikel!U213</f>
        <v>(PCE) Stück</v>
      </c>
      <c r="AE214" s="55" t="s">
        <v>179</v>
      </c>
      <c r="AF214" s="67">
        <f>Migrationsartikel!AA213</f>
        <v>0</v>
      </c>
      <c r="AG214" s="55" t="s">
        <v>192</v>
      </c>
      <c r="AH214" s="54" t="str">
        <f>IF(Migrationsartikel!AB213="ja","true",FALSE)</f>
        <v>true</v>
      </c>
      <c r="AI214" s="54" t="str">
        <f>IF(Migrationsartikel!AC213="ja","true",FALSE)</f>
        <v>true</v>
      </c>
      <c r="AJ214" s="54" t="str">
        <f>IF(Migrationsartikel!AD213="ja","true",FALSE)</f>
        <v>true</v>
      </c>
      <c r="AK214" s="54" t="str">
        <f>IF(Migrationsartikel!AE213="ja","true",FALSE)</f>
        <v>true</v>
      </c>
      <c r="AL214" s="54" t="str">
        <f>IF(Migrationsartikel!AF213="ja","Denner Partner","")</f>
        <v/>
      </c>
      <c r="AM214" s="54" t="str">
        <f>IF(Migrationsartikel!AG213="ja","true","false")</f>
        <v>false</v>
      </c>
      <c r="AN214" s="54" t="str">
        <f t="shared" si="4"/>
        <v>GTIN</v>
      </c>
      <c r="AO214" s="66" t="s">
        <v>219</v>
      </c>
      <c r="AP214" s="65" t="s">
        <v>1647</v>
      </c>
      <c r="AQ214" s="66" t="s">
        <v>217</v>
      </c>
      <c r="AR214" s="30" t="s">
        <v>219</v>
      </c>
    </row>
    <row r="215" spans="2:44" ht="21.75" customHeight="1" x14ac:dyDescent="0.45">
      <c r="B215" s="54" t="s">
        <v>99</v>
      </c>
      <c r="E215" s="55" t="s">
        <v>87</v>
      </c>
      <c r="F215" s="54" t="str">
        <f>"Warengruppe&gt;&gt;"&amp;_xlfn.TEXTJOIN("&gt;&gt;",TRUE,Migrationsartikel!V214:X214)</f>
        <v>Warengruppe&gt;&gt;Früchte und Gemüse&gt;&gt;Früchte und Gemüse&gt;&gt;Früchte</v>
      </c>
      <c r="H215" s="55" t="s">
        <v>109</v>
      </c>
      <c r="J215" s="79">
        <f>Migrationsartikel!B214</f>
        <v>2287572000000</v>
      </c>
      <c r="L215" s="54" t="str">
        <f>_xlfn.TEXTJOIN(" ",TRUE,Migrationsartikel!F214:H214)</f>
        <v>Birnen Carmen Kl. 1 gepackt</v>
      </c>
      <c r="M215" s="54" t="str">
        <f>_xlfn.TEXTJOIN(" ",TRUE,Migrationsartikel!J214:L214)</f>
        <v>Poires Carmen Cl. 1 emballé</v>
      </c>
      <c r="N215" s="54" t="str">
        <f>_xlfn.TEXTJOIN(" ",TRUE,Migrationsartikel!N214:P214)</f>
        <v>Pere Carmen Cl. 1 confezionato</v>
      </c>
      <c r="O215" s="54" t="str">
        <f>Migrationsartikel!F214</f>
        <v>Birnen Carmen</v>
      </c>
      <c r="P215" s="54" t="str">
        <f>Migrationsartikel!J214</f>
        <v>Poires Carmen</v>
      </c>
      <c r="Q215" s="54" t="str">
        <f>Migrationsartikel!N214</f>
        <v>Pere Carmen</v>
      </c>
      <c r="R215" s="54" t="str">
        <f>_xlfn.TEXTJOIN(" ",TRUE,Migrationsartikel!G214)</f>
        <v>Kl. 1 gepackt</v>
      </c>
      <c r="S215" s="54" t="str">
        <f>_xlfn.TEXTJOIN(" ",TRUE,Migrationsartikel!K214)</f>
        <v>Cl. 1 emballé</v>
      </c>
      <c r="T215" s="54" t="str">
        <f>_xlfn.TEXTJOIN(" ",TRUE,Migrationsartikel!O214)</f>
        <v>Cl. 1 confezionato</v>
      </c>
      <c r="U215" s="54" t="str">
        <f>_xlfn.TEXTJOIN(" ",TRUE,Migrationsartikel!H214)</f>
        <v/>
      </c>
      <c r="V215" s="54" t="str">
        <f>_xlfn.TEXTJOIN(" ",TRUE,Migrationsartikel!L214)</f>
        <v/>
      </c>
      <c r="W215" s="54" t="str">
        <f>_xlfn.TEXTJOIN(" ",TRUE,Migrationsartikel!P214)</f>
        <v/>
      </c>
      <c r="X215" s="54" t="str">
        <f>Migrationsartikel!I214</f>
        <v>Birnen Carmen Kl. 1 gepackt</v>
      </c>
      <c r="Y215" s="54" t="str">
        <f>Migrationsartikel!M214</f>
        <v>Poires Carmen cl. 1 emballé</v>
      </c>
      <c r="Z215" s="54" t="str">
        <f>Migrationsartikel!Q214</f>
        <v>Pere Carmen cl. 1 confez.</v>
      </c>
      <c r="AA215" s="63">
        <f>Migrationsartikel!R214</f>
        <v>1</v>
      </c>
      <c r="AB215" s="54" t="str">
        <f>Migrationsartikel!T214</f>
        <v>Kilogramm</v>
      </c>
      <c r="AC215" s="65">
        <f>Migrationsartikel!S214</f>
        <v>1</v>
      </c>
      <c r="AD215" s="54" t="str">
        <f>Migrationsartikel!U214</f>
        <v>(PCE) Stück</v>
      </c>
      <c r="AE215" s="55" t="s">
        <v>179</v>
      </c>
      <c r="AF215" s="67">
        <f>Migrationsartikel!AA214</f>
        <v>0</v>
      </c>
      <c r="AG215" s="55" t="s">
        <v>192</v>
      </c>
      <c r="AH215" s="54" t="str">
        <f>IF(Migrationsartikel!AB214="ja","true",FALSE)</f>
        <v>true</v>
      </c>
      <c r="AI215" s="54" t="str">
        <f>IF(Migrationsartikel!AC214="ja","true",FALSE)</f>
        <v>true</v>
      </c>
      <c r="AJ215" s="54" t="str">
        <f>IF(Migrationsartikel!AD214="ja","true",FALSE)</f>
        <v>true</v>
      </c>
      <c r="AK215" s="54" t="str">
        <f>IF(Migrationsartikel!AE214="ja","true",FALSE)</f>
        <v>true</v>
      </c>
      <c r="AL215" s="54" t="str">
        <f>IF(Migrationsartikel!AF214="ja","Denner Partner","")</f>
        <v/>
      </c>
      <c r="AM215" s="54" t="str">
        <f>IF(Migrationsartikel!AG214="ja","true","false")</f>
        <v>false</v>
      </c>
      <c r="AN215" s="54" t="str">
        <f t="shared" si="4"/>
        <v>GTIN</v>
      </c>
      <c r="AO215" s="66" t="s">
        <v>219</v>
      </c>
      <c r="AP215" s="65" t="s">
        <v>1648</v>
      </c>
      <c r="AQ215" s="66" t="s">
        <v>217</v>
      </c>
      <c r="AR215" s="30" t="s">
        <v>219</v>
      </c>
    </row>
    <row r="216" spans="2:44" ht="21.75" customHeight="1" x14ac:dyDescent="0.45">
      <c r="B216" s="54" t="s">
        <v>99</v>
      </c>
      <c r="E216" s="55" t="s">
        <v>87</v>
      </c>
      <c r="F216" s="54" t="str">
        <f>"Warengruppe&gt;&gt;"&amp;_xlfn.TEXTJOIN("&gt;&gt;",TRUE,Migrationsartikel!V215:X215)</f>
        <v>Warengruppe&gt;&gt;Früchte und Gemüse&gt;&gt;Früchte und Gemüse&gt;&gt;Früchte</v>
      </c>
      <c r="H216" s="55" t="s">
        <v>109</v>
      </c>
      <c r="J216" s="79">
        <f>Migrationsartikel!B215</f>
        <v>136</v>
      </c>
      <c r="L216" s="54" t="str">
        <f>_xlfn.TEXTJOIN(" ",TRUE,Migrationsartikel!F215:H215)</f>
        <v>Birnen Conférence Offen Kl. 1</v>
      </c>
      <c r="M216" s="54" t="str">
        <f>_xlfn.TEXTJOIN(" ",TRUE,Migrationsartikel!J215:L215)</f>
        <v>Poires Conférence En vrac, cl. 1</v>
      </c>
      <c r="N216" s="54" t="str">
        <f>_xlfn.TEXTJOIN(" ",TRUE,Migrationsartikel!N215:P215)</f>
        <v>Pere Conférence Cl. 1 vendita sfusa</v>
      </c>
      <c r="O216" s="54" t="str">
        <f>Migrationsartikel!F215</f>
        <v>Birnen Conférence</v>
      </c>
      <c r="P216" s="54" t="str">
        <f>Migrationsartikel!J215</f>
        <v>Poires Conférence</v>
      </c>
      <c r="Q216" s="54" t="str">
        <f>Migrationsartikel!N215</f>
        <v>Pere Conférence</v>
      </c>
      <c r="R216" s="54" t="str">
        <f>_xlfn.TEXTJOIN(" ",TRUE,Migrationsartikel!G215)</f>
        <v>Offen Kl. 1</v>
      </c>
      <c r="S216" s="54" t="str">
        <f>_xlfn.TEXTJOIN(" ",TRUE,Migrationsartikel!K215)</f>
        <v>En vrac, cl. 1</v>
      </c>
      <c r="T216" s="54" t="str">
        <f>_xlfn.TEXTJOIN(" ",TRUE,Migrationsartikel!O215)</f>
        <v>Cl. 1 vendita sfusa</v>
      </c>
      <c r="U216" s="54" t="str">
        <f>_xlfn.TEXTJOIN(" ",TRUE,Migrationsartikel!H215)</f>
        <v/>
      </c>
      <c r="V216" s="54" t="str">
        <f>_xlfn.TEXTJOIN(" ",TRUE,Migrationsartikel!L215)</f>
        <v/>
      </c>
      <c r="W216" s="54" t="str">
        <f>_xlfn.TEXTJOIN(" ",TRUE,Migrationsartikel!P215)</f>
        <v/>
      </c>
      <c r="X216" s="54" t="str">
        <f>Migrationsartikel!I215</f>
        <v>Birnen Conférence Offen Kl.1</v>
      </c>
      <c r="Y216" s="54" t="str">
        <f>Migrationsartikel!M215</f>
        <v>Poires Conférence cl.1 en vr</v>
      </c>
      <c r="Z216" s="54" t="str">
        <f>Migrationsartikel!Q215</f>
        <v>Pere Conférence cl. 1 ve. Sf</v>
      </c>
      <c r="AA216" s="63">
        <f>Migrationsartikel!R215</f>
        <v>1</v>
      </c>
      <c r="AB216" s="54" t="str">
        <f>Migrationsartikel!T215</f>
        <v>Kilogramm</v>
      </c>
      <c r="AC216" s="65">
        <f>Migrationsartikel!S215</f>
        <v>1</v>
      </c>
      <c r="AD216" s="54" t="str">
        <f>Migrationsartikel!U215</f>
        <v>(KGM) KG</v>
      </c>
      <c r="AE216" s="55" t="s">
        <v>179</v>
      </c>
      <c r="AF216" s="67">
        <f>Migrationsartikel!AA215</f>
        <v>0</v>
      </c>
      <c r="AG216" s="55" t="s">
        <v>192</v>
      </c>
      <c r="AH216" s="54" t="str">
        <f>IF(Migrationsartikel!AB215="ja","true",FALSE)</f>
        <v>true</v>
      </c>
      <c r="AI216" s="54" t="str">
        <f>IF(Migrationsartikel!AC215="ja","true",FALSE)</f>
        <v>true</v>
      </c>
      <c r="AJ216" s="54" t="str">
        <f>IF(Migrationsartikel!AD215="ja","true",FALSE)</f>
        <v>true</v>
      </c>
      <c r="AK216" s="54" t="str">
        <f>IF(Migrationsartikel!AE215="ja","true",FALSE)</f>
        <v>true</v>
      </c>
      <c r="AL216" s="54" t="str">
        <f>IF(Migrationsartikel!AF215="ja","Denner Partner","")</f>
        <v/>
      </c>
      <c r="AM216" s="54" t="str">
        <f>IF(Migrationsartikel!AG215="ja","true","false")</f>
        <v>false</v>
      </c>
      <c r="AN216" s="54" t="str">
        <f t="shared" si="4"/>
        <v>PLU</v>
      </c>
      <c r="AO216" s="66" t="s">
        <v>219</v>
      </c>
      <c r="AP216" s="65" t="s">
        <v>1649</v>
      </c>
      <c r="AQ216" s="66" t="s">
        <v>217</v>
      </c>
      <c r="AR216" s="30" t="s">
        <v>219</v>
      </c>
    </row>
    <row r="217" spans="2:44" ht="21.75" customHeight="1" x14ac:dyDescent="0.45">
      <c r="B217" s="54" t="s">
        <v>99</v>
      </c>
      <c r="E217" s="55" t="s">
        <v>87</v>
      </c>
      <c r="F217" s="54" t="str">
        <f>"Warengruppe&gt;&gt;"&amp;_xlfn.TEXTJOIN("&gt;&gt;",TRUE,Migrationsartikel!V216:X216)</f>
        <v>Warengruppe&gt;&gt;Früchte und Gemüse&gt;&gt;Früchte und Gemüse&gt;&gt;Früchte</v>
      </c>
      <c r="H217" s="55" t="s">
        <v>109</v>
      </c>
      <c r="J217" s="79">
        <f>Migrationsartikel!B216</f>
        <v>2216831000005</v>
      </c>
      <c r="L217" s="54" t="str">
        <f>_xlfn.TEXTJOIN(" ",TRUE,Migrationsartikel!F216:H216)</f>
        <v>Birnen Conférence Kl. 1 gepackt</v>
      </c>
      <c r="M217" s="54" t="str">
        <f>_xlfn.TEXTJOIN(" ",TRUE,Migrationsartikel!J216:L216)</f>
        <v>Poires Conférence Cl. 1 emballé</v>
      </c>
      <c r="N217" s="54" t="str">
        <f>_xlfn.TEXTJOIN(" ",TRUE,Migrationsartikel!N216:P216)</f>
        <v>Pere Conférence Cl. 1 confezionato</v>
      </c>
      <c r="O217" s="54" t="str">
        <f>Migrationsartikel!F216</f>
        <v>Birnen Conférence</v>
      </c>
      <c r="P217" s="54" t="str">
        <f>Migrationsartikel!J216</f>
        <v>Poires Conférence</v>
      </c>
      <c r="Q217" s="54" t="str">
        <f>Migrationsartikel!N216</f>
        <v>Pere Conférence</v>
      </c>
      <c r="R217" s="54" t="str">
        <f>_xlfn.TEXTJOIN(" ",TRUE,Migrationsartikel!G216)</f>
        <v>Kl. 1 gepackt</v>
      </c>
      <c r="S217" s="54" t="str">
        <f>_xlfn.TEXTJOIN(" ",TRUE,Migrationsartikel!K216)</f>
        <v>Cl. 1 emballé</v>
      </c>
      <c r="T217" s="54" t="str">
        <f>_xlfn.TEXTJOIN(" ",TRUE,Migrationsartikel!O216)</f>
        <v>Cl. 1 confezionato</v>
      </c>
      <c r="U217" s="54" t="str">
        <f>_xlfn.TEXTJOIN(" ",TRUE,Migrationsartikel!H216)</f>
        <v/>
      </c>
      <c r="V217" s="54" t="str">
        <f>_xlfn.TEXTJOIN(" ",TRUE,Migrationsartikel!L216)</f>
        <v/>
      </c>
      <c r="W217" s="54" t="str">
        <f>_xlfn.TEXTJOIN(" ",TRUE,Migrationsartikel!P216)</f>
        <v/>
      </c>
      <c r="X217" s="54" t="str">
        <f>Migrationsartikel!I216</f>
        <v>Birnen Conférence Kl. 2 gep.</v>
      </c>
      <c r="Y217" s="54" t="str">
        <f>Migrationsartikel!M216</f>
        <v>Poires Conférence cl. 1 emb.</v>
      </c>
      <c r="Z217" s="54" t="str">
        <f>Migrationsartikel!Q216</f>
        <v>Pere Conférence cl. 1 conf</v>
      </c>
      <c r="AA217" s="63">
        <f>Migrationsartikel!R216</f>
        <v>1</v>
      </c>
      <c r="AB217" s="54" t="str">
        <f>Migrationsartikel!T216</f>
        <v>Kilogramm</v>
      </c>
      <c r="AC217" s="65">
        <f>Migrationsartikel!S216</f>
        <v>1</v>
      </c>
      <c r="AD217" s="54" t="str">
        <f>Migrationsartikel!U216</f>
        <v>(PCE) Stück</v>
      </c>
      <c r="AE217" s="55" t="s">
        <v>179</v>
      </c>
      <c r="AF217" s="67">
        <f>Migrationsartikel!AA216</f>
        <v>0</v>
      </c>
      <c r="AG217" s="55" t="s">
        <v>192</v>
      </c>
      <c r="AH217" s="54" t="str">
        <f>IF(Migrationsartikel!AB216="ja","true",FALSE)</f>
        <v>true</v>
      </c>
      <c r="AI217" s="54" t="str">
        <f>IF(Migrationsartikel!AC216="ja","true",FALSE)</f>
        <v>true</v>
      </c>
      <c r="AJ217" s="54" t="str">
        <f>IF(Migrationsartikel!AD216="ja","true",FALSE)</f>
        <v>true</v>
      </c>
      <c r="AK217" s="54" t="str">
        <f>IF(Migrationsartikel!AE216="ja","true",FALSE)</f>
        <v>true</v>
      </c>
      <c r="AL217" s="54" t="str">
        <f>IF(Migrationsartikel!AF216="ja","Denner Partner","")</f>
        <v/>
      </c>
      <c r="AM217" s="54" t="str">
        <f>IF(Migrationsartikel!AG216="ja","true","false")</f>
        <v>false</v>
      </c>
      <c r="AN217" s="54" t="str">
        <f t="shared" si="4"/>
        <v>GTIN</v>
      </c>
      <c r="AO217" s="66" t="s">
        <v>219</v>
      </c>
      <c r="AP217" s="65" t="s">
        <v>1650</v>
      </c>
      <c r="AQ217" s="66" t="s">
        <v>217</v>
      </c>
      <c r="AR217" s="30" t="s">
        <v>219</v>
      </c>
    </row>
    <row r="218" spans="2:44" ht="21.75" customHeight="1" x14ac:dyDescent="0.45">
      <c r="B218" s="54" t="s">
        <v>99</v>
      </c>
      <c r="E218" s="55" t="s">
        <v>87</v>
      </c>
      <c r="F218" s="54" t="str">
        <f>"Warengruppe&gt;&gt;"&amp;_xlfn.TEXTJOIN("&gt;&gt;",TRUE,Migrationsartikel!V217:X217)</f>
        <v>Warengruppe&gt;&gt;Früchte und Gemüse&gt;&gt;Früchte und Gemüse&gt;&gt;Früchte</v>
      </c>
      <c r="H218" s="55" t="s">
        <v>109</v>
      </c>
      <c r="J218" s="79">
        <f>Migrationsartikel!B217</f>
        <v>2216799000000</v>
      </c>
      <c r="L218" s="54" t="str">
        <f>_xlfn.TEXTJOIN(" ",TRUE,Migrationsartikel!F217:H217)</f>
        <v>Bio Birnen Conférence Kl. 1 gepackt</v>
      </c>
      <c r="M218" s="54" t="str">
        <f>_xlfn.TEXTJOIN(" ",TRUE,Migrationsartikel!J217:L217)</f>
        <v>Bio Poires Conférence Cl. 1 emballé</v>
      </c>
      <c r="N218" s="54" t="str">
        <f>_xlfn.TEXTJOIN(" ",TRUE,Migrationsartikel!N217:P217)</f>
        <v>Bio Pere Conférence Cl. 1 confezionato</v>
      </c>
      <c r="O218" s="54" t="str">
        <f>Migrationsartikel!F217</f>
        <v>Bio Birnen Conférence</v>
      </c>
      <c r="P218" s="54" t="str">
        <f>Migrationsartikel!J217</f>
        <v>Bio Poires Conférence</v>
      </c>
      <c r="Q218" s="54" t="str">
        <f>Migrationsartikel!N217</f>
        <v>Bio Pere Conférence</v>
      </c>
      <c r="R218" s="54" t="str">
        <f>_xlfn.TEXTJOIN(" ",TRUE,Migrationsartikel!G217)</f>
        <v>Kl. 1 gepackt</v>
      </c>
      <c r="S218" s="54" t="str">
        <f>_xlfn.TEXTJOIN(" ",TRUE,Migrationsartikel!K217)</f>
        <v>Cl. 1 emballé</v>
      </c>
      <c r="T218" s="54" t="str">
        <f>_xlfn.TEXTJOIN(" ",TRUE,Migrationsartikel!O217)</f>
        <v>Cl. 1 confezionato</v>
      </c>
      <c r="U218" s="54" t="str">
        <f>_xlfn.TEXTJOIN(" ",TRUE,Migrationsartikel!H217)</f>
        <v/>
      </c>
      <c r="V218" s="54" t="str">
        <f>_xlfn.TEXTJOIN(" ",TRUE,Migrationsartikel!L217)</f>
        <v/>
      </c>
      <c r="W218" s="54" t="str">
        <f>_xlfn.TEXTJOIN(" ",TRUE,Migrationsartikel!P217)</f>
        <v/>
      </c>
      <c r="X218" s="54" t="str">
        <f>Migrationsartikel!I217</f>
        <v>Bio Birnen Conf. Kl.1 gep.</v>
      </c>
      <c r="Y218" s="54" t="str">
        <f>Migrationsartikel!M217</f>
        <v>Bio Poires Confér. cl.1 emb.</v>
      </c>
      <c r="Z218" s="54" t="str">
        <f>Migrationsartikel!Q217</f>
        <v>Bio Pere Conf. cl. 1 conf.</v>
      </c>
      <c r="AA218" s="63">
        <f>Migrationsartikel!R217</f>
        <v>1</v>
      </c>
      <c r="AB218" s="54" t="str">
        <f>Migrationsartikel!T217</f>
        <v>Kilogramm</v>
      </c>
      <c r="AC218" s="65">
        <f>Migrationsartikel!S217</f>
        <v>1</v>
      </c>
      <c r="AD218" s="54" t="str">
        <f>Migrationsartikel!U217</f>
        <v>(PCE) Stück</v>
      </c>
      <c r="AE218" s="55" t="s">
        <v>179</v>
      </c>
      <c r="AF218" s="67">
        <f>Migrationsartikel!AA217</f>
        <v>0</v>
      </c>
      <c r="AG218" s="55" t="s">
        <v>192</v>
      </c>
      <c r="AH218" s="54" t="str">
        <f>IF(Migrationsartikel!AB217="ja","true",FALSE)</f>
        <v>true</v>
      </c>
      <c r="AI218" s="54" t="str">
        <f>IF(Migrationsartikel!AC217="ja","true",FALSE)</f>
        <v>true</v>
      </c>
      <c r="AJ218" s="54" t="str">
        <f>IF(Migrationsartikel!AD217="ja","true",FALSE)</f>
        <v>true</v>
      </c>
      <c r="AK218" s="54" t="str">
        <f>IF(Migrationsartikel!AE217="ja","true",FALSE)</f>
        <v>true</v>
      </c>
      <c r="AL218" s="54" t="str">
        <f>IF(Migrationsartikel!AF217="ja","Denner Partner","")</f>
        <v/>
      </c>
      <c r="AM218" s="54" t="str">
        <f>IF(Migrationsartikel!AG217="ja","true","false")</f>
        <v>false</v>
      </c>
      <c r="AN218" s="54" t="str">
        <f t="shared" si="4"/>
        <v>GTIN</v>
      </c>
      <c r="AO218" s="66" t="s">
        <v>219</v>
      </c>
      <c r="AP218" s="65" t="s">
        <v>1651</v>
      </c>
      <c r="AQ218" s="66" t="s">
        <v>217</v>
      </c>
      <c r="AR218" s="30" t="s">
        <v>219</v>
      </c>
    </row>
    <row r="219" spans="2:44" ht="21.75" customHeight="1" x14ac:dyDescent="0.45">
      <c r="B219" s="54" t="s">
        <v>99</v>
      </c>
      <c r="E219" s="55" t="s">
        <v>87</v>
      </c>
      <c r="F219" s="54" t="str">
        <f>"Warengruppe&gt;&gt;"&amp;_xlfn.TEXTJOIN("&gt;&gt;",TRUE,Migrationsartikel!V218:X218)</f>
        <v>Warengruppe&gt;&gt;Früchte und Gemüse&gt;&gt;Früchte und Gemüse&gt;&gt;Früchte</v>
      </c>
      <c r="H219" s="55" t="s">
        <v>109</v>
      </c>
      <c r="J219" s="79">
        <f>Migrationsartikel!B218</f>
        <v>138</v>
      </c>
      <c r="L219" s="54" t="str">
        <f>_xlfn.TEXTJOIN(" ",TRUE,Migrationsartikel!F218:H218)</f>
        <v>Birnen Forellen Offen Kl. 1</v>
      </c>
      <c r="M219" s="54" t="str">
        <f>_xlfn.TEXTJOIN(" ",TRUE,Migrationsartikel!J218:L218)</f>
        <v>Poires Forelle En vrac, cl. 1</v>
      </c>
      <c r="N219" s="54" t="str">
        <f>_xlfn.TEXTJOIN(" ",TRUE,Migrationsartikel!N218:P218)</f>
        <v>Pere Forelle Cl. 1 vendita sfusa</v>
      </c>
      <c r="O219" s="54" t="str">
        <f>Migrationsartikel!F218</f>
        <v>Birnen Forellen</v>
      </c>
      <c r="P219" s="54" t="str">
        <f>Migrationsartikel!J218</f>
        <v>Poires Forelle</v>
      </c>
      <c r="Q219" s="54" t="str">
        <f>Migrationsartikel!N218</f>
        <v>Pere Forelle</v>
      </c>
      <c r="R219" s="54" t="str">
        <f>_xlfn.TEXTJOIN(" ",TRUE,Migrationsartikel!G218)</f>
        <v>Offen Kl. 1</v>
      </c>
      <c r="S219" s="54" t="str">
        <f>_xlfn.TEXTJOIN(" ",TRUE,Migrationsartikel!K218)</f>
        <v>En vrac, cl. 1</v>
      </c>
      <c r="T219" s="54" t="str">
        <f>_xlfn.TEXTJOIN(" ",TRUE,Migrationsartikel!O218)</f>
        <v>Cl. 1 vendita sfusa</v>
      </c>
      <c r="U219" s="54" t="str">
        <f>_xlfn.TEXTJOIN(" ",TRUE,Migrationsartikel!H218)</f>
        <v/>
      </c>
      <c r="V219" s="54" t="str">
        <f>_xlfn.TEXTJOIN(" ",TRUE,Migrationsartikel!L218)</f>
        <v/>
      </c>
      <c r="W219" s="54" t="str">
        <f>_xlfn.TEXTJOIN(" ",TRUE,Migrationsartikel!P218)</f>
        <v/>
      </c>
      <c r="X219" s="54" t="str">
        <f>Migrationsartikel!I218</f>
        <v>Birnen Forellen Offen Kl. 1</v>
      </c>
      <c r="Y219" s="54" t="str">
        <f>Migrationsartikel!M218</f>
        <v>Poires Forelle cl. 1 en vrac</v>
      </c>
      <c r="Z219" s="54" t="str">
        <f>Migrationsartikel!Q218</f>
        <v>Pere Forelle cl. 1 vend. Sf.</v>
      </c>
      <c r="AA219" s="63">
        <f>Migrationsartikel!R218</f>
        <v>1</v>
      </c>
      <c r="AB219" s="54" t="str">
        <f>Migrationsartikel!T218</f>
        <v>Kilogramm</v>
      </c>
      <c r="AC219" s="65">
        <f>Migrationsartikel!S218</f>
        <v>1</v>
      </c>
      <c r="AD219" s="54" t="str">
        <f>Migrationsartikel!U218</f>
        <v>(KGM) KG</v>
      </c>
      <c r="AE219" s="55" t="s">
        <v>179</v>
      </c>
      <c r="AF219" s="67">
        <f>Migrationsartikel!AA218</f>
        <v>0</v>
      </c>
      <c r="AG219" s="55" t="s">
        <v>192</v>
      </c>
      <c r="AH219" s="54" t="str">
        <f>IF(Migrationsartikel!AB218="ja","true",FALSE)</f>
        <v>true</v>
      </c>
      <c r="AI219" s="54" t="str">
        <f>IF(Migrationsartikel!AC218="ja","true",FALSE)</f>
        <v>true</v>
      </c>
      <c r="AJ219" s="54" t="str">
        <f>IF(Migrationsartikel!AD218="ja","true",FALSE)</f>
        <v>true</v>
      </c>
      <c r="AK219" s="54" t="str">
        <f>IF(Migrationsartikel!AE218="ja","true",FALSE)</f>
        <v>true</v>
      </c>
      <c r="AL219" s="54" t="str">
        <f>IF(Migrationsartikel!AF218="ja","Denner Partner","")</f>
        <v/>
      </c>
      <c r="AM219" s="54" t="str">
        <f>IF(Migrationsartikel!AG218="ja","true","false")</f>
        <v>false</v>
      </c>
      <c r="AN219" s="54" t="str">
        <f t="shared" si="4"/>
        <v>PLU</v>
      </c>
      <c r="AO219" s="66" t="s">
        <v>219</v>
      </c>
      <c r="AP219" s="65" t="s">
        <v>1652</v>
      </c>
      <c r="AQ219" s="66" t="s">
        <v>217</v>
      </c>
      <c r="AR219" s="30" t="s">
        <v>219</v>
      </c>
    </row>
    <row r="220" spans="2:44" ht="21.75" customHeight="1" x14ac:dyDescent="0.45">
      <c r="B220" s="54" t="s">
        <v>99</v>
      </c>
      <c r="E220" s="55" t="s">
        <v>87</v>
      </c>
      <c r="F220" s="54" t="str">
        <f>"Warengruppe&gt;&gt;"&amp;_xlfn.TEXTJOIN("&gt;&gt;",TRUE,Migrationsartikel!V219:X219)</f>
        <v>Warengruppe&gt;&gt;Früchte und Gemüse&gt;&gt;Früchte und Gemüse&gt;&gt;Früchte</v>
      </c>
      <c r="H220" s="55" t="s">
        <v>109</v>
      </c>
      <c r="J220" s="79">
        <f>Migrationsartikel!B219</f>
        <v>139</v>
      </c>
      <c r="L220" s="54" t="str">
        <f>_xlfn.TEXTJOIN(" ",TRUE,Migrationsartikel!F219:H219)</f>
        <v>Birnen Fred Offen Kl. 1</v>
      </c>
      <c r="M220" s="54" t="str">
        <f>_xlfn.TEXTJOIN(" ",TRUE,Migrationsartikel!J219:L219)</f>
        <v>Poires Fred En vrac, cl. 1</v>
      </c>
      <c r="N220" s="54" t="str">
        <f>_xlfn.TEXTJOIN(" ",TRUE,Migrationsartikel!N219:P219)</f>
        <v>Pere Fred Cl. 1 vendita sfusa</v>
      </c>
      <c r="O220" s="54" t="str">
        <f>Migrationsartikel!F219</f>
        <v>Birnen Fred</v>
      </c>
      <c r="P220" s="54" t="str">
        <f>Migrationsartikel!J219</f>
        <v>Poires Fred</v>
      </c>
      <c r="Q220" s="54" t="str">
        <f>Migrationsartikel!N219</f>
        <v>Pere Fred</v>
      </c>
      <c r="R220" s="54" t="str">
        <f>_xlfn.TEXTJOIN(" ",TRUE,Migrationsartikel!G219)</f>
        <v>Offen Kl. 1</v>
      </c>
      <c r="S220" s="54" t="str">
        <f>_xlfn.TEXTJOIN(" ",TRUE,Migrationsartikel!K219)</f>
        <v>En vrac, cl. 1</v>
      </c>
      <c r="T220" s="54" t="str">
        <f>_xlfn.TEXTJOIN(" ",TRUE,Migrationsartikel!O219)</f>
        <v>Cl. 1 vendita sfusa</v>
      </c>
      <c r="U220" s="54" t="str">
        <f>_xlfn.TEXTJOIN(" ",TRUE,Migrationsartikel!H219)</f>
        <v/>
      </c>
      <c r="V220" s="54" t="str">
        <f>_xlfn.TEXTJOIN(" ",TRUE,Migrationsartikel!L219)</f>
        <v/>
      </c>
      <c r="W220" s="54" t="str">
        <f>_xlfn.TEXTJOIN(" ",TRUE,Migrationsartikel!P219)</f>
        <v/>
      </c>
      <c r="X220" s="54" t="str">
        <f>Migrationsartikel!I219</f>
        <v>Birnen Fred Offen Kl. 1</v>
      </c>
      <c r="Y220" s="54" t="str">
        <f>Migrationsartikel!M219</f>
        <v>Poires Fred cl. 1 en vrac</v>
      </c>
      <c r="Z220" s="54" t="str">
        <f>Migrationsartikel!Q219</f>
        <v>Pere Fred cl. 1 vend sfusa</v>
      </c>
      <c r="AA220" s="63">
        <f>Migrationsartikel!R219</f>
        <v>1</v>
      </c>
      <c r="AB220" s="54" t="str">
        <f>Migrationsartikel!T219</f>
        <v>Kilogramm</v>
      </c>
      <c r="AC220" s="65">
        <f>Migrationsartikel!S219</f>
        <v>1</v>
      </c>
      <c r="AD220" s="54" t="str">
        <f>Migrationsartikel!U219</f>
        <v>(KGM) KG</v>
      </c>
      <c r="AE220" s="55" t="s">
        <v>179</v>
      </c>
      <c r="AF220" s="67">
        <f>Migrationsartikel!AA219</f>
        <v>0</v>
      </c>
      <c r="AG220" s="55" t="s">
        <v>192</v>
      </c>
      <c r="AH220" s="54" t="str">
        <f>IF(Migrationsartikel!AB219="ja","true",FALSE)</f>
        <v>true</v>
      </c>
      <c r="AI220" s="54" t="str">
        <f>IF(Migrationsartikel!AC219="ja","true",FALSE)</f>
        <v>true</v>
      </c>
      <c r="AJ220" s="54" t="str">
        <f>IF(Migrationsartikel!AD219="ja","true",FALSE)</f>
        <v>true</v>
      </c>
      <c r="AK220" s="54" t="str">
        <f>IF(Migrationsartikel!AE219="ja","true",FALSE)</f>
        <v>true</v>
      </c>
      <c r="AL220" s="54" t="str">
        <f>IF(Migrationsartikel!AF219="ja","Denner Partner","")</f>
        <v/>
      </c>
      <c r="AM220" s="54" t="str">
        <f>IF(Migrationsartikel!AG219="ja","true","false")</f>
        <v>false</v>
      </c>
      <c r="AN220" s="54" t="str">
        <f t="shared" si="4"/>
        <v>PLU</v>
      </c>
      <c r="AO220" s="66" t="s">
        <v>219</v>
      </c>
      <c r="AP220" s="65" t="s">
        <v>1653</v>
      </c>
      <c r="AQ220" s="66" t="s">
        <v>217</v>
      </c>
      <c r="AR220" s="30" t="s">
        <v>219</v>
      </c>
    </row>
    <row r="221" spans="2:44" ht="21.75" customHeight="1" x14ac:dyDescent="0.45">
      <c r="B221" s="54" t="s">
        <v>99</v>
      </c>
      <c r="E221" s="55" t="s">
        <v>87</v>
      </c>
      <c r="F221" s="54" t="str">
        <f>"Warengruppe&gt;&gt;"&amp;_xlfn.TEXTJOIN("&gt;&gt;",TRUE,Migrationsartikel!V220:X220)</f>
        <v>Warengruppe&gt;&gt;Früchte und Gemüse&gt;&gt;Früchte und Gemüse&gt;&gt;Früchte</v>
      </c>
      <c r="H221" s="55" t="s">
        <v>109</v>
      </c>
      <c r="J221" s="79">
        <f>Migrationsartikel!B220</f>
        <v>140</v>
      </c>
      <c r="L221" s="54" t="str">
        <f>_xlfn.TEXTJOIN(" ",TRUE,Migrationsartikel!F220:H220)</f>
        <v>Birnen Gute Louise Offen Kl. 1</v>
      </c>
      <c r="M221" s="54" t="str">
        <f>_xlfn.TEXTJOIN(" ",TRUE,Migrationsartikel!J220:L220)</f>
        <v>Poires Bonne Louise En vrac, cl. 1</v>
      </c>
      <c r="N221" s="54" t="str">
        <f>_xlfn.TEXTJOIN(" ",TRUE,Migrationsartikel!N220:P220)</f>
        <v>Pere Gute Luise Cl. 1 vendita sfusa</v>
      </c>
      <c r="O221" s="54" t="str">
        <f>Migrationsartikel!F220</f>
        <v>Birnen Gute Louise</v>
      </c>
      <c r="P221" s="54" t="str">
        <f>Migrationsartikel!J220</f>
        <v>Poires Bonne Louise</v>
      </c>
      <c r="Q221" s="54" t="str">
        <f>Migrationsartikel!N220</f>
        <v>Pere Gute Luise</v>
      </c>
      <c r="R221" s="54" t="str">
        <f>_xlfn.TEXTJOIN(" ",TRUE,Migrationsartikel!G220)</f>
        <v>Offen Kl. 1</v>
      </c>
      <c r="S221" s="54" t="str">
        <f>_xlfn.TEXTJOIN(" ",TRUE,Migrationsartikel!K220)</f>
        <v>En vrac, cl. 1</v>
      </c>
      <c r="T221" s="54" t="str">
        <f>_xlfn.TEXTJOIN(" ",TRUE,Migrationsartikel!O220)</f>
        <v>Cl. 1 vendita sfusa</v>
      </c>
      <c r="U221" s="54" t="str">
        <f>_xlfn.TEXTJOIN(" ",TRUE,Migrationsartikel!H220)</f>
        <v/>
      </c>
      <c r="V221" s="54" t="str">
        <f>_xlfn.TEXTJOIN(" ",TRUE,Migrationsartikel!L220)</f>
        <v/>
      </c>
      <c r="W221" s="54" t="str">
        <f>_xlfn.TEXTJOIN(" ",TRUE,Migrationsartikel!P220)</f>
        <v/>
      </c>
      <c r="X221" s="54" t="str">
        <f>Migrationsartikel!I220</f>
        <v>Birnen Gute Louise Off. Kl.1</v>
      </c>
      <c r="Y221" s="54" t="str">
        <f>Migrationsartikel!M220</f>
        <v>Poires Bonn. Lou. cl.1 en v.</v>
      </c>
      <c r="Z221" s="54" t="str">
        <f>Migrationsartikel!Q220</f>
        <v>Pere Gute Luise cl. 1 v. sf.</v>
      </c>
      <c r="AA221" s="63">
        <f>Migrationsartikel!R220</f>
        <v>1</v>
      </c>
      <c r="AB221" s="54" t="str">
        <f>Migrationsartikel!T220</f>
        <v>Kilogramm</v>
      </c>
      <c r="AC221" s="65">
        <f>Migrationsartikel!S220</f>
        <v>1</v>
      </c>
      <c r="AD221" s="54" t="str">
        <f>Migrationsartikel!U220</f>
        <v>(KGM) KG</v>
      </c>
      <c r="AE221" s="55" t="s">
        <v>179</v>
      </c>
      <c r="AF221" s="67">
        <f>Migrationsartikel!AA220</f>
        <v>0</v>
      </c>
      <c r="AG221" s="55" t="s">
        <v>192</v>
      </c>
      <c r="AH221" s="54" t="str">
        <f>IF(Migrationsartikel!AB220="ja","true",FALSE)</f>
        <v>true</v>
      </c>
      <c r="AI221" s="54" t="str">
        <f>IF(Migrationsartikel!AC220="ja","true",FALSE)</f>
        <v>true</v>
      </c>
      <c r="AJ221" s="54" t="str">
        <f>IF(Migrationsartikel!AD220="ja","true",FALSE)</f>
        <v>true</v>
      </c>
      <c r="AK221" s="54" t="str">
        <f>IF(Migrationsartikel!AE220="ja","true",FALSE)</f>
        <v>true</v>
      </c>
      <c r="AL221" s="54" t="str">
        <f>IF(Migrationsartikel!AF220="ja","Denner Partner","")</f>
        <v/>
      </c>
      <c r="AM221" s="54" t="str">
        <f>IF(Migrationsartikel!AG220="ja","true","false")</f>
        <v>false</v>
      </c>
      <c r="AN221" s="54" t="str">
        <f t="shared" si="4"/>
        <v>PLU</v>
      </c>
      <c r="AO221" s="66" t="s">
        <v>219</v>
      </c>
      <c r="AP221" s="65" t="s">
        <v>1654</v>
      </c>
      <c r="AQ221" s="66" t="s">
        <v>217</v>
      </c>
      <c r="AR221" s="30" t="s">
        <v>219</v>
      </c>
    </row>
    <row r="222" spans="2:44" ht="21.75" customHeight="1" x14ac:dyDescent="0.45">
      <c r="B222" s="54" t="s">
        <v>99</v>
      </c>
      <c r="E222" s="55" t="s">
        <v>87</v>
      </c>
      <c r="F222" s="54" t="str">
        <f>"Warengruppe&gt;&gt;"&amp;_xlfn.TEXTJOIN("&gt;&gt;",TRUE,Migrationsartikel!V221:X221)</f>
        <v>Warengruppe&gt;&gt;Früchte und Gemüse&gt;&gt;Früchte und Gemüse&gt;&gt;Früchte</v>
      </c>
      <c r="H222" s="55" t="s">
        <v>109</v>
      </c>
      <c r="J222" s="79">
        <f>Migrationsartikel!B221</f>
        <v>2216791000008</v>
      </c>
      <c r="L222" s="54" t="str">
        <f>_xlfn.TEXTJOIN(" ",TRUE,Migrationsartikel!F221:H221)</f>
        <v>Birnen Gute Louise Kl. 1 gepackt</v>
      </c>
      <c r="M222" s="54" t="str">
        <f>_xlfn.TEXTJOIN(" ",TRUE,Migrationsartikel!J221:L221)</f>
        <v>Poires Bonne Louise Cl. 1 emballé</v>
      </c>
      <c r="N222" s="54" t="str">
        <f>_xlfn.TEXTJOIN(" ",TRUE,Migrationsartikel!N221:P221)</f>
        <v>Pere Gute Luise Cl. 1 confezionato</v>
      </c>
      <c r="O222" s="54" t="str">
        <f>Migrationsartikel!F221</f>
        <v>Birnen Gute Louise</v>
      </c>
      <c r="P222" s="54" t="str">
        <f>Migrationsartikel!J221</f>
        <v>Poires Bonne Louise</v>
      </c>
      <c r="Q222" s="54" t="str">
        <f>Migrationsartikel!N221</f>
        <v>Pere Gute Luise</v>
      </c>
      <c r="R222" s="54" t="str">
        <f>_xlfn.TEXTJOIN(" ",TRUE,Migrationsartikel!G221)</f>
        <v>Kl. 1 gepackt</v>
      </c>
      <c r="S222" s="54" t="str">
        <f>_xlfn.TEXTJOIN(" ",TRUE,Migrationsartikel!K221)</f>
        <v>Cl. 1 emballé</v>
      </c>
      <c r="T222" s="54" t="str">
        <f>_xlfn.TEXTJOIN(" ",TRUE,Migrationsartikel!O221)</f>
        <v>Cl. 1 confezionato</v>
      </c>
      <c r="U222" s="54" t="str">
        <f>_xlfn.TEXTJOIN(" ",TRUE,Migrationsartikel!H221)</f>
        <v/>
      </c>
      <c r="V222" s="54" t="str">
        <f>_xlfn.TEXTJOIN(" ",TRUE,Migrationsartikel!L221)</f>
        <v/>
      </c>
      <c r="W222" s="54" t="str">
        <f>_xlfn.TEXTJOIN(" ",TRUE,Migrationsartikel!P221)</f>
        <v/>
      </c>
      <c r="X222" s="54" t="str">
        <f>Migrationsartikel!I221</f>
        <v>Birnen Gute Louise Kl.1 gep.</v>
      </c>
      <c r="Y222" s="54" t="str">
        <f>Migrationsartikel!M221</f>
        <v>Poires Bonn. Lou. cl.1 emb.</v>
      </c>
      <c r="Z222" s="54" t="str">
        <f>Migrationsartikel!Q221</f>
        <v>Pere Gute Luise cl. 1 confez</v>
      </c>
      <c r="AA222" s="63">
        <f>Migrationsartikel!R221</f>
        <v>1</v>
      </c>
      <c r="AB222" s="54" t="str">
        <f>Migrationsartikel!T221</f>
        <v>Kilogramm</v>
      </c>
      <c r="AC222" s="65">
        <f>Migrationsartikel!S221</f>
        <v>1</v>
      </c>
      <c r="AD222" s="54" t="str">
        <f>Migrationsartikel!U221</f>
        <v>(PCE) Stück</v>
      </c>
      <c r="AE222" s="55" t="s">
        <v>179</v>
      </c>
      <c r="AF222" s="67">
        <f>Migrationsartikel!AA221</f>
        <v>0</v>
      </c>
      <c r="AG222" s="55" t="s">
        <v>192</v>
      </c>
      <c r="AH222" s="54" t="str">
        <f>IF(Migrationsartikel!AB221="ja","true",FALSE)</f>
        <v>true</v>
      </c>
      <c r="AI222" s="54" t="str">
        <f>IF(Migrationsartikel!AC221="ja","true",FALSE)</f>
        <v>true</v>
      </c>
      <c r="AJ222" s="54" t="str">
        <f>IF(Migrationsartikel!AD221="ja","true",FALSE)</f>
        <v>true</v>
      </c>
      <c r="AK222" s="54" t="str">
        <f>IF(Migrationsartikel!AE221="ja","true",FALSE)</f>
        <v>true</v>
      </c>
      <c r="AL222" s="54" t="str">
        <f>IF(Migrationsartikel!AF221="ja","Denner Partner","")</f>
        <v/>
      </c>
      <c r="AM222" s="54" t="str">
        <f>IF(Migrationsartikel!AG221="ja","true","false")</f>
        <v>false</v>
      </c>
      <c r="AN222" s="54" t="str">
        <f t="shared" si="4"/>
        <v>GTIN</v>
      </c>
      <c r="AO222" s="66" t="s">
        <v>219</v>
      </c>
      <c r="AP222" s="65" t="s">
        <v>1655</v>
      </c>
      <c r="AQ222" s="66" t="s">
        <v>217</v>
      </c>
      <c r="AR222" s="30" t="s">
        <v>219</v>
      </c>
    </row>
    <row r="223" spans="2:44" ht="21.75" customHeight="1" x14ac:dyDescent="0.45">
      <c r="B223" s="54" t="s">
        <v>99</v>
      </c>
      <c r="E223" s="55" t="s">
        <v>87</v>
      </c>
      <c r="F223" s="54" t="str">
        <f>"Warengruppe&gt;&gt;"&amp;_xlfn.TEXTJOIN("&gt;&gt;",TRUE,Migrationsartikel!V222:X222)</f>
        <v>Warengruppe&gt;&gt;Früchte und Gemüse&gt;&gt;Früchte und Gemüse&gt;&gt;Früchte</v>
      </c>
      <c r="H223" s="55" t="s">
        <v>109</v>
      </c>
      <c r="J223" s="79">
        <f>Migrationsartikel!B222</f>
        <v>141</v>
      </c>
      <c r="L223" s="54" t="str">
        <f>_xlfn.TEXTJOIN(" ",TRUE,Migrationsartikel!F222:H222)</f>
        <v>Birnen Guyot Offen Kl. 1</v>
      </c>
      <c r="M223" s="54" t="str">
        <f>_xlfn.TEXTJOIN(" ",TRUE,Migrationsartikel!J222:L222)</f>
        <v>Poires Guyot En vrac, cl. 1</v>
      </c>
      <c r="N223" s="54" t="str">
        <f>_xlfn.TEXTJOIN(" ",TRUE,Migrationsartikel!N222:P222)</f>
        <v>Pere Guyot Cl. 1 vendita sfusa</v>
      </c>
      <c r="O223" s="54" t="str">
        <f>Migrationsartikel!F222</f>
        <v>Birnen Guyot</v>
      </c>
      <c r="P223" s="54" t="str">
        <f>Migrationsartikel!J222</f>
        <v>Poires Guyot</v>
      </c>
      <c r="Q223" s="54" t="str">
        <f>Migrationsartikel!N222</f>
        <v>Pere Guyot</v>
      </c>
      <c r="R223" s="54" t="str">
        <f>_xlfn.TEXTJOIN(" ",TRUE,Migrationsartikel!G222)</f>
        <v>Offen Kl. 1</v>
      </c>
      <c r="S223" s="54" t="str">
        <f>_xlfn.TEXTJOIN(" ",TRUE,Migrationsartikel!K222)</f>
        <v>En vrac, cl. 1</v>
      </c>
      <c r="T223" s="54" t="str">
        <f>_xlfn.TEXTJOIN(" ",TRUE,Migrationsartikel!O222)</f>
        <v>Cl. 1 vendita sfusa</v>
      </c>
      <c r="U223" s="54" t="str">
        <f>_xlfn.TEXTJOIN(" ",TRUE,Migrationsartikel!H222)</f>
        <v/>
      </c>
      <c r="V223" s="54" t="str">
        <f>_xlfn.TEXTJOIN(" ",TRUE,Migrationsartikel!L222)</f>
        <v/>
      </c>
      <c r="W223" s="54" t="str">
        <f>_xlfn.TEXTJOIN(" ",TRUE,Migrationsartikel!P222)</f>
        <v/>
      </c>
      <c r="X223" s="54" t="str">
        <f>Migrationsartikel!I222</f>
        <v>Birnen Guyot Offen Kl. 1</v>
      </c>
      <c r="Y223" s="54" t="str">
        <f>Migrationsartikel!M222</f>
        <v>Poires Guyot cl. 1 en vrac</v>
      </c>
      <c r="Z223" s="54" t="str">
        <f>Migrationsartikel!Q222</f>
        <v>Pere Guyot cl. 1 vend. sfusa</v>
      </c>
      <c r="AA223" s="63">
        <f>Migrationsartikel!R222</f>
        <v>1</v>
      </c>
      <c r="AB223" s="54" t="str">
        <f>Migrationsartikel!T222</f>
        <v>Kilogramm</v>
      </c>
      <c r="AC223" s="65">
        <f>Migrationsartikel!S222</f>
        <v>1</v>
      </c>
      <c r="AD223" s="54" t="str">
        <f>Migrationsartikel!U222</f>
        <v>(KGM) KG</v>
      </c>
      <c r="AE223" s="55" t="s">
        <v>179</v>
      </c>
      <c r="AF223" s="67">
        <f>Migrationsartikel!AA222</f>
        <v>0</v>
      </c>
      <c r="AG223" s="55" t="s">
        <v>192</v>
      </c>
      <c r="AH223" s="54" t="str">
        <f>IF(Migrationsartikel!AB222="ja","true",FALSE)</f>
        <v>true</v>
      </c>
      <c r="AI223" s="54" t="str">
        <f>IF(Migrationsartikel!AC222="ja","true",FALSE)</f>
        <v>true</v>
      </c>
      <c r="AJ223" s="54" t="str">
        <f>IF(Migrationsartikel!AD222="ja","true",FALSE)</f>
        <v>true</v>
      </c>
      <c r="AK223" s="54" t="str">
        <f>IF(Migrationsartikel!AE222="ja","true",FALSE)</f>
        <v>true</v>
      </c>
      <c r="AL223" s="54" t="str">
        <f>IF(Migrationsartikel!AF222="ja","Denner Partner","")</f>
        <v/>
      </c>
      <c r="AM223" s="54" t="str">
        <f>IF(Migrationsartikel!AG222="ja","true","false")</f>
        <v>false</v>
      </c>
      <c r="AN223" s="54" t="str">
        <f t="shared" si="4"/>
        <v>PLU</v>
      </c>
      <c r="AO223" s="66" t="s">
        <v>219</v>
      </c>
      <c r="AP223" s="65" t="s">
        <v>1656</v>
      </c>
      <c r="AQ223" s="66" t="s">
        <v>217</v>
      </c>
      <c r="AR223" s="30" t="s">
        <v>219</v>
      </c>
    </row>
    <row r="224" spans="2:44" ht="21.75" customHeight="1" x14ac:dyDescent="0.45">
      <c r="B224" s="54" t="s">
        <v>99</v>
      </c>
      <c r="E224" s="55" t="s">
        <v>87</v>
      </c>
      <c r="F224" s="54" t="str">
        <f>"Warengruppe&gt;&gt;"&amp;_xlfn.TEXTJOIN("&gt;&gt;",TRUE,Migrationsartikel!V223:X223)</f>
        <v>Warengruppe&gt;&gt;Früchte und Gemüse&gt;&gt;Früchte und Gemüse&gt;&gt;Früchte</v>
      </c>
      <c r="H224" s="55" t="s">
        <v>109</v>
      </c>
      <c r="J224" s="79">
        <f>Migrationsartikel!B223</f>
        <v>2213811000000</v>
      </c>
      <c r="L224" s="54" t="str">
        <f>_xlfn.TEXTJOIN(" ",TRUE,Migrationsartikel!F223:H223)</f>
        <v>Birnen Guyot Kl. 1 gepackt</v>
      </c>
      <c r="M224" s="54" t="str">
        <f>_xlfn.TEXTJOIN(" ",TRUE,Migrationsartikel!J223:L223)</f>
        <v>Poires Guyot Cl. 1 emballé</v>
      </c>
      <c r="N224" s="54" t="str">
        <f>_xlfn.TEXTJOIN(" ",TRUE,Migrationsartikel!N223:P223)</f>
        <v>Pere Guyot Cl. 1 confezionato</v>
      </c>
      <c r="O224" s="54" t="str">
        <f>Migrationsartikel!F223</f>
        <v>Birnen Guyot</v>
      </c>
      <c r="P224" s="54" t="str">
        <f>Migrationsartikel!J223</f>
        <v>Poires Guyot</v>
      </c>
      <c r="Q224" s="54" t="str">
        <f>Migrationsartikel!N223</f>
        <v>Pere Guyot</v>
      </c>
      <c r="R224" s="54" t="str">
        <f>_xlfn.TEXTJOIN(" ",TRUE,Migrationsartikel!G223)</f>
        <v>Kl. 1 gepackt</v>
      </c>
      <c r="S224" s="54" t="str">
        <f>_xlfn.TEXTJOIN(" ",TRUE,Migrationsartikel!K223)</f>
        <v>Cl. 1 emballé</v>
      </c>
      <c r="T224" s="54" t="str">
        <f>_xlfn.TEXTJOIN(" ",TRUE,Migrationsartikel!O223)</f>
        <v>Cl. 1 confezionato</v>
      </c>
      <c r="U224" s="54" t="str">
        <f>_xlfn.TEXTJOIN(" ",TRUE,Migrationsartikel!H223)</f>
        <v/>
      </c>
      <c r="V224" s="54" t="str">
        <f>_xlfn.TEXTJOIN(" ",TRUE,Migrationsartikel!L223)</f>
        <v/>
      </c>
      <c r="W224" s="54" t="str">
        <f>_xlfn.TEXTJOIN(" ",TRUE,Migrationsartikel!P223)</f>
        <v/>
      </c>
      <c r="X224" s="54" t="str">
        <f>Migrationsartikel!I223</f>
        <v>Birnen Guyot Kl. 1 gepackt</v>
      </c>
      <c r="Y224" s="54" t="str">
        <f>Migrationsartikel!M223</f>
        <v>Poires Guyot cl. 1 emballé</v>
      </c>
      <c r="Z224" s="54" t="str">
        <f>Migrationsartikel!Q223</f>
        <v>Pere Guyot cl. 1 confez.</v>
      </c>
      <c r="AA224" s="63">
        <f>Migrationsartikel!R223</f>
        <v>1</v>
      </c>
      <c r="AB224" s="54" t="str">
        <f>Migrationsartikel!T223</f>
        <v>Kilogramm</v>
      </c>
      <c r="AC224" s="65">
        <f>Migrationsartikel!S223</f>
        <v>1</v>
      </c>
      <c r="AD224" s="54" t="str">
        <f>Migrationsartikel!U223</f>
        <v>(PCE) Stück</v>
      </c>
      <c r="AE224" s="55" t="s">
        <v>179</v>
      </c>
      <c r="AF224" s="67">
        <f>Migrationsartikel!AA223</f>
        <v>0</v>
      </c>
      <c r="AG224" s="55" t="s">
        <v>192</v>
      </c>
      <c r="AH224" s="54" t="str">
        <f>IF(Migrationsartikel!AB223="ja","true",FALSE)</f>
        <v>true</v>
      </c>
      <c r="AI224" s="54" t="str">
        <f>IF(Migrationsartikel!AC223="ja","true",FALSE)</f>
        <v>true</v>
      </c>
      <c r="AJ224" s="54" t="str">
        <f>IF(Migrationsartikel!AD223="ja","true",FALSE)</f>
        <v>true</v>
      </c>
      <c r="AK224" s="54" t="str">
        <f>IF(Migrationsartikel!AE223="ja","true",FALSE)</f>
        <v>true</v>
      </c>
      <c r="AL224" s="54" t="str">
        <f>IF(Migrationsartikel!AF223="ja","Denner Partner","")</f>
        <v/>
      </c>
      <c r="AM224" s="54" t="str">
        <f>IF(Migrationsartikel!AG223="ja","true","false")</f>
        <v>false</v>
      </c>
      <c r="AN224" s="54" t="str">
        <f t="shared" si="4"/>
        <v>GTIN</v>
      </c>
      <c r="AO224" s="66" t="s">
        <v>219</v>
      </c>
      <c r="AP224" s="65" t="s">
        <v>1657</v>
      </c>
      <c r="AQ224" s="66" t="s">
        <v>217</v>
      </c>
      <c r="AR224" s="30" t="s">
        <v>219</v>
      </c>
    </row>
    <row r="225" spans="2:44" ht="21.75" customHeight="1" x14ac:dyDescent="0.45">
      <c r="B225" s="54" t="s">
        <v>99</v>
      </c>
      <c r="E225" s="55" t="s">
        <v>87</v>
      </c>
      <c r="F225" s="54" t="str">
        <f>"Warengruppe&gt;&gt;"&amp;_xlfn.TEXTJOIN("&gt;&gt;",TRUE,Migrationsartikel!V224:X224)</f>
        <v>Warengruppe&gt;&gt;Früchte und Gemüse&gt;&gt;Früchte und Gemüse&gt;&gt;Früchte</v>
      </c>
      <c r="H225" s="55" t="s">
        <v>109</v>
      </c>
      <c r="J225" s="79">
        <f>Migrationsartikel!B224</f>
        <v>147</v>
      </c>
      <c r="L225" s="54" t="str">
        <f>_xlfn.TEXTJOIN(" ",TRUE,Migrationsartikel!F224:H224)</f>
        <v>Birnen Offen</v>
      </c>
      <c r="M225" s="54" t="str">
        <f>_xlfn.TEXTJOIN(" ",TRUE,Migrationsartikel!J224:L224)</f>
        <v>Poires En vrac</v>
      </c>
      <c r="N225" s="54" t="str">
        <f>_xlfn.TEXTJOIN(" ",TRUE,Migrationsartikel!N224:P224)</f>
        <v>Pere vendita sfusa</v>
      </c>
      <c r="O225" s="54" t="str">
        <f>Migrationsartikel!F224</f>
        <v>Birnen Offen</v>
      </c>
      <c r="P225" s="54" t="str">
        <f>Migrationsartikel!J224</f>
        <v>Poires</v>
      </c>
      <c r="Q225" s="54" t="str">
        <f>Migrationsartikel!N224</f>
        <v>Pere</v>
      </c>
      <c r="R225" s="54" t="str">
        <f>_xlfn.TEXTJOIN(" ",TRUE,Migrationsartikel!G224)</f>
        <v/>
      </c>
      <c r="S225" s="54" t="str">
        <f>_xlfn.TEXTJOIN(" ",TRUE,Migrationsartikel!K224)</f>
        <v>En vrac</v>
      </c>
      <c r="T225" s="54" t="str">
        <f>_xlfn.TEXTJOIN(" ",TRUE,Migrationsartikel!O224)</f>
        <v>vendita sfusa</v>
      </c>
      <c r="U225" s="54" t="str">
        <f>_xlfn.TEXTJOIN(" ",TRUE,Migrationsartikel!H224)</f>
        <v/>
      </c>
      <c r="V225" s="54" t="str">
        <f>_xlfn.TEXTJOIN(" ",TRUE,Migrationsartikel!L224)</f>
        <v/>
      </c>
      <c r="W225" s="54" t="str">
        <f>_xlfn.TEXTJOIN(" ",TRUE,Migrationsartikel!P224)</f>
        <v/>
      </c>
      <c r="X225" s="54" t="str">
        <f>Migrationsartikel!I224</f>
        <v>Birnen Offen</v>
      </c>
      <c r="Y225" s="54" t="str">
        <f>Migrationsartikel!M224</f>
        <v>Poires en vrac</v>
      </c>
      <c r="Z225" s="54" t="str">
        <f>Migrationsartikel!Q224</f>
        <v>Pere vendita sfusa</v>
      </c>
      <c r="AA225" s="63">
        <f>Migrationsartikel!R224</f>
        <v>1</v>
      </c>
      <c r="AB225" s="54" t="str">
        <f>Migrationsartikel!T224</f>
        <v>Kilogramm</v>
      </c>
      <c r="AC225" s="65">
        <f>Migrationsartikel!S224</f>
        <v>1</v>
      </c>
      <c r="AD225" s="54" t="str">
        <f>Migrationsartikel!U224</f>
        <v>(KGM) KG</v>
      </c>
      <c r="AE225" s="55" t="s">
        <v>179</v>
      </c>
      <c r="AF225" s="67">
        <f>Migrationsartikel!AA224</f>
        <v>0</v>
      </c>
      <c r="AG225" s="55" t="s">
        <v>192</v>
      </c>
      <c r="AH225" s="54" t="str">
        <f>IF(Migrationsartikel!AB224="ja","true",FALSE)</f>
        <v>true</v>
      </c>
      <c r="AI225" s="54" t="str">
        <f>IF(Migrationsartikel!AC224="ja","true",FALSE)</f>
        <v>true</v>
      </c>
      <c r="AJ225" s="54" t="str">
        <f>IF(Migrationsartikel!AD224="ja","true",FALSE)</f>
        <v>true</v>
      </c>
      <c r="AK225" s="54" t="str">
        <f>IF(Migrationsartikel!AE224="ja","true",FALSE)</f>
        <v>true</v>
      </c>
      <c r="AL225" s="54" t="str">
        <f>IF(Migrationsartikel!AF224="ja","Denner Partner","")</f>
        <v/>
      </c>
      <c r="AM225" s="54" t="str">
        <f>IF(Migrationsartikel!AG224="ja","true","false")</f>
        <v>false</v>
      </c>
      <c r="AN225" s="54" t="str">
        <f t="shared" si="4"/>
        <v>PLU</v>
      </c>
      <c r="AO225" s="66" t="s">
        <v>219</v>
      </c>
      <c r="AP225" s="65" t="s">
        <v>1658</v>
      </c>
      <c r="AQ225" s="66" t="s">
        <v>217</v>
      </c>
      <c r="AR225" s="30" t="s">
        <v>219</v>
      </c>
    </row>
    <row r="226" spans="2:44" ht="21.75" customHeight="1" x14ac:dyDescent="0.45">
      <c r="B226" s="54" t="s">
        <v>99</v>
      </c>
      <c r="E226" s="55" t="s">
        <v>87</v>
      </c>
      <c r="F226" s="54" t="str">
        <f>"Warengruppe&gt;&gt;"&amp;_xlfn.TEXTJOIN("&gt;&gt;",TRUE,Migrationsartikel!V225:X225)</f>
        <v>Warengruppe&gt;&gt;Früchte und Gemüse&gt;&gt;Früchte und Gemüse&gt;&gt;Früchte</v>
      </c>
      <c r="H226" s="55" t="s">
        <v>109</v>
      </c>
      <c r="J226" s="79">
        <f>Migrationsartikel!B225</f>
        <v>144</v>
      </c>
      <c r="L226" s="54" t="str">
        <f>_xlfn.TEXTJOIN(" ",TRUE,Migrationsartikel!F225:H225)</f>
        <v>Birnen Packhams Offen Kl. 1</v>
      </c>
      <c r="M226" s="54" t="str">
        <f>_xlfn.TEXTJOIN(" ",TRUE,Migrationsartikel!J225:L225)</f>
        <v>Poires Packhams En vrac, cl. 1</v>
      </c>
      <c r="N226" s="54" t="str">
        <f>_xlfn.TEXTJOIN(" ",TRUE,Migrationsartikel!N225:P225)</f>
        <v>Pere Packhams Cl. 1 vendita sfusa</v>
      </c>
      <c r="O226" s="54" t="str">
        <f>Migrationsartikel!F225</f>
        <v>Birnen Packhams</v>
      </c>
      <c r="P226" s="54" t="str">
        <f>Migrationsartikel!J225</f>
        <v>Poires Packhams</v>
      </c>
      <c r="Q226" s="54" t="str">
        <f>Migrationsartikel!N225</f>
        <v>Pere Packhams</v>
      </c>
      <c r="R226" s="54" t="str">
        <f>_xlfn.TEXTJOIN(" ",TRUE,Migrationsartikel!G225)</f>
        <v>Offen Kl. 1</v>
      </c>
      <c r="S226" s="54" t="str">
        <f>_xlfn.TEXTJOIN(" ",TRUE,Migrationsartikel!K225)</f>
        <v>En vrac, cl. 1</v>
      </c>
      <c r="T226" s="54" t="str">
        <f>_xlfn.TEXTJOIN(" ",TRUE,Migrationsartikel!O225)</f>
        <v>Cl. 1 vendita sfusa</v>
      </c>
      <c r="U226" s="54" t="str">
        <f>_xlfn.TEXTJOIN(" ",TRUE,Migrationsartikel!H225)</f>
        <v/>
      </c>
      <c r="V226" s="54" t="str">
        <f>_xlfn.TEXTJOIN(" ",TRUE,Migrationsartikel!L225)</f>
        <v/>
      </c>
      <c r="W226" s="54" t="str">
        <f>_xlfn.TEXTJOIN(" ",TRUE,Migrationsartikel!P225)</f>
        <v/>
      </c>
      <c r="X226" s="54" t="str">
        <f>Migrationsartikel!I225</f>
        <v>Birnen Packhams Offen Kl. 1</v>
      </c>
      <c r="Y226" s="54" t="str">
        <f>Migrationsartikel!M225</f>
        <v>Poires Packhams cl.1 en vrac</v>
      </c>
      <c r="Z226" s="54" t="str">
        <f>Migrationsartikel!Q225</f>
        <v>Pere Packhams cl. 1 v.sfusa</v>
      </c>
      <c r="AA226" s="63">
        <f>Migrationsartikel!R225</f>
        <v>1</v>
      </c>
      <c r="AB226" s="54" t="str">
        <f>Migrationsartikel!T225</f>
        <v>Kilogramm</v>
      </c>
      <c r="AC226" s="65">
        <f>Migrationsartikel!S225</f>
        <v>1</v>
      </c>
      <c r="AD226" s="54" t="str">
        <f>Migrationsartikel!U225</f>
        <v>(KGM) KG</v>
      </c>
      <c r="AE226" s="55" t="s">
        <v>179</v>
      </c>
      <c r="AF226" s="67">
        <f>Migrationsartikel!AA225</f>
        <v>0</v>
      </c>
      <c r="AG226" s="55" t="s">
        <v>192</v>
      </c>
      <c r="AH226" s="54" t="str">
        <f>IF(Migrationsartikel!AB225="ja","true",FALSE)</f>
        <v>true</v>
      </c>
      <c r="AI226" s="54" t="str">
        <f>IF(Migrationsartikel!AC225="ja","true",FALSE)</f>
        <v>true</v>
      </c>
      <c r="AJ226" s="54" t="str">
        <f>IF(Migrationsartikel!AD225="ja","true",FALSE)</f>
        <v>true</v>
      </c>
      <c r="AK226" s="54" t="str">
        <f>IF(Migrationsartikel!AE225="ja","true",FALSE)</f>
        <v>true</v>
      </c>
      <c r="AL226" s="54" t="str">
        <f>IF(Migrationsartikel!AF225="ja","Denner Partner","")</f>
        <v/>
      </c>
      <c r="AM226" s="54" t="str">
        <f>IF(Migrationsartikel!AG225="ja","true","false")</f>
        <v>false</v>
      </c>
      <c r="AN226" s="54" t="str">
        <f t="shared" si="4"/>
        <v>PLU</v>
      </c>
      <c r="AO226" s="66" t="s">
        <v>219</v>
      </c>
      <c r="AP226" s="65" t="s">
        <v>1659</v>
      </c>
      <c r="AQ226" s="66" t="s">
        <v>217</v>
      </c>
      <c r="AR226" s="30" t="s">
        <v>219</v>
      </c>
    </row>
    <row r="227" spans="2:44" ht="21.75" customHeight="1" x14ac:dyDescent="0.45">
      <c r="B227" s="54" t="s">
        <v>99</v>
      </c>
      <c r="E227" s="55" t="s">
        <v>87</v>
      </c>
      <c r="F227" s="54" t="str">
        <f>"Warengruppe&gt;&gt;"&amp;_xlfn.TEXTJOIN("&gt;&gt;",TRUE,Migrationsartikel!V226:X226)</f>
        <v>Warengruppe&gt;&gt;Früchte und Gemüse&gt;&gt;Früchte und Gemüse&gt;&gt;Früchte</v>
      </c>
      <c r="H227" s="55" t="s">
        <v>109</v>
      </c>
      <c r="J227" s="79">
        <f>Migrationsartikel!B226</f>
        <v>2216921000007</v>
      </c>
      <c r="L227" s="54" t="str">
        <f>_xlfn.TEXTJOIN(" ",TRUE,Migrationsartikel!F226:H226)</f>
        <v>Birnen Packhams Kl. 1 gepackt</v>
      </c>
      <c r="M227" s="54" t="str">
        <f>_xlfn.TEXTJOIN(" ",TRUE,Migrationsartikel!J226:L226)</f>
        <v>Poires Packhams Cl. 1 emballé</v>
      </c>
      <c r="N227" s="54" t="str">
        <f>_xlfn.TEXTJOIN(" ",TRUE,Migrationsartikel!N226:P226)</f>
        <v>Pere Packhams Cl. 1 confezionato</v>
      </c>
      <c r="O227" s="54" t="str">
        <f>Migrationsartikel!F226</f>
        <v>Birnen Packhams</v>
      </c>
      <c r="P227" s="54" t="str">
        <f>Migrationsartikel!J226</f>
        <v>Poires Packhams</v>
      </c>
      <c r="Q227" s="54" t="str">
        <f>Migrationsartikel!N226</f>
        <v>Pere Packhams</v>
      </c>
      <c r="R227" s="54" t="str">
        <f>_xlfn.TEXTJOIN(" ",TRUE,Migrationsartikel!G226)</f>
        <v>Kl. 1 gepackt</v>
      </c>
      <c r="S227" s="54" t="str">
        <f>_xlfn.TEXTJOIN(" ",TRUE,Migrationsartikel!K226)</f>
        <v>Cl. 1 emballé</v>
      </c>
      <c r="T227" s="54" t="str">
        <f>_xlfn.TEXTJOIN(" ",TRUE,Migrationsartikel!O226)</f>
        <v>Cl. 1 confezionato</v>
      </c>
      <c r="U227" s="54" t="str">
        <f>_xlfn.TEXTJOIN(" ",TRUE,Migrationsartikel!H226)</f>
        <v/>
      </c>
      <c r="V227" s="54" t="str">
        <f>_xlfn.TEXTJOIN(" ",TRUE,Migrationsartikel!L226)</f>
        <v/>
      </c>
      <c r="W227" s="54" t="str">
        <f>_xlfn.TEXTJOIN(" ",TRUE,Migrationsartikel!P226)</f>
        <v/>
      </c>
      <c r="X227" s="54" t="str">
        <f>Migrationsartikel!I226</f>
        <v>Birnen Packhams Kl.1 gepackt</v>
      </c>
      <c r="Y227" s="54" t="str">
        <f>Migrationsartikel!M226</f>
        <v>Poires Packhams cl. 1 emb.</v>
      </c>
      <c r="Z227" s="54" t="str">
        <f>Migrationsartikel!Q226</f>
        <v>Pere Packhams cl. 1 convez.</v>
      </c>
      <c r="AA227" s="63">
        <f>Migrationsartikel!R226</f>
        <v>1</v>
      </c>
      <c r="AB227" s="54" t="str">
        <f>Migrationsartikel!T226</f>
        <v>Kilogramm</v>
      </c>
      <c r="AC227" s="65">
        <f>Migrationsartikel!S226</f>
        <v>1</v>
      </c>
      <c r="AD227" s="54" t="str">
        <f>Migrationsartikel!U226</f>
        <v>(PCE) Stück</v>
      </c>
      <c r="AE227" s="55" t="s">
        <v>179</v>
      </c>
      <c r="AF227" s="67">
        <f>Migrationsartikel!AA226</f>
        <v>0</v>
      </c>
      <c r="AG227" s="55" t="s">
        <v>192</v>
      </c>
      <c r="AH227" s="54" t="str">
        <f>IF(Migrationsartikel!AB226="ja","true",FALSE)</f>
        <v>true</v>
      </c>
      <c r="AI227" s="54" t="str">
        <f>IF(Migrationsartikel!AC226="ja","true",FALSE)</f>
        <v>true</v>
      </c>
      <c r="AJ227" s="54" t="str">
        <f>IF(Migrationsartikel!AD226="ja","true",FALSE)</f>
        <v>true</v>
      </c>
      <c r="AK227" s="54" t="str">
        <f>IF(Migrationsartikel!AE226="ja","true",FALSE)</f>
        <v>true</v>
      </c>
      <c r="AL227" s="54" t="str">
        <f>IF(Migrationsartikel!AF226="ja","Denner Partner","")</f>
        <v/>
      </c>
      <c r="AM227" s="54" t="str">
        <f>IF(Migrationsartikel!AG226="ja","true","false")</f>
        <v>false</v>
      </c>
      <c r="AN227" s="54" t="str">
        <f t="shared" si="4"/>
        <v>GTIN</v>
      </c>
      <c r="AO227" s="66" t="s">
        <v>219</v>
      </c>
      <c r="AP227" s="65" t="s">
        <v>1660</v>
      </c>
      <c r="AQ227" s="66" t="s">
        <v>217</v>
      </c>
      <c r="AR227" s="30" t="s">
        <v>219</v>
      </c>
    </row>
    <row r="228" spans="2:44" ht="21.75" customHeight="1" x14ac:dyDescent="0.45">
      <c r="B228" s="54" t="s">
        <v>99</v>
      </c>
      <c r="E228" s="55" t="s">
        <v>87</v>
      </c>
      <c r="F228" s="54" t="str">
        <f>"Warengruppe&gt;&gt;"&amp;_xlfn.TEXTJOIN("&gt;&gt;",TRUE,Migrationsartikel!V227:X227)</f>
        <v>Warengruppe&gt;&gt;Früchte und Gemüse&gt;&gt;Früchte und Gemüse&gt;&gt;Früchte</v>
      </c>
      <c r="H228" s="55" t="s">
        <v>109</v>
      </c>
      <c r="J228" s="79">
        <f>Migrationsartikel!B227</f>
        <v>145</v>
      </c>
      <c r="L228" s="54" t="str">
        <f>_xlfn.TEXTJOIN(" ",TRUE,Migrationsartikel!F227:H227)</f>
        <v>Birnen Rocha Offen Kl. 1</v>
      </c>
      <c r="M228" s="54" t="str">
        <f>_xlfn.TEXTJOIN(" ",TRUE,Migrationsartikel!J227:L227)</f>
        <v>Poires Rocha En vrac, cl. 1</v>
      </c>
      <c r="N228" s="54" t="str">
        <f>_xlfn.TEXTJOIN(" ",TRUE,Migrationsartikel!N227:P227)</f>
        <v>Pere Rocha Cl. 1 vendita sfusa</v>
      </c>
      <c r="O228" s="54" t="str">
        <f>Migrationsartikel!F227</f>
        <v>Birnen Rocha</v>
      </c>
      <c r="P228" s="54" t="str">
        <f>Migrationsartikel!J227</f>
        <v>Poires Rocha</v>
      </c>
      <c r="Q228" s="54" t="str">
        <f>Migrationsartikel!N227</f>
        <v>Pere Rocha</v>
      </c>
      <c r="R228" s="54" t="str">
        <f>_xlfn.TEXTJOIN(" ",TRUE,Migrationsartikel!G227)</f>
        <v>Offen Kl. 1</v>
      </c>
      <c r="S228" s="54" t="str">
        <f>_xlfn.TEXTJOIN(" ",TRUE,Migrationsartikel!K227)</f>
        <v>En vrac, cl. 1</v>
      </c>
      <c r="T228" s="54" t="str">
        <f>_xlfn.TEXTJOIN(" ",TRUE,Migrationsartikel!O227)</f>
        <v>Cl. 1 vendita sfusa</v>
      </c>
      <c r="U228" s="54" t="str">
        <f>_xlfn.TEXTJOIN(" ",TRUE,Migrationsartikel!H227)</f>
        <v/>
      </c>
      <c r="V228" s="54" t="str">
        <f>_xlfn.TEXTJOIN(" ",TRUE,Migrationsartikel!L227)</f>
        <v/>
      </c>
      <c r="W228" s="54" t="str">
        <f>_xlfn.TEXTJOIN(" ",TRUE,Migrationsartikel!P227)</f>
        <v/>
      </c>
      <c r="X228" s="54" t="str">
        <f>Migrationsartikel!I227</f>
        <v>Birnen Rocha Offen Kl. 1</v>
      </c>
      <c r="Y228" s="54" t="str">
        <f>Migrationsartikel!M227</f>
        <v>Poires Rocha cl.1 en vrac</v>
      </c>
      <c r="Z228" s="54" t="str">
        <f>Migrationsartikel!Q227</f>
        <v>Pere Rocha cl. 1 v. sfusa</v>
      </c>
      <c r="AA228" s="63">
        <f>Migrationsartikel!R227</f>
        <v>1</v>
      </c>
      <c r="AB228" s="54" t="str">
        <f>Migrationsartikel!T227</f>
        <v>Kilogramm</v>
      </c>
      <c r="AC228" s="65">
        <f>Migrationsartikel!S227</f>
        <v>1</v>
      </c>
      <c r="AD228" s="54" t="str">
        <f>Migrationsartikel!U227</f>
        <v>(KGM) KG</v>
      </c>
      <c r="AE228" s="55" t="s">
        <v>179</v>
      </c>
      <c r="AF228" s="67">
        <f>Migrationsartikel!AA227</f>
        <v>0</v>
      </c>
      <c r="AG228" s="55" t="s">
        <v>192</v>
      </c>
      <c r="AH228" s="54" t="str">
        <f>IF(Migrationsartikel!AB227="ja","true",FALSE)</f>
        <v>true</v>
      </c>
      <c r="AI228" s="54" t="str">
        <f>IF(Migrationsartikel!AC227="ja","true",FALSE)</f>
        <v>true</v>
      </c>
      <c r="AJ228" s="54" t="str">
        <f>IF(Migrationsartikel!AD227="ja","true",FALSE)</f>
        <v>true</v>
      </c>
      <c r="AK228" s="54" t="str">
        <f>IF(Migrationsartikel!AE227="ja","true",FALSE)</f>
        <v>true</v>
      </c>
      <c r="AL228" s="54" t="str">
        <f>IF(Migrationsartikel!AF227="ja","Denner Partner","")</f>
        <v/>
      </c>
      <c r="AM228" s="54" t="str">
        <f>IF(Migrationsartikel!AG227="ja","true","false")</f>
        <v>false</v>
      </c>
      <c r="AN228" s="54" t="str">
        <f t="shared" si="4"/>
        <v>PLU</v>
      </c>
      <c r="AO228" s="66" t="s">
        <v>219</v>
      </c>
      <c r="AP228" s="65" t="s">
        <v>1661</v>
      </c>
      <c r="AQ228" s="66" t="s">
        <v>217</v>
      </c>
      <c r="AR228" s="30" t="s">
        <v>219</v>
      </c>
    </row>
    <row r="229" spans="2:44" ht="21.75" customHeight="1" x14ac:dyDescent="0.45">
      <c r="B229" s="54" t="s">
        <v>99</v>
      </c>
      <c r="E229" s="55" t="s">
        <v>87</v>
      </c>
      <c r="F229" s="54" t="str">
        <f>"Warengruppe&gt;&gt;"&amp;_xlfn.TEXTJOIN("&gt;&gt;",TRUE,Migrationsartikel!V228:X228)</f>
        <v>Warengruppe&gt;&gt;Früchte und Gemüse&gt;&gt;Früchte und Gemüse&gt;&gt;Früchte</v>
      </c>
      <c r="H229" s="55" t="s">
        <v>109</v>
      </c>
      <c r="J229" s="79">
        <f>Migrationsartikel!B228</f>
        <v>2287571000006</v>
      </c>
      <c r="L229" s="54" t="str">
        <f>_xlfn.TEXTJOIN(" ",TRUE,Migrationsartikel!F228:H228)</f>
        <v>Birnen Rosmarie Kl. 1 gepackt</v>
      </c>
      <c r="M229" s="54" t="str">
        <f>_xlfn.TEXTJOIN(" ",TRUE,Migrationsartikel!J228:L228)</f>
        <v>Poires Rosemarie Cl. 1 emballé</v>
      </c>
      <c r="N229" s="54" t="str">
        <f>_xlfn.TEXTJOIN(" ",TRUE,Migrationsartikel!N228:P228)</f>
        <v>Pere Rosmarie Cl. 1 confezionato</v>
      </c>
      <c r="O229" s="54" t="str">
        <f>Migrationsartikel!F228</f>
        <v>Birnen Rosmarie</v>
      </c>
      <c r="P229" s="54" t="str">
        <f>Migrationsartikel!J228</f>
        <v>Poires Rosemarie</v>
      </c>
      <c r="Q229" s="54" t="str">
        <f>Migrationsartikel!N228</f>
        <v>Pere Rosmarie</v>
      </c>
      <c r="R229" s="54" t="str">
        <f>_xlfn.TEXTJOIN(" ",TRUE,Migrationsartikel!G228)</f>
        <v>Kl. 1 gepackt</v>
      </c>
      <c r="S229" s="54" t="str">
        <f>_xlfn.TEXTJOIN(" ",TRUE,Migrationsartikel!K228)</f>
        <v>Cl. 1 emballé</v>
      </c>
      <c r="T229" s="54" t="str">
        <f>_xlfn.TEXTJOIN(" ",TRUE,Migrationsartikel!O228)</f>
        <v>Cl. 1 confezionato</v>
      </c>
      <c r="U229" s="54" t="str">
        <f>_xlfn.TEXTJOIN(" ",TRUE,Migrationsartikel!H228)</f>
        <v/>
      </c>
      <c r="V229" s="54" t="str">
        <f>_xlfn.TEXTJOIN(" ",TRUE,Migrationsartikel!L228)</f>
        <v/>
      </c>
      <c r="W229" s="54" t="str">
        <f>_xlfn.TEXTJOIN(" ",TRUE,Migrationsartikel!P228)</f>
        <v/>
      </c>
      <c r="X229" s="54" t="str">
        <f>Migrationsartikel!I228</f>
        <v>Birnen Rosmarei Kl.1 gepackt</v>
      </c>
      <c r="Y229" s="54" t="str">
        <f>Migrationsartikel!M228</f>
        <v>Poires Rosemarie cl. 1 emb.</v>
      </c>
      <c r="Z229" s="54" t="str">
        <f>Migrationsartikel!Q228</f>
        <v>Pere Rosmarie cl. 1 confez.</v>
      </c>
      <c r="AA229" s="63">
        <f>Migrationsartikel!R228</f>
        <v>1</v>
      </c>
      <c r="AB229" s="54" t="str">
        <f>Migrationsartikel!T228</f>
        <v>Kilogramm</v>
      </c>
      <c r="AC229" s="65">
        <f>Migrationsartikel!S228</f>
        <v>1</v>
      </c>
      <c r="AD229" s="54" t="str">
        <f>Migrationsartikel!U228</f>
        <v>(PCE) Stück</v>
      </c>
      <c r="AE229" s="55" t="s">
        <v>179</v>
      </c>
      <c r="AF229" s="67">
        <f>Migrationsartikel!AA228</f>
        <v>0</v>
      </c>
      <c r="AG229" s="55" t="s">
        <v>192</v>
      </c>
      <c r="AH229" s="54" t="str">
        <f>IF(Migrationsartikel!AB228="ja","true",FALSE)</f>
        <v>true</v>
      </c>
      <c r="AI229" s="54" t="str">
        <f>IF(Migrationsartikel!AC228="ja","true",FALSE)</f>
        <v>true</v>
      </c>
      <c r="AJ229" s="54" t="str">
        <f>IF(Migrationsartikel!AD228="ja","true",FALSE)</f>
        <v>true</v>
      </c>
      <c r="AK229" s="54" t="str">
        <f>IF(Migrationsartikel!AE228="ja","true",FALSE)</f>
        <v>true</v>
      </c>
      <c r="AL229" s="54" t="str">
        <f>IF(Migrationsartikel!AF228="ja","Denner Partner","")</f>
        <v/>
      </c>
      <c r="AM229" s="54" t="str">
        <f>IF(Migrationsartikel!AG228="ja","true","false")</f>
        <v>false</v>
      </c>
      <c r="AN229" s="54" t="str">
        <f t="shared" si="4"/>
        <v>GTIN</v>
      </c>
      <c r="AO229" s="66" t="s">
        <v>219</v>
      </c>
      <c r="AP229" s="65" t="s">
        <v>1662</v>
      </c>
      <c r="AQ229" s="66" t="s">
        <v>217</v>
      </c>
      <c r="AR229" s="30" t="s">
        <v>219</v>
      </c>
    </row>
    <row r="230" spans="2:44" ht="21.75" customHeight="1" x14ac:dyDescent="0.45">
      <c r="B230" s="54" t="s">
        <v>99</v>
      </c>
      <c r="E230" s="55" t="s">
        <v>87</v>
      </c>
      <c r="F230" s="54" t="str">
        <f>"Warengruppe&gt;&gt;"&amp;_xlfn.TEXTJOIN("&gt;&gt;",TRUE,Migrationsartikel!V229:X229)</f>
        <v>Warengruppe&gt;&gt;Früchte und Gemüse&gt;&gt;Früchte und Gemüse&gt;&gt;Früchte</v>
      </c>
      <c r="H230" s="55" t="s">
        <v>109</v>
      </c>
      <c r="J230" s="79">
        <f>Migrationsartikel!B229</f>
        <v>2215881000000</v>
      </c>
      <c r="L230" s="54" t="str">
        <f>_xlfn.TEXTJOIN(" ",TRUE,Migrationsartikel!F229:H229)</f>
        <v>Birnen Trévoux Kl. 1 gepackt</v>
      </c>
      <c r="M230" s="54" t="str">
        <f>_xlfn.TEXTJOIN(" ",TRUE,Migrationsartikel!J229:L229)</f>
        <v>Poires Trévoux Cl. 1 emballé</v>
      </c>
      <c r="N230" s="54" t="str">
        <f>_xlfn.TEXTJOIN(" ",TRUE,Migrationsartikel!N229:P229)</f>
        <v>Pere Trévoux Cl. 1 confezionato</v>
      </c>
      <c r="O230" s="54" t="str">
        <f>Migrationsartikel!F229</f>
        <v>Birnen Trévoux</v>
      </c>
      <c r="P230" s="54" t="str">
        <f>Migrationsartikel!J229</f>
        <v>Poires Trévoux</v>
      </c>
      <c r="Q230" s="54" t="str">
        <f>Migrationsartikel!N229</f>
        <v>Pere Trévoux</v>
      </c>
      <c r="R230" s="54" t="str">
        <f>_xlfn.TEXTJOIN(" ",TRUE,Migrationsartikel!G229)</f>
        <v>Kl. 1 gepackt</v>
      </c>
      <c r="S230" s="54" t="str">
        <f>_xlfn.TEXTJOIN(" ",TRUE,Migrationsartikel!K229)</f>
        <v>Cl. 1 emballé</v>
      </c>
      <c r="T230" s="54" t="str">
        <f>_xlfn.TEXTJOIN(" ",TRUE,Migrationsartikel!O229)</f>
        <v>Cl. 1 confezionato</v>
      </c>
      <c r="U230" s="54" t="str">
        <f>_xlfn.TEXTJOIN(" ",TRUE,Migrationsartikel!H229)</f>
        <v/>
      </c>
      <c r="V230" s="54" t="str">
        <f>_xlfn.TEXTJOIN(" ",TRUE,Migrationsartikel!L229)</f>
        <v/>
      </c>
      <c r="W230" s="54" t="str">
        <f>_xlfn.TEXTJOIN(" ",TRUE,Migrationsartikel!P229)</f>
        <v/>
      </c>
      <c r="X230" s="54" t="str">
        <f>Migrationsartikel!I229</f>
        <v>Birnen Trévoux Kl. 1 gepackt</v>
      </c>
      <c r="Y230" s="54" t="str">
        <f>Migrationsartikel!M229</f>
        <v>Poires Trévoux cl. 1 emballé</v>
      </c>
      <c r="Z230" s="54" t="str">
        <f>Migrationsartikel!Q229</f>
        <v>Pere Trévoux cl. 1 confez.</v>
      </c>
      <c r="AA230" s="63">
        <f>Migrationsartikel!R229</f>
        <v>1</v>
      </c>
      <c r="AB230" s="54" t="str">
        <f>Migrationsartikel!T229</f>
        <v>Kilogramm</v>
      </c>
      <c r="AC230" s="65">
        <f>Migrationsartikel!S229</f>
        <v>1</v>
      </c>
      <c r="AD230" s="54" t="str">
        <f>Migrationsartikel!U229</f>
        <v>(PCE) Stück</v>
      </c>
      <c r="AE230" s="55" t="s">
        <v>179</v>
      </c>
      <c r="AF230" s="67">
        <f>Migrationsartikel!AA229</f>
        <v>0</v>
      </c>
      <c r="AG230" s="55" t="s">
        <v>192</v>
      </c>
      <c r="AH230" s="54" t="str">
        <f>IF(Migrationsartikel!AB229="ja","true",FALSE)</f>
        <v>true</v>
      </c>
      <c r="AI230" s="54" t="str">
        <f>IF(Migrationsartikel!AC229="ja","true",FALSE)</f>
        <v>true</v>
      </c>
      <c r="AJ230" s="54" t="str">
        <f>IF(Migrationsartikel!AD229="ja","true",FALSE)</f>
        <v>true</v>
      </c>
      <c r="AK230" s="54" t="str">
        <f>IF(Migrationsartikel!AE229="ja","true",FALSE)</f>
        <v>true</v>
      </c>
      <c r="AL230" s="54" t="str">
        <f>IF(Migrationsartikel!AF229="ja","Denner Partner","")</f>
        <v/>
      </c>
      <c r="AM230" s="54" t="str">
        <f>IF(Migrationsartikel!AG229="ja","true","false")</f>
        <v>false</v>
      </c>
      <c r="AN230" s="54" t="str">
        <f t="shared" si="4"/>
        <v>GTIN</v>
      </c>
      <c r="AO230" s="66" t="s">
        <v>219</v>
      </c>
      <c r="AP230" s="65" t="s">
        <v>1663</v>
      </c>
      <c r="AQ230" s="66" t="s">
        <v>217</v>
      </c>
      <c r="AR230" s="30" t="s">
        <v>219</v>
      </c>
    </row>
    <row r="231" spans="2:44" ht="21.75" customHeight="1" x14ac:dyDescent="0.45">
      <c r="B231" s="54" t="s">
        <v>99</v>
      </c>
      <c r="E231" s="55" t="s">
        <v>87</v>
      </c>
      <c r="F231" s="54" t="str">
        <f>"Warengruppe&gt;&gt;"&amp;_xlfn.TEXTJOIN("&gt;&gt;",TRUE,Migrationsartikel!V230:X230)</f>
        <v>Warengruppe&gt;&gt;Früchte und Gemüse&gt;&gt;Früchte und Gemüse&gt;&gt;Früchte</v>
      </c>
      <c r="H231" s="55" t="s">
        <v>109</v>
      </c>
      <c r="J231" s="79">
        <f>Migrationsartikel!B230</f>
        <v>146</v>
      </c>
      <c r="L231" s="54" t="str">
        <f>_xlfn.TEXTJOIN(" ",TRUE,Migrationsartikel!F230:H230)</f>
        <v>Birnen Williams Offen Kl. 1</v>
      </c>
      <c r="M231" s="54" t="str">
        <f>_xlfn.TEXTJOIN(" ",TRUE,Migrationsartikel!J230:L230)</f>
        <v>Poires Williams En vrac, cl. 1</v>
      </c>
      <c r="N231" s="54" t="str">
        <f>_xlfn.TEXTJOIN(" ",TRUE,Migrationsartikel!N230:P230)</f>
        <v>Pere Williams Cl. 1 vendita sfusa</v>
      </c>
      <c r="O231" s="54" t="str">
        <f>Migrationsartikel!F230</f>
        <v>Birnen Williams</v>
      </c>
      <c r="P231" s="54" t="str">
        <f>Migrationsartikel!J230</f>
        <v>Poires Williams</v>
      </c>
      <c r="Q231" s="54" t="str">
        <f>Migrationsartikel!N230</f>
        <v>Pere Williams</v>
      </c>
      <c r="R231" s="54" t="str">
        <f>_xlfn.TEXTJOIN(" ",TRUE,Migrationsartikel!G230)</f>
        <v>Offen Kl. 1</v>
      </c>
      <c r="S231" s="54" t="str">
        <f>_xlfn.TEXTJOIN(" ",TRUE,Migrationsartikel!K230)</f>
        <v>En vrac, cl. 1</v>
      </c>
      <c r="T231" s="54" t="str">
        <f>_xlfn.TEXTJOIN(" ",TRUE,Migrationsartikel!O230)</f>
        <v>Cl. 1 vendita sfusa</v>
      </c>
      <c r="U231" s="54" t="str">
        <f>_xlfn.TEXTJOIN(" ",TRUE,Migrationsartikel!H230)</f>
        <v/>
      </c>
      <c r="V231" s="54" t="str">
        <f>_xlfn.TEXTJOIN(" ",TRUE,Migrationsartikel!L230)</f>
        <v/>
      </c>
      <c r="W231" s="54" t="str">
        <f>_xlfn.TEXTJOIN(" ",TRUE,Migrationsartikel!P230)</f>
        <v/>
      </c>
      <c r="X231" s="54" t="str">
        <f>Migrationsartikel!I230</f>
        <v>Birnen Williams Offen Kl. 1</v>
      </c>
      <c r="Y231" s="54" t="str">
        <f>Migrationsartikel!M230</f>
        <v>Poires Williams cl.1 en vrac</v>
      </c>
      <c r="Z231" s="54" t="str">
        <f>Migrationsartikel!Q230</f>
        <v>Pere Williams cl. 1 v. sfusa</v>
      </c>
      <c r="AA231" s="63">
        <f>Migrationsartikel!R230</f>
        <v>1</v>
      </c>
      <c r="AB231" s="54" t="str">
        <f>Migrationsartikel!T230</f>
        <v>Kilogramm</v>
      </c>
      <c r="AC231" s="65">
        <f>Migrationsartikel!S230</f>
        <v>1</v>
      </c>
      <c r="AD231" s="54" t="str">
        <f>Migrationsartikel!U230</f>
        <v>(KGM) KG</v>
      </c>
      <c r="AE231" s="55" t="s">
        <v>179</v>
      </c>
      <c r="AF231" s="67">
        <f>Migrationsartikel!AA230</f>
        <v>0</v>
      </c>
      <c r="AG231" s="55" t="s">
        <v>192</v>
      </c>
      <c r="AH231" s="54" t="str">
        <f>IF(Migrationsartikel!AB230="ja","true",FALSE)</f>
        <v>true</v>
      </c>
      <c r="AI231" s="54" t="str">
        <f>IF(Migrationsartikel!AC230="ja","true",FALSE)</f>
        <v>true</v>
      </c>
      <c r="AJ231" s="54" t="str">
        <f>IF(Migrationsartikel!AD230="ja","true",FALSE)</f>
        <v>true</v>
      </c>
      <c r="AK231" s="54" t="str">
        <f>IF(Migrationsartikel!AE230="ja","true",FALSE)</f>
        <v>true</v>
      </c>
      <c r="AL231" s="54" t="str">
        <f>IF(Migrationsartikel!AF230="ja","Denner Partner","")</f>
        <v/>
      </c>
      <c r="AM231" s="54" t="str">
        <f>IF(Migrationsartikel!AG230="ja","true","false")</f>
        <v>false</v>
      </c>
      <c r="AN231" s="54" t="str">
        <f t="shared" si="4"/>
        <v>PLU</v>
      </c>
      <c r="AO231" s="66" t="s">
        <v>219</v>
      </c>
      <c r="AP231" s="65" t="s">
        <v>1664</v>
      </c>
      <c r="AQ231" s="66" t="s">
        <v>217</v>
      </c>
      <c r="AR231" s="30" t="s">
        <v>219</v>
      </c>
    </row>
    <row r="232" spans="2:44" ht="21.75" customHeight="1" x14ac:dyDescent="0.45">
      <c r="B232" s="54" t="s">
        <v>99</v>
      </c>
      <c r="E232" s="55" t="s">
        <v>87</v>
      </c>
      <c r="F232" s="54" t="str">
        <f>"Warengruppe&gt;&gt;"&amp;_xlfn.TEXTJOIN("&gt;&gt;",TRUE,Migrationsartikel!V231:X231)</f>
        <v>Warengruppe&gt;&gt;Früchte und Gemüse&gt;&gt;Früchte und Gemüse&gt;&gt;Früchte</v>
      </c>
      <c r="H232" s="55" t="s">
        <v>109</v>
      </c>
      <c r="J232" s="79">
        <f>Migrationsartikel!B231</f>
        <v>158</v>
      </c>
      <c r="L232" s="54" t="str">
        <f>_xlfn.TEXTJOIN(" ",TRUE,Migrationsartikel!F231:H231)</f>
        <v>Orangen Tarocco Offen</v>
      </c>
      <c r="M232" s="54" t="str">
        <f>_xlfn.TEXTJOIN(" ",TRUE,Migrationsartikel!J231:L231)</f>
        <v>Oranges Tarocco En vrac</v>
      </c>
      <c r="N232" s="54" t="str">
        <f>_xlfn.TEXTJOIN(" ",TRUE,Migrationsartikel!N231:P231)</f>
        <v>Arance Tarocco vendita sfusa</v>
      </c>
      <c r="O232" s="54" t="str">
        <f>Migrationsartikel!F231</f>
        <v>Orangen Tarocco</v>
      </c>
      <c r="P232" s="54" t="str">
        <f>Migrationsartikel!J231</f>
        <v>Oranges Tarocco</v>
      </c>
      <c r="Q232" s="54" t="str">
        <f>Migrationsartikel!N231</f>
        <v>Arance Tarocco</v>
      </c>
      <c r="R232" s="54" t="str">
        <f>_xlfn.TEXTJOIN(" ",TRUE,Migrationsartikel!G231)</f>
        <v>Offen</v>
      </c>
      <c r="S232" s="54" t="str">
        <f>_xlfn.TEXTJOIN(" ",TRUE,Migrationsartikel!K231)</f>
        <v>En vrac</v>
      </c>
      <c r="T232" s="54" t="str">
        <f>_xlfn.TEXTJOIN(" ",TRUE,Migrationsartikel!O231)</f>
        <v>vendita sfusa</v>
      </c>
      <c r="U232" s="54" t="str">
        <f>_xlfn.TEXTJOIN(" ",TRUE,Migrationsartikel!H231)</f>
        <v/>
      </c>
      <c r="V232" s="54" t="str">
        <f>_xlfn.TEXTJOIN(" ",TRUE,Migrationsartikel!L231)</f>
        <v/>
      </c>
      <c r="W232" s="54" t="str">
        <f>_xlfn.TEXTJOIN(" ",TRUE,Migrationsartikel!P231)</f>
        <v/>
      </c>
      <c r="X232" s="54" t="str">
        <f>Migrationsartikel!I231</f>
        <v>Orangen Tarocco Offen</v>
      </c>
      <c r="Y232" s="54" t="str">
        <f>Migrationsartikel!M231</f>
        <v>Oranges Tarocco en vrac</v>
      </c>
      <c r="Z232" s="54" t="str">
        <f>Migrationsartikel!Q231</f>
        <v>Arance Tarocco vendita sfusa</v>
      </c>
      <c r="AA232" s="63">
        <f>Migrationsartikel!R231</f>
        <v>1</v>
      </c>
      <c r="AB232" s="54" t="str">
        <f>Migrationsartikel!T231</f>
        <v>Kilogramm</v>
      </c>
      <c r="AC232" s="65">
        <f>Migrationsartikel!S231</f>
        <v>1</v>
      </c>
      <c r="AD232" s="54" t="str">
        <f>Migrationsartikel!U231</f>
        <v>(KGM) KG</v>
      </c>
      <c r="AE232" s="55" t="s">
        <v>179</v>
      </c>
      <c r="AF232" s="67">
        <f>Migrationsartikel!AA231</f>
        <v>0</v>
      </c>
      <c r="AG232" s="55" t="s">
        <v>192</v>
      </c>
      <c r="AH232" s="54" t="str">
        <f>IF(Migrationsartikel!AB231="ja","true",FALSE)</f>
        <v>true</v>
      </c>
      <c r="AI232" s="54" t="str">
        <f>IF(Migrationsartikel!AC231="ja","true",FALSE)</f>
        <v>true</v>
      </c>
      <c r="AJ232" s="54" t="str">
        <f>IF(Migrationsartikel!AD231="ja","true",FALSE)</f>
        <v>true</v>
      </c>
      <c r="AK232" s="54" t="str">
        <f>IF(Migrationsartikel!AE231="ja","true",FALSE)</f>
        <v>true</v>
      </c>
      <c r="AL232" s="54" t="str">
        <f>IF(Migrationsartikel!AF231="ja","Denner Partner","")</f>
        <v/>
      </c>
      <c r="AM232" s="54" t="str">
        <f>IF(Migrationsartikel!AG231="ja","true","false")</f>
        <v>false</v>
      </c>
      <c r="AN232" s="54" t="str">
        <f t="shared" si="4"/>
        <v>PLU</v>
      </c>
      <c r="AO232" s="66" t="s">
        <v>219</v>
      </c>
      <c r="AP232" s="65" t="s">
        <v>1665</v>
      </c>
      <c r="AQ232" s="66" t="s">
        <v>217</v>
      </c>
      <c r="AR232" s="30" t="s">
        <v>219</v>
      </c>
    </row>
    <row r="233" spans="2:44" ht="21.75" customHeight="1" x14ac:dyDescent="0.45">
      <c r="B233" s="54" t="s">
        <v>99</v>
      </c>
      <c r="E233" s="55" t="s">
        <v>87</v>
      </c>
      <c r="F233" s="54" t="str">
        <f>"Warengruppe&gt;&gt;"&amp;_xlfn.TEXTJOIN("&gt;&gt;",TRUE,Migrationsartikel!V232:X232)</f>
        <v>Warengruppe&gt;&gt;Früchte und Gemüse&gt;&gt;Früchte und Gemüse&gt;&gt;Früchte</v>
      </c>
      <c r="H233" s="55" t="s">
        <v>109</v>
      </c>
      <c r="J233" s="79">
        <f>Migrationsartikel!B232</f>
        <v>2216961000005</v>
      </c>
      <c r="L233" s="54" t="str">
        <f>_xlfn.TEXTJOIN(" ",TRUE,Migrationsartikel!F232:H232)</f>
        <v>Äpfel Boskoop Kl. 1 gepackt</v>
      </c>
      <c r="M233" s="54" t="str">
        <f>_xlfn.TEXTJOIN(" ",TRUE,Migrationsartikel!J232:L232)</f>
        <v>Pommes Boskoop Cl. 1 emballé</v>
      </c>
      <c r="N233" s="54" t="str">
        <f>_xlfn.TEXTJOIN(" ",TRUE,Migrationsartikel!N232:P232)</f>
        <v>Mele Boskoop Cl. 1 confezionato</v>
      </c>
      <c r="O233" s="54" t="str">
        <f>Migrationsartikel!F232</f>
        <v>Äpfel Boskoop</v>
      </c>
      <c r="P233" s="54" t="str">
        <f>Migrationsartikel!J232</f>
        <v>Pommes Boskoop</v>
      </c>
      <c r="Q233" s="54" t="str">
        <f>Migrationsartikel!N232</f>
        <v>Mele Boskoop</v>
      </c>
      <c r="R233" s="54" t="str">
        <f>_xlfn.TEXTJOIN(" ",TRUE,Migrationsartikel!G232)</f>
        <v>Kl. 1 gepackt</v>
      </c>
      <c r="S233" s="54" t="str">
        <f>_xlfn.TEXTJOIN(" ",TRUE,Migrationsartikel!K232)</f>
        <v>Cl. 1 emballé</v>
      </c>
      <c r="T233" s="54" t="str">
        <f>_xlfn.TEXTJOIN(" ",TRUE,Migrationsartikel!O232)</f>
        <v>Cl. 1 confezionato</v>
      </c>
      <c r="U233" s="54" t="str">
        <f>_xlfn.TEXTJOIN(" ",TRUE,Migrationsartikel!H232)</f>
        <v/>
      </c>
      <c r="V233" s="54" t="str">
        <f>_xlfn.TEXTJOIN(" ",TRUE,Migrationsartikel!L232)</f>
        <v/>
      </c>
      <c r="W233" s="54" t="str">
        <f>_xlfn.TEXTJOIN(" ",TRUE,Migrationsartikel!P232)</f>
        <v/>
      </c>
      <c r="X233" s="54" t="str">
        <f>Migrationsartikel!I232</f>
        <v>Äpfel Boskoop Kl. 1 gepackt</v>
      </c>
      <c r="Y233" s="54" t="str">
        <f>Migrationsartikel!M232</f>
        <v>Pommes Boskoop cl.1 emball.</v>
      </c>
      <c r="Z233" s="54" t="str">
        <f>Migrationsartikel!Q232</f>
        <v>Mele Boskoop cl. 1 confez.</v>
      </c>
      <c r="AA233" s="63">
        <f>Migrationsartikel!R232</f>
        <v>1</v>
      </c>
      <c r="AB233" s="54" t="str">
        <f>Migrationsartikel!T232</f>
        <v>Kilogramm</v>
      </c>
      <c r="AC233" s="65">
        <f>Migrationsartikel!S232</f>
        <v>1</v>
      </c>
      <c r="AD233" s="54" t="str">
        <f>Migrationsartikel!U232</f>
        <v>(PCE) Stück</v>
      </c>
      <c r="AE233" s="55" t="s">
        <v>179</v>
      </c>
      <c r="AF233" s="67">
        <f>Migrationsartikel!AA232</f>
        <v>0</v>
      </c>
      <c r="AG233" s="55" t="s">
        <v>192</v>
      </c>
      <c r="AH233" s="54" t="str">
        <f>IF(Migrationsartikel!AB232="ja","true",FALSE)</f>
        <v>true</v>
      </c>
      <c r="AI233" s="54" t="str">
        <f>IF(Migrationsartikel!AC232="ja","true",FALSE)</f>
        <v>true</v>
      </c>
      <c r="AJ233" s="54" t="str">
        <f>IF(Migrationsartikel!AD232="ja","true",FALSE)</f>
        <v>true</v>
      </c>
      <c r="AK233" s="54" t="str">
        <f>IF(Migrationsartikel!AE232="ja","true",FALSE)</f>
        <v>true</v>
      </c>
      <c r="AL233" s="54" t="str">
        <f>IF(Migrationsartikel!AF232="ja","Denner Partner","")</f>
        <v/>
      </c>
      <c r="AM233" s="54" t="str">
        <f>IF(Migrationsartikel!AG232="ja","true","false")</f>
        <v>false</v>
      </c>
      <c r="AN233" s="54" t="str">
        <f t="shared" si="4"/>
        <v>GTIN</v>
      </c>
      <c r="AO233" s="66" t="s">
        <v>219</v>
      </c>
      <c r="AP233" s="65" t="s">
        <v>1666</v>
      </c>
      <c r="AQ233" s="66" t="s">
        <v>217</v>
      </c>
      <c r="AR233" s="30" t="s">
        <v>219</v>
      </c>
    </row>
    <row r="234" spans="2:44" ht="21.75" customHeight="1" x14ac:dyDescent="0.45">
      <c r="B234" s="54" t="s">
        <v>99</v>
      </c>
      <c r="E234" s="55" t="s">
        <v>87</v>
      </c>
      <c r="F234" s="54" t="str">
        <f>"Warengruppe&gt;&gt;"&amp;_xlfn.TEXTJOIN("&gt;&gt;",TRUE,Migrationsartikel!V233:X233)</f>
        <v>Warengruppe&gt;&gt;Früchte und Gemüse&gt;&gt;Früchte und Gemüse&gt;&gt;Früchte</v>
      </c>
      <c r="H234" s="55" t="s">
        <v>109</v>
      </c>
      <c r="J234" s="79">
        <f>Migrationsartikel!B233</f>
        <v>101</v>
      </c>
      <c r="L234" s="54" t="str">
        <f>_xlfn.TEXTJOIN(" ",TRUE,Migrationsartikel!F233:H233)</f>
        <v>Äpfel Braeburn Offen Kl. 1</v>
      </c>
      <c r="M234" s="54" t="str">
        <f>_xlfn.TEXTJOIN(" ",TRUE,Migrationsartikel!J233:L233)</f>
        <v>Pommes Braeburn En vrac, cl. 1</v>
      </c>
      <c r="N234" s="54" t="str">
        <f>_xlfn.TEXTJOIN(" ",TRUE,Migrationsartikel!N233:P233)</f>
        <v>Mele Braeburn Cl. 1 vendita sfusa</v>
      </c>
      <c r="O234" s="54" t="str">
        <f>Migrationsartikel!F233</f>
        <v>Äpfel Braeburn</v>
      </c>
      <c r="P234" s="54" t="str">
        <f>Migrationsartikel!J233</f>
        <v>Pommes Braeburn</v>
      </c>
      <c r="Q234" s="54" t="str">
        <f>Migrationsartikel!N233</f>
        <v>Mele Braeburn</v>
      </c>
      <c r="R234" s="54" t="str">
        <f>_xlfn.TEXTJOIN(" ",TRUE,Migrationsartikel!G233)</f>
        <v>Offen Kl. 1</v>
      </c>
      <c r="S234" s="54" t="str">
        <f>_xlfn.TEXTJOIN(" ",TRUE,Migrationsartikel!K233)</f>
        <v>En vrac, cl. 1</v>
      </c>
      <c r="T234" s="54" t="str">
        <f>_xlfn.TEXTJOIN(" ",TRUE,Migrationsartikel!O233)</f>
        <v>Cl. 1 vendita sfusa</v>
      </c>
      <c r="U234" s="54" t="str">
        <f>_xlfn.TEXTJOIN(" ",TRUE,Migrationsartikel!H233)</f>
        <v/>
      </c>
      <c r="V234" s="54" t="str">
        <f>_xlfn.TEXTJOIN(" ",TRUE,Migrationsartikel!L233)</f>
        <v/>
      </c>
      <c r="W234" s="54" t="str">
        <f>_xlfn.TEXTJOIN(" ",TRUE,Migrationsartikel!P233)</f>
        <v/>
      </c>
      <c r="X234" s="54" t="str">
        <f>Migrationsartikel!I233</f>
        <v>Äpfel Braeburn Offen Kl. 1</v>
      </c>
      <c r="Y234" s="54" t="str">
        <f>Migrationsartikel!M233</f>
        <v>Pommes Braeburn cl.1 en vrac</v>
      </c>
      <c r="Z234" s="54" t="str">
        <f>Migrationsartikel!Q233</f>
        <v>Mele Braeburn cl. 1 v. sfusa</v>
      </c>
      <c r="AA234" s="63">
        <f>Migrationsartikel!R233</f>
        <v>1</v>
      </c>
      <c r="AB234" s="54" t="str">
        <f>Migrationsartikel!T233</f>
        <v>Kilogramm</v>
      </c>
      <c r="AC234" s="65">
        <f>Migrationsartikel!S233</f>
        <v>1</v>
      </c>
      <c r="AD234" s="54" t="str">
        <f>Migrationsartikel!U233</f>
        <v>(KGM) KG</v>
      </c>
      <c r="AE234" s="55" t="s">
        <v>179</v>
      </c>
      <c r="AF234" s="67">
        <f>Migrationsartikel!AA233</f>
        <v>0</v>
      </c>
      <c r="AG234" s="55" t="s">
        <v>192</v>
      </c>
      <c r="AH234" s="54" t="str">
        <f>IF(Migrationsartikel!AB233="ja","true",FALSE)</f>
        <v>true</v>
      </c>
      <c r="AI234" s="54" t="str">
        <f>IF(Migrationsartikel!AC233="ja","true",FALSE)</f>
        <v>true</v>
      </c>
      <c r="AJ234" s="54" t="str">
        <f>IF(Migrationsartikel!AD233="ja","true",FALSE)</f>
        <v>true</v>
      </c>
      <c r="AK234" s="54" t="str">
        <f>IF(Migrationsartikel!AE233="ja","true",FALSE)</f>
        <v>true</v>
      </c>
      <c r="AL234" s="54" t="str">
        <f>IF(Migrationsartikel!AF233="ja","Denner Partner","")</f>
        <v/>
      </c>
      <c r="AM234" s="54" t="str">
        <f>IF(Migrationsartikel!AG233="ja","true","false")</f>
        <v>false</v>
      </c>
      <c r="AN234" s="54" t="str">
        <f t="shared" si="4"/>
        <v>PLU</v>
      </c>
      <c r="AO234" s="66" t="s">
        <v>219</v>
      </c>
      <c r="AP234" s="65" t="s">
        <v>1667</v>
      </c>
      <c r="AQ234" s="66" t="s">
        <v>217</v>
      </c>
      <c r="AR234" s="30" t="s">
        <v>219</v>
      </c>
    </row>
    <row r="235" spans="2:44" ht="21.75" customHeight="1" x14ac:dyDescent="0.45">
      <c r="B235" s="54" t="s">
        <v>99</v>
      </c>
      <c r="E235" s="55" t="s">
        <v>87</v>
      </c>
      <c r="F235" s="54" t="str">
        <f>"Warengruppe&gt;&gt;"&amp;_xlfn.TEXTJOIN("&gt;&gt;",TRUE,Migrationsartikel!V234:X234)</f>
        <v>Warengruppe&gt;&gt;Früchte und Gemüse&gt;&gt;Früchte und Gemüse&gt;&gt;Früchte</v>
      </c>
      <c r="H235" s="55" t="s">
        <v>109</v>
      </c>
      <c r="J235" s="79">
        <f>Migrationsartikel!B234</f>
        <v>2274484000001</v>
      </c>
      <c r="L235" s="54" t="str">
        <f>_xlfn.TEXTJOIN(" ",TRUE,Migrationsartikel!F234:H234)</f>
        <v>Äpfel Braeburn Kl. 1 gepackt</v>
      </c>
      <c r="M235" s="54" t="str">
        <f>_xlfn.TEXTJOIN(" ",TRUE,Migrationsartikel!J234:L234)</f>
        <v>Pommes Braeburn Cl. 1 emballé</v>
      </c>
      <c r="N235" s="54" t="str">
        <f>_xlfn.TEXTJOIN(" ",TRUE,Migrationsartikel!N234:P234)</f>
        <v>Mele Braeburn Cl. 1 confezionato</v>
      </c>
      <c r="O235" s="54" t="str">
        <f>Migrationsartikel!F234</f>
        <v>Äpfel Braeburn</v>
      </c>
      <c r="P235" s="54" t="str">
        <f>Migrationsartikel!J234</f>
        <v>Pommes Braeburn</v>
      </c>
      <c r="Q235" s="54" t="str">
        <f>Migrationsartikel!N234</f>
        <v>Mele Braeburn</v>
      </c>
      <c r="R235" s="54" t="str">
        <f>_xlfn.TEXTJOIN(" ",TRUE,Migrationsartikel!G234)</f>
        <v>Kl. 1 gepackt</v>
      </c>
      <c r="S235" s="54" t="str">
        <f>_xlfn.TEXTJOIN(" ",TRUE,Migrationsartikel!K234)</f>
        <v>Cl. 1 emballé</v>
      </c>
      <c r="T235" s="54" t="str">
        <f>_xlfn.TEXTJOIN(" ",TRUE,Migrationsartikel!O234)</f>
        <v>Cl. 1 confezionato</v>
      </c>
      <c r="U235" s="54" t="str">
        <f>_xlfn.TEXTJOIN(" ",TRUE,Migrationsartikel!H234)</f>
        <v/>
      </c>
      <c r="V235" s="54" t="str">
        <f>_xlfn.TEXTJOIN(" ",TRUE,Migrationsartikel!L234)</f>
        <v/>
      </c>
      <c r="W235" s="54" t="str">
        <f>_xlfn.TEXTJOIN(" ",TRUE,Migrationsartikel!P234)</f>
        <v/>
      </c>
      <c r="X235" s="54" t="str">
        <f>Migrationsartikel!I234</f>
        <v>Äpfel Braeburn Kl. 1 gepackt</v>
      </c>
      <c r="Y235" s="54" t="str">
        <f>Migrationsartikel!M234</f>
        <v>Pommes Braeburn cl.1 emball.</v>
      </c>
      <c r="Z235" s="54" t="str">
        <f>Migrationsartikel!Q234</f>
        <v>Mele Braeburn cl. 1 confez.</v>
      </c>
      <c r="AA235" s="63">
        <f>Migrationsartikel!R234</f>
        <v>1</v>
      </c>
      <c r="AB235" s="54" t="str">
        <f>Migrationsartikel!T234</f>
        <v>Kilogramm</v>
      </c>
      <c r="AC235" s="65">
        <f>Migrationsartikel!S234</f>
        <v>1</v>
      </c>
      <c r="AD235" s="54" t="str">
        <f>Migrationsartikel!U234</f>
        <v>(PCE) Stück</v>
      </c>
      <c r="AE235" s="55" t="s">
        <v>179</v>
      </c>
      <c r="AF235" s="67">
        <f>Migrationsartikel!AA234</f>
        <v>0</v>
      </c>
      <c r="AG235" s="55" t="s">
        <v>192</v>
      </c>
      <c r="AH235" s="54" t="str">
        <f>IF(Migrationsartikel!AB234="ja","true",FALSE)</f>
        <v>true</v>
      </c>
      <c r="AI235" s="54" t="str">
        <f>IF(Migrationsartikel!AC234="ja","true",FALSE)</f>
        <v>true</v>
      </c>
      <c r="AJ235" s="54" t="str">
        <f>IF(Migrationsartikel!AD234="ja","true",FALSE)</f>
        <v>true</v>
      </c>
      <c r="AK235" s="54" t="str">
        <f>IF(Migrationsartikel!AE234="ja","true",FALSE)</f>
        <v>true</v>
      </c>
      <c r="AL235" s="54" t="str">
        <f>IF(Migrationsartikel!AF234="ja","Denner Partner","")</f>
        <v/>
      </c>
      <c r="AM235" s="54" t="str">
        <f>IF(Migrationsartikel!AG234="ja","true","false")</f>
        <v>false</v>
      </c>
      <c r="AN235" s="54" t="str">
        <f t="shared" si="4"/>
        <v>GTIN</v>
      </c>
      <c r="AO235" s="66" t="s">
        <v>219</v>
      </c>
      <c r="AP235" s="65" t="s">
        <v>1668</v>
      </c>
      <c r="AQ235" s="66" t="s">
        <v>217</v>
      </c>
      <c r="AR235" s="30" t="s">
        <v>219</v>
      </c>
    </row>
    <row r="236" spans="2:44" ht="21.75" customHeight="1" x14ac:dyDescent="0.45">
      <c r="B236" s="54" t="s">
        <v>99</v>
      </c>
      <c r="E236" s="55" t="s">
        <v>87</v>
      </c>
      <c r="F236" s="54" t="str">
        <f>"Warengruppe&gt;&gt;"&amp;_xlfn.TEXTJOIN("&gt;&gt;",TRUE,Migrationsartikel!V235:X235)</f>
        <v>Warengruppe&gt;&gt;Früchte und Gemüse&gt;&gt;Früchte und Gemüse&gt;&gt;Früchte</v>
      </c>
      <c r="H236" s="55" t="s">
        <v>109</v>
      </c>
      <c r="J236" s="79">
        <f>Migrationsartikel!B235</f>
        <v>102</v>
      </c>
      <c r="L236" s="54" t="str">
        <f>_xlfn.TEXTJOIN(" ",TRUE,Migrationsartikel!F235:H235)</f>
        <v>Äpfel Braeburn Offen Kl. 2</v>
      </c>
      <c r="M236" s="54" t="str">
        <f>_xlfn.TEXTJOIN(" ",TRUE,Migrationsartikel!J235:L235)</f>
        <v>Pommes Braeburn En vrac, cl. 2</v>
      </c>
      <c r="N236" s="54" t="str">
        <f>_xlfn.TEXTJOIN(" ",TRUE,Migrationsartikel!N235:P235)</f>
        <v>Mele Braeburn Cl. 2 vendita sfusa</v>
      </c>
      <c r="O236" s="54" t="str">
        <f>Migrationsartikel!F235</f>
        <v>Äpfel Braeburn</v>
      </c>
      <c r="P236" s="54" t="str">
        <f>Migrationsartikel!J235</f>
        <v>Pommes Braeburn</v>
      </c>
      <c r="Q236" s="54" t="str">
        <f>Migrationsartikel!N235</f>
        <v>Mele Braeburn</v>
      </c>
      <c r="R236" s="54" t="str">
        <f>_xlfn.TEXTJOIN(" ",TRUE,Migrationsartikel!G235)</f>
        <v>Offen Kl. 2</v>
      </c>
      <c r="S236" s="54" t="str">
        <f>_xlfn.TEXTJOIN(" ",TRUE,Migrationsartikel!K235)</f>
        <v>En vrac, cl. 2</v>
      </c>
      <c r="T236" s="54" t="str">
        <f>_xlfn.TEXTJOIN(" ",TRUE,Migrationsartikel!O235)</f>
        <v>Cl. 2 vendita sfusa</v>
      </c>
      <c r="U236" s="54" t="str">
        <f>_xlfn.TEXTJOIN(" ",TRUE,Migrationsartikel!H235)</f>
        <v/>
      </c>
      <c r="V236" s="54" t="str">
        <f>_xlfn.TEXTJOIN(" ",TRUE,Migrationsartikel!L235)</f>
        <v/>
      </c>
      <c r="W236" s="54" t="str">
        <f>_xlfn.TEXTJOIN(" ",TRUE,Migrationsartikel!P235)</f>
        <v/>
      </c>
      <c r="X236" s="54" t="str">
        <f>Migrationsartikel!I235</f>
        <v>Äpfel Braeburn Offen Kl. 2</v>
      </c>
      <c r="Y236" s="54" t="str">
        <f>Migrationsartikel!M235</f>
        <v>Pommes Braeburn cl.2 en vrac</v>
      </c>
      <c r="Z236" s="54" t="str">
        <f>Migrationsartikel!Q235</f>
        <v>Mele Braeburn cl. 2 v. sfusa</v>
      </c>
      <c r="AA236" s="63">
        <f>Migrationsartikel!R235</f>
        <v>1</v>
      </c>
      <c r="AB236" s="54" t="str">
        <f>Migrationsartikel!T235</f>
        <v>Kilogramm</v>
      </c>
      <c r="AC236" s="65">
        <f>Migrationsartikel!S235</f>
        <v>1</v>
      </c>
      <c r="AD236" s="54" t="str">
        <f>Migrationsartikel!U235</f>
        <v>(KGM) KG</v>
      </c>
      <c r="AE236" s="55" t="s">
        <v>179</v>
      </c>
      <c r="AF236" s="67">
        <f>Migrationsartikel!AA235</f>
        <v>0</v>
      </c>
      <c r="AG236" s="55" t="s">
        <v>192</v>
      </c>
      <c r="AH236" s="54" t="str">
        <f>IF(Migrationsartikel!AB235="ja","true",FALSE)</f>
        <v>true</v>
      </c>
      <c r="AI236" s="54" t="str">
        <f>IF(Migrationsartikel!AC235="ja","true",FALSE)</f>
        <v>true</v>
      </c>
      <c r="AJ236" s="54" t="str">
        <f>IF(Migrationsartikel!AD235="ja","true",FALSE)</f>
        <v>true</v>
      </c>
      <c r="AK236" s="54" t="str">
        <f>IF(Migrationsartikel!AE235="ja","true",FALSE)</f>
        <v>true</v>
      </c>
      <c r="AL236" s="54" t="str">
        <f>IF(Migrationsartikel!AF235="ja","Denner Partner","")</f>
        <v/>
      </c>
      <c r="AM236" s="54" t="str">
        <f>IF(Migrationsartikel!AG235="ja","true","false")</f>
        <v>false</v>
      </c>
      <c r="AN236" s="54" t="str">
        <f t="shared" si="4"/>
        <v>PLU</v>
      </c>
      <c r="AO236" s="66" t="s">
        <v>219</v>
      </c>
      <c r="AP236" s="65" t="s">
        <v>1669</v>
      </c>
      <c r="AQ236" s="66" t="s">
        <v>217</v>
      </c>
      <c r="AR236" s="30" t="s">
        <v>219</v>
      </c>
    </row>
    <row r="237" spans="2:44" ht="21.75" customHeight="1" x14ac:dyDescent="0.45">
      <c r="B237" s="54" t="s">
        <v>99</v>
      </c>
      <c r="E237" s="55" t="s">
        <v>87</v>
      </c>
      <c r="F237" s="54" t="str">
        <f>"Warengruppe&gt;&gt;"&amp;_xlfn.TEXTJOIN("&gt;&gt;",TRUE,Migrationsartikel!V236:X236)</f>
        <v>Warengruppe&gt;&gt;Früchte und Gemüse&gt;&gt;Früchte und Gemüse&gt;&gt;Früchte</v>
      </c>
      <c r="H237" s="55" t="s">
        <v>109</v>
      </c>
      <c r="J237" s="79">
        <f>Migrationsartikel!B236</f>
        <v>7610632010280</v>
      </c>
      <c r="L237" s="54" t="str">
        <f>_xlfn.TEXTJOIN(" ",TRUE,Migrationsartikel!F236:H236)</f>
        <v>Brombeeren Schale 125g</v>
      </c>
      <c r="M237" s="54" t="str">
        <f>_xlfn.TEXTJOIN(" ",TRUE,Migrationsartikel!J236:L236)</f>
        <v>Mûres Barquette 125g</v>
      </c>
      <c r="N237" s="54" t="str">
        <f>_xlfn.TEXTJOIN(" ",TRUE,Migrationsartikel!N236:P236)</f>
        <v>More vaschetta 125g</v>
      </c>
      <c r="O237" s="54" t="str">
        <f>Migrationsartikel!F236</f>
        <v>Brombeeren</v>
      </c>
      <c r="P237" s="54" t="str">
        <f>Migrationsartikel!J236</f>
        <v>Mûres</v>
      </c>
      <c r="Q237" s="54" t="str">
        <f>Migrationsartikel!N236</f>
        <v>More</v>
      </c>
      <c r="R237" s="54" t="str">
        <f>_xlfn.TEXTJOIN(" ",TRUE,Migrationsartikel!G236)</f>
        <v>Schale</v>
      </c>
      <c r="S237" s="54" t="str">
        <f>_xlfn.TEXTJOIN(" ",TRUE,Migrationsartikel!K236)</f>
        <v>Barquette</v>
      </c>
      <c r="T237" s="54" t="str">
        <f>_xlfn.TEXTJOIN(" ",TRUE,Migrationsartikel!O236)</f>
        <v>vaschetta</v>
      </c>
      <c r="U237" s="54" t="str">
        <f>_xlfn.TEXTJOIN(" ",TRUE,Migrationsartikel!H236)</f>
        <v>125g</v>
      </c>
      <c r="V237" s="54" t="str">
        <f>_xlfn.TEXTJOIN(" ",TRUE,Migrationsartikel!L236)</f>
        <v>125g</v>
      </c>
      <c r="W237" s="54" t="str">
        <f>_xlfn.TEXTJOIN(" ",TRUE,Migrationsartikel!P236)</f>
        <v>125g</v>
      </c>
      <c r="X237" s="54" t="str">
        <f>Migrationsartikel!I236</f>
        <v>Brombeeren Schale 125g</v>
      </c>
      <c r="Y237" s="54" t="str">
        <f>Migrationsartikel!M236</f>
        <v>Mûres barquette 125g</v>
      </c>
      <c r="Z237" s="54" t="str">
        <f>Migrationsartikel!Q236</f>
        <v>More vaschetta 125g</v>
      </c>
      <c r="AA237" s="63">
        <f>Migrationsartikel!R236</f>
        <v>0.125</v>
      </c>
      <c r="AB237" s="54" t="str">
        <f>Migrationsartikel!T236</f>
        <v>Gramm</v>
      </c>
      <c r="AC237" s="65">
        <f>Migrationsartikel!S236</f>
        <v>100</v>
      </c>
      <c r="AD237" s="54" t="str">
        <f>Migrationsartikel!U236</f>
        <v>(PCE) Stück</v>
      </c>
      <c r="AE237" s="55" t="s">
        <v>179</v>
      </c>
      <c r="AF237" s="67">
        <f>Migrationsartikel!AA236</f>
        <v>0</v>
      </c>
      <c r="AG237" s="55" t="s">
        <v>192</v>
      </c>
      <c r="AH237" s="54" t="str">
        <f>IF(Migrationsartikel!AB236="ja","true",FALSE)</f>
        <v>true</v>
      </c>
      <c r="AI237" s="54" t="str">
        <f>IF(Migrationsartikel!AC236="ja","true",FALSE)</f>
        <v>true</v>
      </c>
      <c r="AJ237" s="54" t="str">
        <f>IF(Migrationsartikel!AD236="ja","true",FALSE)</f>
        <v>true</v>
      </c>
      <c r="AK237" s="54" t="str">
        <f>IF(Migrationsartikel!AE236="ja","true",FALSE)</f>
        <v>true</v>
      </c>
      <c r="AL237" s="54" t="str">
        <f>IF(Migrationsartikel!AF236="ja","Denner Partner","")</f>
        <v/>
      </c>
      <c r="AM237" s="54" t="str">
        <f>IF(Migrationsartikel!AG236="ja","true","false")</f>
        <v>false</v>
      </c>
      <c r="AN237" s="54" t="str">
        <f t="shared" si="4"/>
        <v>GTIN</v>
      </c>
      <c r="AO237" s="66" t="s">
        <v>219</v>
      </c>
      <c r="AP237" s="65" t="s">
        <v>1670</v>
      </c>
      <c r="AQ237" s="66" t="s">
        <v>217</v>
      </c>
      <c r="AR237" s="30" t="s">
        <v>219</v>
      </c>
    </row>
    <row r="238" spans="2:44" ht="21.75" customHeight="1" x14ac:dyDescent="0.45">
      <c r="B238" s="54" t="s">
        <v>99</v>
      </c>
      <c r="E238" s="55" t="s">
        <v>87</v>
      </c>
      <c r="F238" s="54" t="str">
        <f>"Warengruppe&gt;&gt;"&amp;_xlfn.TEXTJOIN("&gt;&gt;",TRUE,Migrationsartikel!V237:X237)</f>
        <v>Warengruppe&gt;&gt;Früchte und Gemüse&gt;&gt;Früchte und Gemüse&gt;&gt;Früchte</v>
      </c>
      <c r="H238" s="55" t="s">
        <v>109</v>
      </c>
      <c r="J238" s="79">
        <f>Migrationsartikel!B237</f>
        <v>7610632050064</v>
      </c>
      <c r="L238" s="54" t="str">
        <f>_xlfn.TEXTJOIN(" ",TRUE,Migrationsartikel!F237:H237)</f>
        <v>Brombeeren Schale 250g</v>
      </c>
      <c r="M238" s="54" t="str">
        <f>_xlfn.TEXTJOIN(" ",TRUE,Migrationsartikel!J237:L237)</f>
        <v>Mûres Barquette 250g</v>
      </c>
      <c r="N238" s="54" t="str">
        <f>_xlfn.TEXTJOIN(" ",TRUE,Migrationsartikel!N237:P237)</f>
        <v>More vaschetta 250g</v>
      </c>
      <c r="O238" s="54" t="str">
        <f>Migrationsartikel!F237</f>
        <v>Brombeeren</v>
      </c>
      <c r="P238" s="54" t="str">
        <f>Migrationsartikel!J237</f>
        <v>Mûres</v>
      </c>
      <c r="Q238" s="54" t="str">
        <f>Migrationsartikel!N237</f>
        <v>More</v>
      </c>
      <c r="R238" s="54" t="str">
        <f>_xlfn.TEXTJOIN(" ",TRUE,Migrationsartikel!G237)</f>
        <v>Schale</v>
      </c>
      <c r="S238" s="54" t="str">
        <f>_xlfn.TEXTJOIN(" ",TRUE,Migrationsartikel!K237)</f>
        <v>Barquette</v>
      </c>
      <c r="T238" s="54" t="str">
        <f>_xlfn.TEXTJOIN(" ",TRUE,Migrationsartikel!O237)</f>
        <v>vaschetta</v>
      </c>
      <c r="U238" s="54" t="str">
        <f>_xlfn.TEXTJOIN(" ",TRUE,Migrationsartikel!H237)</f>
        <v>250g</v>
      </c>
      <c r="V238" s="54" t="str">
        <f>_xlfn.TEXTJOIN(" ",TRUE,Migrationsartikel!L237)</f>
        <v>250g</v>
      </c>
      <c r="W238" s="54" t="str">
        <f>_xlfn.TEXTJOIN(" ",TRUE,Migrationsartikel!P237)</f>
        <v>250g</v>
      </c>
      <c r="X238" s="54" t="str">
        <f>Migrationsartikel!I237</f>
        <v>Brombeeren Schale 250g</v>
      </c>
      <c r="Y238" s="54" t="str">
        <f>Migrationsartikel!M237</f>
        <v>Mûres barquette 250g</v>
      </c>
      <c r="Z238" s="54" t="str">
        <f>Migrationsartikel!Q237</f>
        <v>More vaschetta 250g</v>
      </c>
      <c r="AA238" s="63">
        <f>Migrationsartikel!R237</f>
        <v>0.25</v>
      </c>
      <c r="AB238" s="54" t="str">
        <f>Migrationsartikel!T237</f>
        <v>Gramm</v>
      </c>
      <c r="AC238" s="65">
        <f>Migrationsartikel!S237</f>
        <v>100</v>
      </c>
      <c r="AD238" s="54" t="str">
        <f>Migrationsartikel!U237</f>
        <v>(PCE) Stück</v>
      </c>
      <c r="AE238" s="55" t="s">
        <v>179</v>
      </c>
      <c r="AF238" s="67">
        <f>Migrationsartikel!AA237</f>
        <v>0</v>
      </c>
      <c r="AG238" s="55" t="s">
        <v>192</v>
      </c>
      <c r="AH238" s="54" t="str">
        <f>IF(Migrationsartikel!AB237="ja","true",FALSE)</f>
        <v>true</v>
      </c>
      <c r="AI238" s="54" t="str">
        <f>IF(Migrationsartikel!AC237="ja","true",FALSE)</f>
        <v>true</v>
      </c>
      <c r="AJ238" s="54" t="str">
        <f>IF(Migrationsartikel!AD237="ja","true",FALSE)</f>
        <v>true</v>
      </c>
      <c r="AK238" s="54" t="str">
        <f>IF(Migrationsartikel!AE237="ja","true",FALSE)</f>
        <v>true</v>
      </c>
      <c r="AL238" s="54" t="str">
        <f>IF(Migrationsartikel!AF237="ja","Denner Partner","")</f>
        <v/>
      </c>
      <c r="AM238" s="54" t="str">
        <f>IF(Migrationsartikel!AG237="ja","true","false")</f>
        <v>false</v>
      </c>
      <c r="AN238" s="54" t="str">
        <f t="shared" si="4"/>
        <v>GTIN</v>
      </c>
      <c r="AO238" s="66" t="s">
        <v>219</v>
      </c>
      <c r="AP238" s="65" t="s">
        <v>1671</v>
      </c>
      <c r="AQ238" s="66" t="s">
        <v>217</v>
      </c>
      <c r="AR238" s="30" t="s">
        <v>219</v>
      </c>
    </row>
    <row r="239" spans="2:44" ht="21.75" customHeight="1" x14ac:dyDescent="0.45">
      <c r="B239" s="54" t="s">
        <v>99</v>
      </c>
      <c r="E239" s="55" t="s">
        <v>87</v>
      </c>
      <c r="F239" s="54" t="str">
        <f>"Warengruppe&gt;&gt;"&amp;_xlfn.TEXTJOIN("&gt;&gt;",TRUE,Migrationsartikel!V238:X238)</f>
        <v>Warengruppe&gt;&gt;Früchte und Gemüse&gt;&gt;Früchte und Gemüse&gt;&gt;Früchte</v>
      </c>
      <c r="H239" s="55" t="s">
        <v>109</v>
      </c>
      <c r="J239" s="79">
        <f>Migrationsartikel!B238</f>
        <v>129</v>
      </c>
      <c r="L239" s="54" t="str">
        <f>_xlfn.TEXTJOIN(" ",TRUE,Migrationsartikel!F238:H238)</f>
        <v>Bio Clementinen Offen</v>
      </c>
      <c r="M239" s="54" t="str">
        <f>_xlfn.TEXTJOIN(" ",TRUE,Migrationsartikel!J238:L238)</f>
        <v>Bio Clémentines En vrac</v>
      </c>
      <c r="N239" s="54" t="str">
        <f>_xlfn.TEXTJOIN(" ",TRUE,Migrationsartikel!N238:P238)</f>
        <v>Bio Clementine vendita sfusa</v>
      </c>
      <c r="O239" s="54" t="str">
        <f>Migrationsartikel!F238</f>
        <v>Bio Clementinen</v>
      </c>
      <c r="P239" s="54" t="str">
        <f>Migrationsartikel!J238</f>
        <v>Bio Clémentines</v>
      </c>
      <c r="Q239" s="54" t="str">
        <f>Migrationsartikel!N238</f>
        <v>Bio Clementine</v>
      </c>
      <c r="R239" s="54" t="str">
        <f>_xlfn.TEXTJOIN(" ",TRUE,Migrationsartikel!G238)</f>
        <v>Offen</v>
      </c>
      <c r="S239" s="54" t="str">
        <f>_xlfn.TEXTJOIN(" ",TRUE,Migrationsartikel!K238)</f>
        <v>En vrac</v>
      </c>
      <c r="T239" s="54" t="str">
        <f>_xlfn.TEXTJOIN(" ",TRUE,Migrationsartikel!O238)</f>
        <v>vendita sfusa</v>
      </c>
      <c r="U239" s="54" t="str">
        <f>_xlfn.TEXTJOIN(" ",TRUE,Migrationsartikel!H238)</f>
        <v/>
      </c>
      <c r="V239" s="54" t="str">
        <f>_xlfn.TEXTJOIN(" ",TRUE,Migrationsartikel!L238)</f>
        <v/>
      </c>
      <c r="W239" s="54" t="str">
        <f>_xlfn.TEXTJOIN(" ",TRUE,Migrationsartikel!P238)</f>
        <v/>
      </c>
      <c r="X239" s="54" t="str">
        <f>Migrationsartikel!I238</f>
        <v>Bio Clementinen Offen</v>
      </c>
      <c r="Y239" s="54" t="str">
        <f>Migrationsartikel!M238</f>
        <v>Bio Clémentines en vrac</v>
      </c>
      <c r="Z239" s="54" t="str">
        <f>Migrationsartikel!Q238</f>
        <v>Bio Clementine vendita sfusa</v>
      </c>
      <c r="AA239" s="63">
        <f>Migrationsartikel!R238</f>
        <v>1</v>
      </c>
      <c r="AB239" s="54" t="str">
        <f>Migrationsartikel!T238</f>
        <v>Kilogramm</v>
      </c>
      <c r="AC239" s="65">
        <f>Migrationsartikel!S238</f>
        <v>1</v>
      </c>
      <c r="AD239" s="54" t="str">
        <f>Migrationsartikel!U238</f>
        <v>(KGM) KG</v>
      </c>
      <c r="AE239" s="55" t="s">
        <v>179</v>
      </c>
      <c r="AF239" s="67">
        <f>Migrationsartikel!AA238</f>
        <v>0</v>
      </c>
      <c r="AG239" s="55" t="s">
        <v>192</v>
      </c>
      <c r="AH239" s="54" t="str">
        <f>IF(Migrationsartikel!AB238="ja","true",FALSE)</f>
        <v>true</v>
      </c>
      <c r="AI239" s="54" t="str">
        <f>IF(Migrationsartikel!AC238="ja","true",FALSE)</f>
        <v>true</v>
      </c>
      <c r="AJ239" s="54" t="str">
        <f>IF(Migrationsartikel!AD238="ja","true",FALSE)</f>
        <v>true</v>
      </c>
      <c r="AK239" s="54" t="str">
        <f>IF(Migrationsartikel!AE238="ja","true",FALSE)</f>
        <v>true</v>
      </c>
      <c r="AL239" s="54" t="str">
        <f>IF(Migrationsartikel!AF238="ja","Denner Partner","")</f>
        <v/>
      </c>
      <c r="AM239" s="54" t="str">
        <f>IF(Migrationsartikel!AG238="ja","true","false")</f>
        <v>false</v>
      </c>
      <c r="AN239" s="54" t="str">
        <f t="shared" si="4"/>
        <v>PLU</v>
      </c>
      <c r="AO239" s="66" t="s">
        <v>219</v>
      </c>
      <c r="AP239" s="65" t="s">
        <v>1672</v>
      </c>
      <c r="AQ239" s="66" t="s">
        <v>217</v>
      </c>
      <c r="AR239" s="30" t="s">
        <v>219</v>
      </c>
    </row>
    <row r="240" spans="2:44" ht="21.75" customHeight="1" x14ac:dyDescent="0.45">
      <c r="B240" s="54" t="s">
        <v>99</v>
      </c>
      <c r="E240" s="55" t="s">
        <v>87</v>
      </c>
      <c r="F240" s="54" t="str">
        <f>"Warengruppe&gt;&gt;"&amp;_xlfn.TEXTJOIN("&gt;&gt;",TRUE,Migrationsartikel!V239:X239)</f>
        <v>Warengruppe&gt;&gt;Früchte und Gemüse&gt;&gt;Früchte und Gemüse&gt;&gt;Früchte</v>
      </c>
      <c r="H240" s="55" t="s">
        <v>109</v>
      </c>
      <c r="J240" s="79">
        <f>Migrationsartikel!B239</f>
        <v>131</v>
      </c>
      <c r="L240" s="54" t="str">
        <f>_xlfn.TEXTJOIN(" ",TRUE,Migrationsartikel!F239:H239)</f>
        <v>Clementinen mit Blatt Offen</v>
      </c>
      <c r="M240" s="54" t="str">
        <f>_xlfn.TEXTJOIN(" ",TRUE,Migrationsartikel!J239:L239)</f>
        <v>Clémentines + feuilles En vrac</v>
      </c>
      <c r="N240" s="54" t="str">
        <f>_xlfn.TEXTJOIN(" ",TRUE,Migrationsartikel!N239:P239)</f>
        <v>Clementine con foglia vendita sfusa</v>
      </c>
      <c r="O240" s="54" t="str">
        <f>Migrationsartikel!F239</f>
        <v>Clementinen mit Blatt</v>
      </c>
      <c r="P240" s="54" t="str">
        <f>Migrationsartikel!J239</f>
        <v>Clémentines + feuilles</v>
      </c>
      <c r="Q240" s="54" t="str">
        <f>Migrationsartikel!N239</f>
        <v>Clementine con foglia</v>
      </c>
      <c r="R240" s="54" t="str">
        <f>_xlfn.TEXTJOIN(" ",TRUE,Migrationsartikel!G239)</f>
        <v>Offen</v>
      </c>
      <c r="S240" s="54" t="str">
        <f>_xlfn.TEXTJOIN(" ",TRUE,Migrationsartikel!K239)</f>
        <v>En vrac</v>
      </c>
      <c r="T240" s="54" t="str">
        <f>_xlfn.TEXTJOIN(" ",TRUE,Migrationsartikel!O239)</f>
        <v>vendita sfusa</v>
      </c>
      <c r="U240" s="54" t="str">
        <f>_xlfn.TEXTJOIN(" ",TRUE,Migrationsartikel!H239)</f>
        <v/>
      </c>
      <c r="V240" s="54" t="str">
        <f>_xlfn.TEXTJOIN(" ",TRUE,Migrationsartikel!L239)</f>
        <v/>
      </c>
      <c r="W240" s="54" t="str">
        <f>_xlfn.TEXTJOIN(" ",TRUE,Migrationsartikel!P239)</f>
        <v/>
      </c>
      <c r="X240" s="54" t="str">
        <f>Migrationsartikel!I239</f>
        <v>Clementinen mit Blatt Offen</v>
      </c>
      <c r="Y240" s="54" t="str">
        <f>Migrationsartikel!M239</f>
        <v>Clémentines feuilles en vrac</v>
      </c>
      <c r="Z240" s="54" t="str">
        <f>Migrationsartikel!Q239</f>
        <v>Clementine con foglia v.s.</v>
      </c>
      <c r="AA240" s="63">
        <f>Migrationsartikel!R239</f>
        <v>1</v>
      </c>
      <c r="AB240" s="54" t="str">
        <f>Migrationsartikel!T239</f>
        <v>Kilogramm</v>
      </c>
      <c r="AC240" s="65">
        <f>Migrationsartikel!S239</f>
        <v>1</v>
      </c>
      <c r="AD240" s="54" t="str">
        <f>Migrationsartikel!U239</f>
        <v>(KGM) KG</v>
      </c>
      <c r="AE240" s="55" t="s">
        <v>179</v>
      </c>
      <c r="AF240" s="67">
        <f>Migrationsartikel!AA239</f>
        <v>0</v>
      </c>
      <c r="AG240" s="55" t="s">
        <v>192</v>
      </c>
      <c r="AH240" s="54" t="str">
        <f>IF(Migrationsartikel!AB239="ja","true",FALSE)</f>
        <v>true</v>
      </c>
      <c r="AI240" s="54" t="str">
        <f>IF(Migrationsartikel!AC239="ja","true",FALSE)</f>
        <v>true</v>
      </c>
      <c r="AJ240" s="54" t="str">
        <f>IF(Migrationsartikel!AD239="ja","true",FALSE)</f>
        <v>true</v>
      </c>
      <c r="AK240" s="54" t="str">
        <f>IF(Migrationsartikel!AE239="ja","true",FALSE)</f>
        <v>true</v>
      </c>
      <c r="AL240" s="54" t="str">
        <f>IF(Migrationsartikel!AF239="ja","Denner Partner","")</f>
        <v/>
      </c>
      <c r="AM240" s="54" t="str">
        <f>IF(Migrationsartikel!AG239="ja","true","false")</f>
        <v>false</v>
      </c>
      <c r="AN240" s="54" t="str">
        <f t="shared" si="4"/>
        <v>PLU</v>
      </c>
      <c r="AO240" s="66" t="s">
        <v>219</v>
      </c>
      <c r="AP240" s="65" t="s">
        <v>1673</v>
      </c>
      <c r="AQ240" s="66" t="s">
        <v>217</v>
      </c>
      <c r="AR240" s="30" t="s">
        <v>219</v>
      </c>
    </row>
    <row r="241" spans="2:44" ht="21.75" customHeight="1" x14ac:dyDescent="0.45">
      <c r="B241" s="54" t="s">
        <v>99</v>
      </c>
      <c r="E241" s="55" t="s">
        <v>87</v>
      </c>
      <c r="F241" s="54" t="str">
        <f>"Warengruppe&gt;&gt;"&amp;_xlfn.TEXTJOIN("&gt;&gt;",TRUE,Migrationsartikel!V240:X240)</f>
        <v>Warengruppe&gt;&gt;Früchte und Gemüse&gt;&gt;Früchte und Gemüse&gt;&gt;Früchte</v>
      </c>
      <c r="H241" s="55" t="s">
        <v>109</v>
      </c>
      <c r="J241" s="79">
        <f>Migrationsartikel!B240</f>
        <v>130</v>
      </c>
      <c r="L241" s="54" t="str">
        <f>_xlfn.TEXTJOIN(" ",TRUE,Migrationsartikel!F240:H240)</f>
        <v>Clementiene/Mandarine</v>
      </c>
      <c r="M241" s="54" t="str">
        <f>_xlfn.TEXTJOIN(" ",TRUE,Migrationsartikel!J240:L240)</f>
        <v>Clémentines/Mandarines En vrac</v>
      </c>
      <c r="N241" s="54" t="str">
        <f>_xlfn.TEXTJOIN(" ",TRUE,Migrationsartikel!N240:P240)</f>
        <v>Clementine/mandarini vendita sfusa</v>
      </c>
      <c r="O241" s="54" t="str">
        <f>Migrationsartikel!F240</f>
        <v>Clementiene/Mandarine</v>
      </c>
      <c r="P241" s="54" t="str">
        <f>Migrationsartikel!J240</f>
        <v>Clémentines/Mandarines</v>
      </c>
      <c r="Q241" s="54" t="str">
        <f>Migrationsartikel!N240</f>
        <v>Clementine/mandarini</v>
      </c>
      <c r="R241" s="54" t="str">
        <f>_xlfn.TEXTJOIN(" ",TRUE,Migrationsartikel!G240)</f>
        <v/>
      </c>
      <c r="S241" s="54" t="str">
        <f>_xlfn.TEXTJOIN(" ",TRUE,Migrationsartikel!K240)</f>
        <v>En vrac</v>
      </c>
      <c r="T241" s="54" t="str">
        <f>_xlfn.TEXTJOIN(" ",TRUE,Migrationsartikel!O240)</f>
        <v>vendita sfusa</v>
      </c>
      <c r="U241" s="54" t="str">
        <f>_xlfn.TEXTJOIN(" ",TRUE,Migrationsartikel!H240)</f>
        <v/>
      </c>
      <c r="V241" s="54" t="str">
        <f>_xlfn.TEXTJOIN(" ",TRUE,Migrationsartikel!L240)</f>
        <v/>
      </c>
      <c r="W241" s="54" t="str">
        <f>_xlfn.TEXTJOIN(" ",TRUE,Migrationsartikel!P240)</f>
        <v/>
      </c>
      <c r="X241" s="54" t="str">
        <f>Migrationsartikel!I240</f>
        <v>Clementeinen/Mandarinen Off.</v>
      </c>
      <c r="Y241" s="54" t="str">
        <f>Migrationsartikel!M240</f>
        <v>Clément/Mandarines en vrac</v>
      </c>
      <c r="Z241" s="54" t="str">
        <f>Migrationsartikel!Q240</f>
        <v>Clementine/mandarini v.s.</v>
      </c>
      <c r="AA241" s="63">
        <f>Migrationsartikel!R240</f>
        <v>1</v>
      </c>
      <c r="AB241" s="54" t="str">
        <f>Migrationsartikel!T240</f>
        <v>Kilogramm</v>
      </c>
      <c r="AC241" s="65">
        <f>Migrationsartikel!S240</f>
        <v>1</v>
      </c>
      <c r="AD241" s="54" t="str">
        <f>Migrationsartikel!U240</f>
        <v>(KGM) KG</v>
      </c>
      <c r="AE241" s="55" t="s">
        <v>179</v>
      </c>
      <c r="AF241" s="67">
        <f>Migrationsartikel!AA240</f>
        <v>0</v>
      </c>
      <c r="AG241" s="55" t="s">
        <v>192</v>
      </c>
      <c r="AH241" s="54" t="str">
        <f>IF(Migrationsartikel!AB240="ja","true",FALSE)</f>
        <v>true</v>
      </c>
      <c r="AI241" s="54" t="str">
        <f>IF(Migrationsartikel!AC240="ja","true",FALSE)</f>
        <v>true</v>
      </c>
      <c r="AJ241" s="54" t="str">
        <f>IF(Migrationsartikel!AD240="ja","true",FALSE)</f>
        <v>true</v>
      </c>
      <c r="AK241" s="54" t="str">
        <f>IF(Migrationsartikel!AE240="ja","true",FALSE)</f>
        <v>true</v>
      </c>
      <c r="AL241" s="54" t="str">
        <f>IF(Migrationsartikel!AF240="ja","Denner Partner","")</f>
        <v/>
      </c>
      <c r="AM241" s="54" t="str">
        <f>IF(Migrationsartikel!AG240="ja","true","false")</f>
        <v>false</v>
      </c>
      <c r="AN241" s="54" t="str">
        <f t="shared" si="4"/>
        <v>PLU</v>
      </c>
      <c r="AO241" s="66" t="s">
        <v>219</v>
      </c>
      <c r="AP241" s="65" t="s">
        <v>1674</v>
      </c>
      <c r="AQ241" s="66" t="s">
        <v>217</v>
      </c>
      <c r="AR241" s="30" t="s">
        <v>219</v>
      </c>
    </row>
    <row r="242" spans="2:44" ht="21.75" customHeight="1" x14ac:dyDescent="0.45">
      <c r="B242" s="54" t="s">
        <v>99</v>
      </c>
      <c r="E242" s="55" t="s">
        <v>87</v>
      </c>
      <c r="F242" s="54" t="str">
        <f>"Warengruppe&gt;&gt;"&amp;_xlfn.TEXTJOIN("&gt;&gt;",TRUE,Migrationsartikel!V241:X241)</f>
        <v>Warengruppe&gt;&gt;Früchte und Gemüse&gt;&gt;Früchte und Gemüse&gt;&gt;Früchte</v>
      </c>
      <c r="H242" s="55" t="s">
        <v>109</v>
      </c>
      <c r="J242" s="79">
        <f>Migrationsartikel!B241</f>
        <v>103</v>
      </c>
      <c r="L242" s="54" t="str">
        <f>_xlfn.TEXTJOIN(" ",TRUE,Migrationsartikel!F241:H241)</f>
        <v>Äpfel Cox Orange Offen Kl. 1</v>
      </c>
      <c r="M242" s="54" t="str">
        <f>_xlfn.TEXTJOIN(" ",TRUE,Migrationsartikel!J241:L241)</f>
        <v>Pommes Cox Orange En vrac, cl. 1</v>
      </c>
      <c r="N242" s="54" t="str">
        <f>_xlfn.TEXTJOIN(" ",TRUE,Migrationsartikel!N241:P241)</f>
        <v>Mele Cox Orange Cl. 1 vendita sfusa</v>
      </c>
      <c r="O242" s="54" t="str">
        <f>Migrationsartikel!F241</f>
        <v>Äpfel Cox Orange</v>
      </c>
      <c r="P242" s="54" t="str">
        <f>Migrationsartikel!J241</f>
        <v>Pommes Cox Orange</v>
      </c>
      <c r="Q242" s="54" t="str">
        <f>Migrationsartikel!N241</f>
        <v>Mele Cox Orange</v>
      </c>
      <c r="R242" s="54" t="str">
        <f>_xlfn.TEXTJOIN(" ",TRUE,Migrationsartikel!G241)</f>
        <v>Offen Kl. 1</v>
      </c>
      <c r="S242" s="54" t="str">
        <f>_xlfn.TEXTJOIN(" ",TRUE,Migrationsartikel!K241)</f>
        <v>En vrac, cl. 1</v>
      </c>
      <c r="T242" s="54" t="str">
        <f>_xlfn.TEXTJOIN(" ",TRUE,Migrationsartikel!O241)</f>
        <v>Cl. 1 vendita sfusa</v>
      </c>
      <c r="U242" s="54" t="str">
        <f>_xlfn.TEXTJOIN(" ",TRUE,Migrationsartikel!H241)</f>
        <v/>
      </c>
      <c r="V242" s="54" t="str">
        <f>_xlfn.TEXTJOIN(" ",TRUE,Migrationsartikel!L241)</f>
        <v/>
      </c>
      <c r="W242" s="54" t="str">
        <f>_xlfn.TEXTJOIN(" ",TRUE,Migrationsartikel!P241)</f>
        <v/>
      </c>
      <c r="X242" s="54" t="str">
        <f>Migrationsartikel!I241</f>
        <v>Äpfel Cox Orange Offen Kl. 1</v>
      </c>
      <c r="Y242" s="54" t="str">
        <f>Migrationsartikel!M241</f>
        <v>Pommes Cox Orange cl.1 en v.</v>
      </c>
      <c r="Z242" s="54" t="str">
        <f>Migrationsartikel!Q241</f>
        <v>Mele Cox Orange cl. 1 v.s.</v>
      </c>
      <c r="AA242" s="63">
        <f>Migrationsartikel!R241</f>
        <v>1</v>
      </c>
      <c r="AB242" s="54" t="str">
        <f>Migrationsartikel!T241</f>
        <v>Kilogramm</v>
      </c>
      <c r="AC242" s="65">
        <f>Migrationsartikel!S241</f>
        <v>1</v>
      </c>
      <c r="AD242" s="54" t="str">
        <f>Migrationsartikel!U241</f>
        <v>(KGM) KG</v>
      </c>
      <c r="AE242" s="55" t="s">
        <v>179</v>
      </c>
      <c r="AF242" s="67">
        <f>Migrationsartikel!AA241</f>
        <v>0</v>
      </c>
      <c r="AG242" s="55" t="s">
        <v>192</v>
      </c>
      <c r="AH242" s="54" t="str">
        <f>IF(Migrationsartikel!AB241="ja","true",FALSE)</f>
        <v>true</v>
      </c>
      <c r="AI242" s="54" t="str">
        <f>IF(Migrationsartikel!AC241="ja","true",FALSE)</f>
        <v>true</v>
      </c>
      <c r="AJ242" s="54" t="str">
        <f>IF(Migrationsartikel!AD241="ja","true",FALSE)</f>
        <v>true</v>
      </c>
      <c r="AK242" s="54" t="str">
        <f>IF(Migrationsartikel!AE241="ja","true",FALSE)</f>
        <v>true</v>
      </c>
      <c r="AL242" s="54" t="str">
        <f>IF(Migrationsartikel!AF241="ja","Denner Partner","")</f>
        <v/>
      </c>
      <c r="AM242" s="54" t="str">
        <f>IF(Migrationsartikel!AG241="ja","true","false")</f>
        <v>false</v>
      </c>
      <c r="AN242" s="54" t="str">
        <f t="shared" si="4"/>
        <v>PLU</v>
      </c>
      <c r="AO242" s="66" t="s">
        <v>219</v>
      </c>
      <c r="AP242" s="65" t="s">
        <v>1675</v>
      </c>
      <c r="AQ242" s="66" t="s">
        <v>217</v>
      </c>
      <c r="AR242" s="30" t="s">
        <v>219</v>
      </c>
    </row>
    <row r="243" spans="2:44" ht="21.75" customHeight="1" x14ac:dyDescent="0.45">
      <c r="B243" s="54" t="s">
        <v>99</v>
      </c>
      <c r="E243" s="55" t="s">
        <v>87</v>
      </c>
      <c r="F243" s="54" t="str">
        <f>"Warengruppe&gt;&gt;"&amp;_xlfn.TEXTJOIN("&gt;&gt;",TRUE,Migrationsartikel!V242:X242)</f>
        <v>Warengruppe&gt;&gt;Früchte und Gemüse&gt;&gt;Früchte und Gemüse&gt;&gt;Früchte</v>
      </c>
      <c r="H243" s="55" t="s">
        <v>109</v>
      </c>
      <c r="J243" s="79">
        <f>Migrationsartikel!B242</f>
        <v>2202261000005</v>
      </c>
      <c r="L243" s="54" t="str">
        <f>_xlfn.TEXTJOIN(" ",TRUE,Migrationsartikel!F242:H242)</f>
        <v>Äpfel Cox Orange Kl. 1 gepackt</v>
      </c>
      <c r="M243" s="54" t="str">
        <f>_xlfn.TEXTJOIN(" ",TRUE,Migrationsartikel!J242:L242)</f>
        <v>Pommes Cox Orange Cl. 1 emballé</v>
      </c>
      <c r="N243" s="54" t="str">
        <f>_xlfn.TEXTJOIN(" ",TRUE,Migrationsartikel!N242:P242)</f>
        <v>Mele Cox Orange Cl. 1 confezionato</v>
      </c>
      <c r="O243" s="54" t="str">
        <f>Migrationsartikel!F242</f>
        <v>Äpfel Cox Orange</v>
      </c>
      <c r="P243" s="54" t="str">
        <f>Migrationsartikel!J242</f>
        <v>Pommes Cox Orange</v>
      </c>
      <c r="Q243" s="54" t="str">
        <f>Migrationsartikel!N242</f>
        <v>Mele Cox Orange</v>
      </c>
      <c r="R243" s="54" t="str">
        <f>_xlfn.TEXTJOIN(" ",TRUE,Migrationsartikel!G242)</f>
        <v>Kl. 1 gepackt</v>
      </c>
      <c r="S243" s="54" t="str">
        <f>_xlfn.TEXTJOIN(" ",TRUE,Migrationsartikel!K242)</f>
        <v>Cl. 1 emballé</v>
      </c>
      <c r="T243" s="54" t="str">
        <f>_xlfn.TEXTJOIN(" ",TRUE,Migrationsartikel!O242)</f>
        <v>Cl. 1 confezionato</v>
      </c>
      <c r="U243" s="54" t="str">
        <f>_xlfn.TEXTJOIN(" ",TRUE,Migrationsartikel!H242)</f>
        <v/>
      </c>
      <c r="V243" s="54" t="str">
        <f>_xlfn.TEXTJOIN(" ",TRUE,Migrationsartikel!L242)</f>
        <v/>
      </c>
      <c r="W243" s="54" t="str">
        <f>_xlfn.TEXTJOIN(" ",TRUE,Migrationsartikel!P242)</f>
        <v/>
      </c>
      <c r="X243" s="54" t="str">
        <f>Migrationsartikel!I242</f>
        <v>Äpfel Cox Orange Kl. 1 gep.</v>
      </c>
      <c r="Y243" s="54" t="str">
        <f>Migrationsartikel!M242</f>
        <v>Pommes Cox Orange cl.1 emb.</v>
      </c>
      <c r="Z243" s="54" t="str">
        <f>Migrationsartikel!Q242</f>
        <v>Mele Cox Orange cl. 1 confez</v>
      </c>
      <c r="AA243" s="63">
        <f>Migrationsartikel!R242</f>
        <v>1</v>
      </c>
      <c r="AB243" s="54" t="str">
        <f>Migrationsartikel!T242</f>
        <v>Kilogramm</v>
      </c>
      <c r="AC243" s="65">
        <f>Migrationsartikel!S242</f>
        <v>1</v>
      </c>
      <c r="AD243" s="54" t="str">
        <f>Migrationsartikel!U242</f>
        <v>(PCE) Stück</v>
      </c>
      <c r="AE243" s="55" t="s">
        <v>179</v>
      </c>
      <c r="AF243" s="67">
        <f>Migrationsartikel!AA242</f>
        <v>0</v>
      </c>
      <c r="AG243" s="55" t="s">
        <v>192</v>
      </c>
      <c r="AH243" s="54" t="str">
        <f>IF(Migrationsartikel!AB242="ja","true",FALSE)</f>
        <v>true</v>
      </c>
      <c r="AI243" s="54" t="str">
        <f>IF(Migrationsartikel!AC242="ja","true",FALSE)</f>
        <v>true</v>
      </c>
      <c r="AJ243" s="54" t="str">
        <f>IF(Migrationsartikel!AD242="ja","true",FALSE)</f>
        <v>true</v>
      </c>
      <c r="AK243" s="54" t="str">
        <f>IF(Migrationsartikel!AE242="ja","true",FALSE)</f>
        <v>true</v>
      </c>
      <c r="AL243" s="54" t="str">
        <f>IF(Migrationsartikel!AF242="ja","Denner Partner","")</f>
        <v/>
      </c>
      <c r="AM243" s="54" t="str">
        <f>IF(Migrationsartikel!AG242="ja","true","false")</f>
        <v>false</v>
      </c>
      <c r="AN243" s="54" t="str">
        <f t="shared" si="4"/>
        <v>GTIN</v>
      </c>
      <c r="AO243" s="66" t="s">
        <v>219</v>
      </c>
      <c r="AP243" s="65" t="s">
        <v>1676</v>
      </c>
      <c r="AQ243" s="66" t="s">
        <v>217</v>
      </c>
      <c r="AR243" s="30" t="s">
        <v>219</v>
      </c>
    </row>
    <row r="244" spans="2:44" ht="21.75" customHeight="1" x14ac:dyDescent="0.45">
      <c r="B244" s="54" t="s">
        <v>99</v>
      </c>
      <c r="E244" s="55" t="s">
        <v>87</v>
      </c>
      <c r="F244" s="54" t="str">
        <f>"Warengruppe&gt;&gt;"&amp;_xlfn.TEXTJOIN("&gt;&gt;",TRUE,Migrationsartikel!V243:X243)</f>
        <v>Warengruppe&gt;&gt;Früchte und Gemüse&gt;&gt;Früchte und Gemüse&gt;&gt;Früchte</v>
      </c>
      <c r="H244" s="55" t="s">
        <v>109</v>
      </c>
      <c r="J244" s="79">
        <f>Migrationsartikel!B243</f>
        <v>125</v>
      </c>
      <c r="L244" s="54" t="str">
        <f>_xlfn.TEXTJOIN(" ",TRUE,Migrationsartikel!F243:H243)</f>
        <v>Bananen Denner Offen</v>
      </c>
      <c r="M244" s="54" t="str">
        <f>_xlfn.TEXTJOIN(" ",TRUE,Migrationsartikel!J243:L243)</f>
        <v>Bananes Denner en vrac</v>
      </c>
      <c r="N244" s="54" t="str">
        <f>_xlfn.TEXTJOIN(" ",TRUE,Migrationsartikel!N243:P243)</f>
        <v>Banane Denner vendita sfusa</v>
      </c>
      <c r="O244" s="54" t="str">
        <f>Migrationsartikel!F243</f>
        <v>Bananen Denner Offen</v>
      </c>
      <c r="P244" s="54" t="str">
        <f>Migrationsartikel!J243</f>
        <v>Bananes Denner</v>
      </c>
      <c r="Q244" s="54" t="str">
        <f>Migrationsartikel!N243</f>
        <v>Banane Denner</v>
      </c>
      <c r="R244" s="54" t="str">
        <f>_xlfn.TEXTJOIN(" ",TRUE,Migrationsartikel!G243)</f>
        <v/>
      </c>
      <c r="S244" s="54" t="str">
        <f>_xlfn.TEXTJOIN(" ",TRUE,Migrationsartikel!K243)</f>
        <v>en vrac</v>
      </c>
      <c r="T244" s="54" t="str">
        <f>_xlfn.TEXTJOIN(" ",TRUE,Migrationsartikel!O243)</f>
        <v>vendita sfusa</v>
      </c>
      <c r="U244" s="54" t="str">
        <f>_xlfn.TEXTJOIN(" ",TRUE,Migrationsartikel!H243)</f>
        <v/>
      </c>
      <c r="V244" s="54" t="str">
        <f>_xlfn.TEXTJOIN(" ",TRUE,Migrationsartikel!L243)</f>
        <v/>
      </c>
      <c r="W244" s="54" t="str">
        <f>_xlfn.TEXTJOIN(" ",TRUE,Migrationsartikel!P243)</f>
        <v/>
      </c>
      <c r="X244" s="54" t="str">
        <f>Migrationsartikel!I243</f>
        <v>Bananen Denner Offen</v>
      </c>
      <c r="Y244" s="54" t="str">
        <f>Migrationsartikel!M243</f>
        <v>Bananes Denner en vrac</v>
      </c>
      <c r="Z244" s="54" t="str">
        <f>Migrationsartikel!Q243</f>
        <v>Banane Denner vendita sfusa</v>
      </c>
      <c r="AA244" s="63">
        <f>Migrationsartikel!R243</f>
        <v>1</v>
      </c>
      <c r="AB244" s="54" t="str">
        <f>Migrationsartikel!T243</f>
        <v>Kilogramm</v>
      </c>
      <c r="AC244" s="65">
        <f>Migrationsartikel!S243</f>
        <v>1</v>
      </c>
      <c r="AD244" s="54" t="str">
        <f>Migrationsartikel!U243</f>
        <v>(KGM) KG</v>
      </c>
      <c r="AE244" s="55" t="s">
        <v>179</v>
      </c>
      <c r="AF244" s="67">
        <f>Migrationsartikel!AA243</f>
        <v>0</v>
      </c>
      <c r="AG244" s="55" t="s">
        <v>192</v>
      </c>
      <c r="AH244" s="54" t="str">
        <f>IF(Migrationsartikel!AB243="ja","true",FALSE)</f>
        <v>true</v>
      </c>
      <c r="AI244" s="54" t="str">
        <f>IF(Migrationsartikel!AC243="ja","true",FALSE)</f>
        <v>true</v>
      </c>
      <c r="AJ244" s="54" t="str">
        <f>IF(Migrationsartikel!AD243="ja","true",FALSE)</f>
        <v>true</v>
      </c>
      <c r="AK244" s="54" t="str">
        <f>IF(Migrationsartikel!AE243="ja","true",FALSE)</f>
        <v>true</v>
      </c>
      <c r="AL244" s="54" t="str">
        <f>IF(Migrationsartikel!AF243="ja","Denner Partner","")</f>
        <v/>
      </c>
      <c r="AM244" s="54" t="str">
        <f>IF(Migrationsartikel!AG243="ja","true","false")</f>
        <v>false</v>
      </c>
      <c r="AN244" s="54" t="str">
        <f t="shared" si="4"/>
        <v>PLU</v>
      </c>
      <c r="AO244" s="66" t="s">
        <v>219</v>
      </c>
      <c r="AP244" s="65" t="s">
        <v>1677</v>
      </c>
      <c r="AQ244" s="66" t="s">
        <v>217</v>
      </c>
      <c r="AR244" s="30" t="s">
        <v>219</v>
      </c>
    </row>
    <row r="245" spans="2:44" ht="21.75" customHeight="1" x14ac:dyDescent="0.45">
      <c r="B245" s="54" t="s">
        <v>99</v>
      </c>
      <c r="E245" s="55" t="s">
        <v>87</v>
      </c>
      <c r="F245" s="54" t="str">
        <f>"Warengruppe&gt;&gt;"&amp;_xlfn.TEXTJOIN("&gt;&gt;",TRUE,Migrationsartikel!V244:X244)</f>
        <v>Warengruppe&gt;&gt;Früchte und Gemüse&gt;&gt;Früchte und Gemüse&gt;&gt;Früchte</v>
      </c>
      <c r="H245" s="55" t="s">
        <v>109</v>
      </c>
      <c r="J245" s="79">
        <f>Migrationsartikel!B244</f>
        <v>2202291000006</v>
      </c>
      <c r="L245" s="54" t="str">
        <f>_xlfn.TEXTJOIN(" ",TRUE,Migrationsartikel!F244:H244)</f>
        <v>Äpfel Elstar Kl. 1 gepackt</v>
      </c>
      <c r="M245" s="54" t="str">
        <f>_xlfn.TEXTJOIN(" ",TRUE,Migrationsartikel!J244:L244)</f>
        <v>Pommes Elstar Cl. 1 emballé</v>
      </c>
      <c r="N245" s="54" t="str">
        <f>_xlfn.TEXTJOIN(" ",TRUE,Migrationsartikel!N244:P244)</f>
        <v>Mele Elstar Cl. 1 confezionato</v>
      </c>
      <c r="O245" s="54" t="str">
        <f>Migrationsartikel!F244</f>
        <v>Äpfel Elstar</v>
      </c>
      <c r="P245" s="54" t="str">
        <f>Migrationsartikel!J244</f>
        <v>Pommes Elstar</v>
      </c>
      <c r="Q245" s="54" t="str">
        <f>Migrationsartikel!N244</f>
        <v>Mele Elstar</v>
      </c>
      <c r="R245" s="54" t="str">
        <f>_xlfn.TEXTJOIN(" ",TRUE,Migrationsartikel!G244)</f>
        <v>Kl. 1 gepackt</v>
      </c>
      <c r="S245" s="54" t="str">
        <f>_xlfn.TEXTJOIN(" ",TRUE,Migrationsartikel!K244)</f>
        <v>Cl. 1 emballé</v>
      </c>
      <c r="T245" s="54" t="str">
        <f>_xlfn.TEXTJOIN(" ",TRUE,Migrationsartikel!O244)</f>
        <v>Cl. 1 confezionato</v>
      </c>
      <c r="U245" s="54" t="str">
        <f>_xlfn.TEXTJOIN(" ",TRUE,Migrationsartikel!H244)</f>
        <v/>
      </c>
      <c r="V245" s="54" t="str">
        <f>_xlfn.TEXTJOIN(" ",TRUE,Migrationsartikel!L244)</f>
        <v/>
      </c>
      <c r="W245" s="54" t="str">
        <f>_xlfn.TEXTJOIN(" ",TRUE,Migrationsartikel!P244)</f>
        <v/>
      </c>
      <c r="X245" s="54" t="str">
        <f>Migrationsartikel!I244</f>
        <v>Äpfel Elstar Kl. 1 gepackt</v>
      </c>
      <c r="Y245" s="54" t="str">
        <f>Migrationsartikel!M244</f>
        <v>Pommes Elstar cl. 1 emballé</v>
      </c>
      <c r="Z245" s="54" t="str">
        <f>Migrationsartikel!Q244</f>
        <v>Mele Elstar cl. 1 confez.</v>
      </c>
      <c r="AA245" s="63">
        <f>Migrationsartikel!R244</f>
        <v>1</v>
      </c>
      <c r="AB245" s="54" t="str">
        <f>Migrationsartikel!T244</f>
        <v>Kilogramm</v>
      </c>
      <c r="AC245" s="65">
        <f>Migrationsartikel!S244</f>
        <v>1</v>
      </c>
      <c r="AD245" s="54" t="str">
        <f>Migrationsartikel!U244</f>
        <v>(PCE) Stück</v>
      </c>
      <c r="AE245" s="55" t="s">
        <v>179</v>
      </c>
      <c r="AF245" s="67">
        <f>Migrationsartikel!AA244</f>
        <v>0</v>
      </c>
      <c r="AG245" s="55" t="s">
        <v>192</v>
      </c>
      <c r="AH245" s="54" t="str">
        <f>IF(Migrationsartikel!AB244="ja","true",FALSE)</f>
        <v>true</v>
      </c>
      <c r="AI245" s="54" t="str">
        <f>IF(Migrationsartikel!AC244="ja","true",FALSE)</f>
        <v>true</v>
      </c>
      <c r="AJ245" s="54" t="str">
        <f>IF(Migrationsartikel!AD244="ja","true",FALSE)</f>
        <v>true</v>
      </c>
      <c r="AK245" s="54" t="str">
        <f>IF(Migrationsartikel!AE244="ja","true",FALSE)</f>
        <v>true</v>
      </c>
      <c r="AL245" s="54" t="str">
        <f>IF(Migrationsartikel!AF244="ja","Denner Partner","")</f>
        <v/>
      </c>
      <c r="AM245" s="54" t="str">
        <f>IF(Migrationsartikel!AG244="ja","true","false")</f>
        <v>false</v>
      </c>
      <c r="AN245" s="54" t="str">
        <f t="shared" si="4"/>
        <v>GTIN</v>
      </c>
      <c r="AO245" s="66" t="s">
        <v>219</v>
      </c>
      <c r="AP245" s="65" t="s">
        <v>1678</v>
      </c>
      <c r="AQ245" s="66" t="s">
        <v>217</v>
      </c>
      <c r="AR245" s="30" t="s">
        <v>219</v>
      </c>
    </row>
    <row r="246" spans="2:44" ht="21.75" customHeight="1" x14ac:dyDescent="0.45">
      <c r="B246" s="54" t="s">
        <v>99</v>
      </c>
      <c r="E246" s="55" t="s">
        <v>87</v>
      </c>
      <c r="F246" s="54" t="str">
        <f>"Warengruppe&gt;&gt;"&amp;_xlfn.TEXTJOIN("&gt;&gt;",TRUE,Migrationsartikel!V245:X245)</f>
        <v>Warengruppe&gt;&gt;Früchte und Gemüse&gt;&gt;Früchte und Gemüse&gt;&gt;Früchte</v>
      </c>
      <c r="H246" s="55" t="s">
        <v>109</v>
      </c>
      <c r="J246" s="79">
        <f>Migrationsartikel!B245</f>
        <v>150</v>
      </c>
      <c r="L246" s="54" t="str">
        <f>_xlfn.TEXTJOIN(" ",TRUE,Migrationsartikel!F245:H245)</f>
        <v>Flachpfirsiche Offen</v>
      </c>
      <c r="M246" s="54" t="str">
        <f>_xlfn.TEXTJOIN(" ",TRUE,Migrationsartikel!J245:L245)</f>
        <v>Pêches plates En vrac</v>
      </c>
      <c r="N246" s="54" t="str">
        <f>_xlfn.TEXTJOIN(" ",TRUE,Migrationsartikel!N245:P245)</f>
        <v>Pesche tabacchiera vendita sfusa</v>
      </c>
      <c r="O246" s="54" t="str">
        <f>Migrationsartikel!F245</f>
        <v>Flachpfirsiche</v>
      </c>
      <c r="P246" s="54" t="str">
        <f>Migrationsartikel!J245</f>
        <v>Pêches plates</v>
      </c>
      <c r="Q246" s="54" t="str">
        <f>Migrationsartikel!N245</f>
        <v>Pesche tabacchiera</v>
      </c>
      <c r="R246" s="54" t="str">
        <f>_xlfn.TEXTJOIN(" ",TRUE,Migrationsartikel!G245)</f>
        <v>Offen</v>
      </c>
      <c r="S246" s="54" t="str">
        <f>_xlfn.TEXTJOIN(" ",TRUE,Migrationsartikel!K245)</f>
        <v>En vrac</v>
      </c>
      <c r="T246" s="54" t="str">
        <f>_xlfn.TEXTJOIN(" ",TRUE,Migrationsartikel!O245)</f>
        <v>vendita sfusa</v>
      </c>
      <c r="U246" s="54" t="str">
        <f>_xlfn.TEXTJOIN(" ",TRUE,Migrationsartikel!H245)</f>
        <v/>
      </c>
      <c r="V246" s="54" t="str">
        <f>_xlfn.TEXTJOIN(" ",TRUE,Migrationsartikel!L245)</f>
        <v/>
      </c>
      <c r="W246" s="54" t="str">
        <f>_xlfn.TEXTJOIN(" ",TRUE,Migrationsartikel!P245)</f>
        <v/>
      </c>
      <c r="X246" s="54" t="str">
        <f>Migrationsartikel!I245</f>
        <v>Flachpfirsiche Offen</v>
      </c>
      <c r="Y246" s="54" t="str">
        <f>Migrationsartikel!M245</f>
        <v>Pêches plartes en vrac</v>
      </c>
      <c r="Z246" s="54" t="str">
        <f>Migrationsartikel!Q245</f>
        <v>Pesche tabacchiera v. sfusa</v>
      </c>
      <c r="AA246" s="63">
        <f>Migrationsartikel!R245</f>
        <v>1</v>
      </c>
      <c r="AB246" s="54" t="str">
        <f>Migrationsartikel!T245</f>
        <v>Kilogramm</v>
      </c>
      <c r="AC246" s="65">
        <f>Migrationsartikel!S245</f>
        <v>1</v>
      </c>
      <c r="AD246" s="54" t="str">
        <f>Migrationsartikel!U245</f>
        <v>(KGM) KG</v>
      </c>
      <c r="AE246" s="55" t="s">
        <v>179</v>
      </c>
      <c r="AF246" s="67">
        <f>Migrationsartikel!AA245</f>
        <v>0</v>
      </c>
      <c r="AG246" s="55" t="s">
        <v>192</v>
      </c>
      <c r="AH246" s="54" t="str">
        <f>IF(Migrationsartikel!AB245="ja","true",FALSE)</f>
        <v>true</v>
      </c>
      <c r="AI246" s="54" t="str">
        <f>IF(Migrationsartikel!AC245="ja","true",FALSE)</f>
        <v>true</v>
      </c>
      <c r="AJ246" s="54" t="str">
        <f>IF(Migrationsartikel!AD245="ja","true",FALSE)</f>
        <v>true</v>
      </c>
      <c r="AK246" s="54" t="str">
        <f>IF(Migrationsartikel!AE245="ja","true",FALSE)</f>
        <v>true</v>
      </c>
      <c r="AL246" s="54" t="str">
        <f>IF(Migrationsartikel!AF245="ja","Denner Partner","")</f>
        <v/>
      </c>
      <c r="AM246" s="54" t="str">
        <f>IF(Migrationsartikel!AG245="ja","true","false")</f>
        <v>false</v>
      </c>
      <c r="AN246" s="54" t="str">
        <f t="shared" si="4"/>
        <v>PLU</v>
      </c>
      <c r="AO246" s="66" t="s">
        <v>219</v>
      </c>
      <c r="AP246" s="65" t="s">
        <v>1679</v>
      </c>
      <c r="AQ246" s="66" t="s">
        <v>217</v>
      </c>
      <c r="AR246" s="30" t="s">
        <v>219</v>
      </c>
    </row>
    <row r="247" spans="2:44" ht="21.75" customHeight="1" x14ac:dyDescent="0.45">
      <c r="B247" s="54" t="s">
        <v>99</v>
      </c>
      <c r="E247" s="55" t="s">
        <v>87</v>
      </c>
      <c r="F247" s="54" t="str">
        <f>"Warengruppe&gt;&gt;"&amp;_xlfn.TEXTJOIN("&gt;&gt;",TRUE,Migrationsartikel!V246:X246)</f>
        <v>Warengruppe&gt;&gt;Früchte und Gemüse&gt;&gt;Früchte und Gemüse&gt;&gt;Früchte</v>
      </c>
      <c r="H247" s="55" t="s">
        <v>109</v>
      </c>
      <c r="J247" s="79">
        <f>Migrationsartikel!B246</f>
        <v>7613399001287</v>
      </c>
      <c r="L247" s="54" t="str">
        <f>_xlfn.TEXTJOIN(" ",TRUE,Migrationsartikel!F246:H246)</f>
        <v>Fruchtbecher 200g</v>
      </c>
      <c r="M247" s="54" t="str">
        <f>_xlfn.TEXTJOIN(" ",TRUE,Migrationsartikel!J246:L246)</f>
        <v>Gobelet de fruits 200g</v>
      </c>
      <c r="N247" s="54" t="str">
        <f>_xlfn.TEXTJOIN(" ",TRUE,Migrationsartikel!N246:P246)</f>
        <v>Bicchiere di frutta 200g</v>
      </c>
      <c r="O247" s="54" t="str">
        <f>Migrationsartikel!F246</f>
        <v>Fruchtbecher</v>
      </c>
      <c r="P247" s="54" t="str">
        <f>Migrationsartikel!J246</f>
        <v>Gobelet de fruits</v>
      </c>
      <c r="Q247" s="54" t="str">
        <f>Migrationsartikel!N246</f>
        <v>Bicchiere di frutta</v>
      </c>
      <c r="R247" s="54" t="str">
        <f>_xlfn.TEXTJOIN(" ",TRUE,Migrationsartikel!G246)</f>
        <v/>
      </c>
      <c r="S247" s="54" t="str">
        <f>_xlfn.TEXTJOIN(" ",TRUE,Migrationsartikel!K246)</f>
        <v/>
      </c>
      <c r="T247" s="54" t="str">
        <f>_xlfn.TEXTJOIN(" ",TRUE,Migrationsartikel!O246)</f>
        <v/>
      </c>
      <c r="U247" s="54" t="str">
        <f>_xlfn.TEXTJOIN(" ",TRUE,Migrationsartikel!H246)</f>
        <v>200g</v>
      </c>
      <c r="V247" s="54" t="str">
        <f>_xlfn.TEXTJOIN(" ",TRUE,Migrationsartikel!L246)</f>
        <v>200g</v>
      </c>
      <c r="W247" s="54" t="str">
        <f>_xlfn.TEXTJOIN(" ",TRUE,Migrationsartikel!P246)</f>
        <v>200g</v>
      </c>
      <c r="X247" s="54" t="str">
        <f>Migrationsartikel!I246</f>
        <v>Fruchtbecher 200g</v>
      </c>
      <c r="Y247" s="54" t="str">
        <f>Migrationsartikel!M246</f>
        <v>Gobelet de fruits 200g</v>
      </c>
      <c r="Z247" s="54" t="str">
        <f>Migrationsartikel!Q246</f>
        <v>Bicchiere di frutta 200g</v>
      </c>
      <c r="AA247" s="63">
        <f>Migrationsartikel!R246</f>
        <v>0.2</v>
      </c>
      <c r="AB247" s="54" t="str">
        <f>Migrationsartikel!T246</f>
        <v>Gramm</v>
      </c>
      <c r="AC247" s="65">
        <f>Migrationsartikel!S246</f>
        <v>100</v>
      </c>
      <c r="AD247" s="54" t="str">
        <f>Migrationsartikel!U246</f>
        <v>(PCE) Stück</v>
      </c>
      <c r="AE247" s="55" t="s">
        <v>179</v>
      </c>
      <c r="AF247" s="67">
        <f>Migrationsartikel!AA246</f>
        <v>0</v>
      </c>
      <c r="AG247" s="55" t="s">
        <v>192</v>
      </c>
      <c r="AH247" s="54" t="str">
        <f>IF(Migrationsartikel!AB246="ja","true",FALSE)</f>
        <v>true</v>
      </c>
      <c r="AI247" s="54" t="str">
        <f>IF(Migrationsartikel!AC246="ja","true",FALSE)</f>
        <v>true</v>
      </c>
      <c r="AJ247" s="54" t="str">
        <f>IF(Migrationsartikel!AD246="ja","true",FALSE)</f>
        <v>true</v>
      </c>
      <c r="AK247" s="54" t="str">
        <f>IF(Migrationsartikel!AE246="ja","true",FALSE)</f>
        <v>true</v>
      </c>
      <c r="AL247" s="54" t="str">
        <f>IF(Migrationsartikel!AF246="ja","Denner Partner","")</f>
        <v/>
      </c>
      <c r="AM247" s="54" t="str">
        <f>IF(Migrationsartikel!AG246="ja","true","false")</f>
        <v>false</v>
      </c>
      <c r="AN247" s="54" t="str">
        <f t="shared" si="4"/>
        <v>GTIN</v>
      </c>
      <c r="AO247" s="66" t="s">
        <v>219</v>
      </c>
      <c r="AP247" s="65" t="s">
        <v>1680</v>
      </c>
      <c r="AQ247" s="66" t="s">
        <v>217</v>
      </c>
      <c r="AR247" s="30" t="s">
        <v>219</v>
      </c>
    </row>
    <row r="248" spans="2:44" ht="21.75" customHeight="1" x14ac:dyDescent="0.45">
      <c r="B248" s="54" t="s">
        <v>99</v>
      </c>
      <c r="E248" s="55" t="s">
        <v>87</v>
      </c>
      <c r="F248" s="54" t="str">
        <f>"Warengruppe&gt;&gt;"&amp;_xlfn.TEXTJOIN("&gt;&gt;",TRUE,Migrationsartikel!V247:X247)</f>
        <v>Warengruppe&gt;&gt;Früchte und Gemüse&gt;&gt;Früchte und Gemüse&gt;&gt;Früchte</v>
      </c>
      <c r="H248" s="55" t="s">
        <v>109</v>
      </c>
      <c r="J248" s="79">
        <f>Migrationsartikel!B247</f>
        <v>2296291000005</v>
      </c>
      <c r="L248" s="54" t="str">
        <f>_xlfn.TEXTJOIN(" ",TRUE,Migrationsartikel!F247:H247)</f>
        <v>Früchtemix Äpfel/Orangen/Bananen</v>
      </c>
      <c r="M248" s="54" t="str">
        <f>_xlfn.TEXTJOIN(" ",TRUE,Migrationsartikel!J247:L247)</f>
        <v>Mélange de fruits Pommes/oranges/bananes</v>
      </c>
      <c r="N248" s="54" t="str">
        <f>_xlfn.TEXTJOIN(" ",TRUE,Migrationsartikel!N247:P247)</f>
        <v>Mix di frutta Mele/arance/banane</v>
      </c>
      <c r="O248" s="54" t="str">
        <f>Migrationsartikel!F247</f>
        <v>Früchtemix</v>
      </c>
      <c r="P248" s="54" t="str">
        <f>Migrationsartikel!J247</f>
        <v>Mélange de fruits</v>
      </c>
      <c r="Q248" s="54" t="str">
        <f>Migrationsartikel!N247</f>
        <v>Mix di frutta</v>
      </c>
      <c r="R248" s="54" t="str">
        <f>_xlfn.TEXTJOIN(" ",TRUE,Migrationsartikel!G247)</f>
        <v>Äpfel/Orangen/Bananen</v>
      </c>
      <c r="S248" s="54" t="str">
        <f>_xlfn.TEXTJOIN(" ",TRUE,Migrationsartikel!K247)</f>
        <v>Pommes/oranges/bananes</v>
      </c>
      <c r="T248" s="54" t="str">
        <f>_xlfn.TEXTJOIN(" ",TRUE,Migrationsartikel!O247)</f>
        <v>Mele/arance/banane</v>
      </c>
      <c r="U248" s="54" t="str">
        <f>_xlfn.TEXTJOIN(" ",TRUE,Migrationsartikel!H247)</f>
        <v/>
      </c>
      <c r="V248" s="54" t="str">
        <f>_xlfn.TEXTJOIN(" ",TRUE,Migrationsartikel!L247)</f>
        <v/>
      </c>
      <c r="W248" s="54" t="str">
        <f>_xlfn.TEXTJOIN(" ",TRUE,Migrationsartikel!P247)</f>
        <v/>
      </c>
      <c r="X248" s="54" t="str">
        <f>Migrationsartikel!I247</f>
        <v>Früchtemix Äpfel/Orange/Ban.</v>
      </c>
      <c r="Y248" s="54" t="str">
        <f>Migrationsartikel!M247</f>
        <v>Mélange fruits pom/oran/ban</v>
      </c>
      <c r="Z248" s="54" t="str">
        <f>Migrationsartikel!Q247</f>
        <v>Mix di frutta mele/aran./ban</v>
      </c>
      <c r="AA248" s="63">
        <f>Migrationsartikel!R247</f>
        <v>1</v>
      </c>
      <c r="AB248" s="54" t="str">
        <f>Migrationsartikel!T247</f>
        <v>Kilogramm</v>
      </c>
      <c r="AC248" s="65">
        <f>Migrationsartikel!S247</f>
        <v>1</v>
      </c>
      <c r="AD248" s="54" t="str">
        <f>Migrationsartikel!U247</f>
        <v>(PCE) Stück</v>
      </c>
      <c r="AE248" s="55" t="s">
        <v>179</v>
      </c>
      <c r="AF248" s="67">
        <f>Migrationsartikel!AA247</f>
        <v>0</v>
      </c>
      <c r="AG248" s="55" t="s">
        <v>192</v>
      </c>
      <c r="AH248" s="54" t="str">
        <f>IF(Migrationsartikel!AB247="ja","true",FALSE)</f>
        <v>true</v>
      </c>
      <c r="AI248" s="54" t="str">
        <f>IF(Migrationsartikel!AC247="ja","true",FALSE)</f>
        <v>true</v>
      </c>
      <c r="AJ248" s="54" t="str">
        <f>IF(Migrationsartikel!AD247="ja","true",FALSE)</f>
        <v>true</v>
      </c>
      <c r="AK248" s="54" t="str">
        <f>IF(Migrationsartikel!AE247="ja","true",FALSE)</f>
        <v>true</v>
      </c>
      <c r="AL248" s="54" t="str">
        <f>IF(Migrationsartikel!AF247="ja","Denner Partner","")</f>
        <v/>
      </c>
      <c r="AM248" s="54" t="str">
        <f>IF(Migrationsartikel!AG247="ja","true","false")</f>
        <v>false</v>
      </c>
      <c r="AN248" s="54" t="str">
        <f t="shared" si="4"/>
        <v>GTIN</v>
      </c>
      <c r="AO248" s="66" t="s">
        <v>219</v>
      </c>
      <c r="AP248" s="65" t="s">
        <v>1681</v>
      </c>
      <c r="AQ248" s="66" t="s">
        <v>217</v>
      </c>
      <c r="AR248" s="30" t="s">
        <v>219</v>
      </c>
    </row>
    <row r="249" spans="2:44" ht="21.75" customHeight="1" x14ac:dyDescent="0.45">
      <c r="B249" s="54" t="s">
        <v>99</v>
      </c>
      <c r="E249" s="55" t="s">
        <v>87</v>
      </c>
      <c r="F249" s="54" t="str">
        <f>"Warengruppe&gt;&gt;"&amp;_xlfn.TEXTJOIN("&gt;&gt;",TRUE,Migrationsartikel!V248:X248)</f>
        <v>Warengruppe&gt;&gt;Früchte und Gemüse&gt;&gt;Früchte und Gemüse&gt;&gt;Früchte</v>
      </c>
      <c r="H249" s="55" t="s">
        <v>109</v>
      </c>
      <c r="J249" s="79">
        <f>Migrationsartikel!B248</f>
        <v>2202381000008</v>
      </c>
      <c r="L249" s="54" t="str">
        <f>_xlfn.TEXTJOIN(" ",TRUE,Migrationsartikel!F248:H248)</f>
        <v>Äpfel Gala Kl. 1 gepackt</v>
      </c>
      <c r="M249" s="54" t="str">
        <f>_xlfn.TEXTJOIN(" ",TRUE,Migrationsartikel!J248:L248)</f>
        <v>Pommes Gala Cl. 1 emballé</v>
      </c>
      <c r="N249" s="54" t="str">
        <f>_xlfn.TEXTJOIN(" ",TRUE,Migrationsartikel!N248:P248)</f>
        <v>Mele Gala Cl. 1 confezionato</v>
      </c>
      <c r="O249" s="54" t="str">
        <f>Migrationsartikel!F248</f>
        <v>Äpfel Gala</v>
      </c>
      <c r="P249" s="54" t="str">
        <f>Migrationsartikel!J248</f>
        <v>Pommes Gala</v>
      </c>
      <c r="Q249" s="54" t="str">
        <f>Migrationsartikel!N248</f>
        <v>Mele Gala</v>
      </c>
      <c r="R249" s="54" t="str">
        <f>_xlfn.TEXTJOIN(" ",TRUE,Migrationsartikel!G248)</f>
        <v>Kl. 1 gepackt</v>
      </c>
      <c r="S249" s="54" t="str">
        <f>_xlfn.TEXTJOIN(" ",TRUE,Migrationsartikel!K248)</f>
        <v>Cl. 1 emballé</v>
      </c>
      <c r="T249" s="54" t="str">
        <f>_xlfn.TEXTJOIN(" ",TRUE,Migrationsartikel!O248)</f>
        <v>Cl. 1 confezionato</v>
      </c>
      <c r="U249" s="54" t="str">
        <f>_xlfn.TEXTJOIN(" ",TRUE,Migrationsartikel!H248)</f>
        <v/>
      </c>
      <c r="V249" s="54" t="str">
        <f>_xlfn.TEXTJOIN(" ",TRUE,Migrationsartikel!L248)</f>
        <v/>
      </c>
      <c r="W249" s="54" t="str">
        <f>_xlfn.TEXTJOIN(" ",TRUE,Migrationsartikel!P248)</f>
        <v/>
      </c>
      <c r="X249" s="54" t="str">
        <f>Migrationsartikel!I248</f>
        <v>Äpfel Gala Kl. 1 gepackt</v>
      </c>
      <c r="Y249" s="54" t="str">
        <f>Migrationsartikel!M248</f>
        <v>Pommes Gala cl. 1 emballé</v>
      </c>
      <c r="Z249" s="54" t="str">
        <f>Migrationsartikel!Q248</f>
        <v>Mele Gala cl. 1 confezionato</v>
      </c>
      <c r="AA249" s="63">
        <f>Migrationsartikel!R248</f>
        <v>1</v>
      </c>
      <c r="AB249" s="54" t="str">
        <f>Migrationsartikel!T248</f>
        <v>Kilogramm</v>
      </c>
      <c r="AC249" s="65">
        <f>Migrationsartikel!S248</f>
        <v>1</v>
      </c>
      <c r="AD249" s="54" t="str">
        <f>Migrationsartikel!U248</f>
        <v>(PCE) Stück</v>
      </c>
      <c r="AE249" s="55" t="s">
        <v>179</v>
      </c>
      <c r="AF249" s="67">
        <f>Migrationsartikel!AA248</f>
        <v>0</v>
      </c>
      <c r="AG249" s="55" t="s">
        <v>192</v>
      </c>
      <c r="AH249" s="54" t="str">
        <f>IF(Migrationsartikel!AB248="ja","true",FALSE)</f>
        <v>true</v>
      </c>
      <c r="AI249" s="54" t="str">
        <f>IF(Migrationsartikel!AC248="ja","true",FALSE)</f>
        <v>true</v>
      </c>
      <c r="AJ249" s="54" t="str">
        <f>IF(Migrationsartikel!AD248="ja","true",FALSE)</f>
        <v>true</v>
      </c>
      <c r="AK249" s="54" t="str">
        <f>IF(Migrationsartikel!AE248="ja","true",FALSE)</f>
        <v>true</v>
      </c>
      <c r="AL249" s="54" t="str">
        <f>IF(Migrationsartikel!AF248="ja","Denner Partner","")</f>
        <v/>
      </c>
      <c r="AM249" s="54" t="str">
        <f>IF(Migrationsartikel!AG248="ja","true","false")</f>
        <v>false</v>
      </c>
      <c r="AN249" s="54" t="str">
        <f t="shared" si="4"/>
        <v>GTIN</v>
      </c>
      <c r="AO249" s="66" t="s">
        <v>219</v>
      </c>
      <c r="AP249" s="65" t="s">
        <v>1682</v>
      </c>
      <c r="AQ249" s="66" t="s">
        <v>217</v>
      </c>
      <c r="AR249" s="30" t="s">
        <v>219</v>
      </c>
    </row>
    <row r="250" spans="2:44" ht="21.75" customHeight="1" x14ac:dyDescent="0.45">
      <c r="O250" s="54"/>
      <c r="P250" s="54"/>
      <c r="Q250" s="54"/>
    </row>
    <row r="251" spans="2:44" ht="21.75" customHeight="1" x14ac:dyDescent="0.45">
      <c r="O251" s="54"/>
      <c r="P251" s="54"/>
      <c r="Q251" s="54"/>
    </row>
    <row r="252" spans="2:44" ht="21.75" customHeight="1" x14ac:dyDescent="0.45">
      <c r="O252" s="54"/>
      <c r="P252" s="54"/>
      <c r="Q252" s="54"/>
    </row>
    <row r="253" spans="2:44" ht="21.75" customHeight="1" x14ac:dyDescent="0.45">
      <c r="O253" s="54"/>
      <c r="P253" s="54"/>
      <c r="Q253" s="54"/>
    </row>
    <row r="254" spans="2:44" ht="21.75" customHeight="1" x14ac:dyDescent="0.45">
      <c r="O254" s="54"/>
      <c r="P254" s="54"/>
      <c r="Q254" s="54"/>
    </row>
    <row r="255" spans="2:44" ht="21.75" customHeight="1" x14ac:dyDescent="0.45">
      <c r="O255" s="54"/>
      <c r="P255" s="54"/>
      <c r="Q255" s="54"/>
    </row>
    <row r="256" spans="2:44" ht="21.75" customHeight="1" x14ac:dyDescent="0.45">
      <c r="O256" s="54"/>
      <c r="P256" s="54"/>
      <c r="Q256" s="54"/>
    </row>
    <row r="257" spans="15:17" ht="21.75" customHeight="1" x14ac:dyDescent="0.45">
      <c r="O257" s="54"/>
      <c r="P257" s="54"/>
      <c r="Q257" s="54"/>
    </row>
    <row r="258" spans="15:17" ht="21.75" customHeight="1" x14ac:dyDescent="0.45">
      <c r="O258" s="54"/>
      <c r="P258" s="54"/>
      <c r="Q258" s="54"/>
    </row>
    <row r="259" spans="15:17" ht="21.75" customHeight="1" x14ac:dyDescent="0.45">
      <c r="O259" s="54"/>
      <c r="P259" s="54"/>
      <c r="Q259" s="54"/>
    </row>
    <row r="260" spans="15:17" ht="21.75" customHeight="1" x14ac:dyDescent="0.45">
      <c r="O260" s="54"/>
      <c r="P260" s="54"/>
      <c r="Q260" s="54"/>
    </row>
    <row r="261" spans="15:17" ht="21.75" customHeight="1" x14ac:dyDescent="0.45">
      <c r="O261" s="54"/>
      <c r="P261" s="54"/>
      <c r="Q261" s="54"/>
    </row>
    <row r="262" spans="15:17" ht="21.75" customHeight="1" x14ac:dyDescent="0.45">
      <c r="O262" s="54"/>
      <c r="P262" s="54"/>
      <c r="Q262" s="54"/>
    </row>
    <row r="263" spans="15:17" ht="21.75" customHeight="1" x14ac:dyDescent="0.45">
      <c r="O263" s="54"/>
      <c r="P263" s="54"/>
      <c r="Q263" s="54"/>
    </row>
    <row r="264" spans="15:17" ht="21.75" customHeight="1" x14ac:dyDescent="0.45">
      <c r="O264" s="54"/>
      <c r="P264" s="54"/>
      <c r="Q264" s="54"/>
    </row>
    <row r="265" spans="15:17" ht="21.75" customHeight="1" x14ac:dyDescent="0.45">
      <c r="O265" s="54"/>
      <c r="P265" s="54"/>
      <c r="Q265" s="54"/>
    </row>
    <row r="266" spans="15:17" ht="21.75" customHeight="1" x14ac:dyDescent="0.45">
      <c r="O266" s="54"/>
      <c r="P266" s="54"/>
      <c r="Q266" s="54"/>
    </row>
    <row r="267" spans="15:17" ht="21.75" customHeight="1" x14ac:dyDescent="0.45">
      <c r="O267" s="54"/>
      <c r="P267" s="54"/>
      <c r="Q267" s="54"/>
    </row>
    <row r="268" spans="15:17" ht="21.75" customHeight="1" x14ac:dyDescent="0.45">
      <c r="O268" s="54"/>
      <c r="P268" s="54"/>
      <c r="Q268" s="54"/>
    </row>
    <row r="269" spans="15:17" ht="21.75" customHeight="1" x14ac:dyDescent="0.45">
      <c r="O269" s="54"/>
      <c r="P269" s="54"/>
      <c r="Q269" s="54"/>
    </row>
    <row r="270" spans="15:17" ht="21.75" customHeight="1" x14ac:dyDescent="0.45">
      <c r="O270" s="54"/>
      <c r="P270" s="54"/>
      <c r="Q270" s="54"/>
    </row>
    <row r="271" spans="15:17" ht="21.75" customHeight="1" x14ac:dyDescent="0.45">
      <c r="O271" s="54"/>
      <c r="P271" s="54"/>
      <c r="Q271" s="54"/>
    </row>
    <row r="272" spans="15:17" ht="21.75" customHeight="1" x14ac:dyDescent="0.45">
      <c r="O272" s="54"/>
      <c r="P272" s="54"/>
      <c r="Q272" s="54"/>
    </row>
    <row r="273" spans="15:17" ht="21.75" customHeight="1" x14ac:dyDescent="0.45">
      <c r="O273" s="54"/>
      <c r="P273" s="54"/>
      <c r="Q273" s="54"/>
    </row>
    <row r="274" spans="15:17" ht="21.75" customHeight="1" x14ac:dyDescent="0.45">
      <c r="O274" s="54"/>
      <c r="P274" s="54"/>
      <c r="Q274" s="54"/>
    </row>
    <row r="275" spans="15:17" ht="21.75" customHeight="1" x14ac:dyDescent="0.45">
      <c r="O275" s="54"/>
      <c r="P275" s="54"/>
      <c r="Q275" s="54"/>
    </row>
    <row r="276" spans="15:17" ht="21.75" customHeight="1" x14ac:dyDescent="0.45">
      <c r="O276" s="54"/>
      <c r="P276" s="54"/>
      <c r="Q276" s="54"/>
    </row>
    <row r="277" spans="15:17" ht="21.75" customHeight="1" x14ac:dyDescent="0.45">
      <c r="O277" s="54"/>
      <c r="P277" s="54"/>
      <c r="Q277" s="54"/>
    </row>
    <row r="278" spans="15:17" ht="21.75" customHeight="1" x14ac:dyDescent="0.45">
      <c r="O278" s="54"/>
      <c r="P278" s="54"/>
      <c r="Q278" s="54"/>
    </row>
    <row r="279" spans="15:17" ht="21.75" customHeight="1" x14ac:dyDescent="0.45">
      <c r="O279" s="54"/>
      <c r="P279" s="54"/>
      <c r="Q279" s="54"/>
    </row>
    <row r="280" spans="15:17" ht="21.75" customHeight="1" x14ac:dyDescent="0.45">
      <c r="O280" s="54"/>
      <c r="P280" s="54"/>
      <c r="Q280" s="54"/>
    </row>
    <row r="281" spans="15:17" ht="21.75" customHeight="1" x14ac:dyDescent="0.45">
      <c r="O281" s="54"/>
      <c r="P281" s="54"/>
      <c r="Q281" s="54"/>
    </row>
    <row r="282" spans="15:17" ht="21.75" customHeight="1" x14ac:dyDescent="0.45">
      <c r="O282" s="54"/>
      <c r="P282" s="54"/>
      <c r="Q282" s="54"/>
    </row>
    <row r="283" spans="15:17" ht="21.75" customHeight="1" x14ac:dyDescent="0.45">
      <c r="O283" s="54"/>
      <c r="P283" s="54"/>
      <c r="Q283" s="54"/>
    </row>
    <row r="284" spans="15:17" ht="21.75" customHeight="1" x14ac:dyDescent="0.45">
      <c r="O284" s="54"/>
      <c r="P284" s="54"/>
      <c r="Q284" s="54"/>
    </row>
    <row r="285" spans="15:17" ht="21.75" customHeight="1" x14ac:dyDescent="0.45">
      <c r="O285" s="54"/>
      <c r="P285" s="54"/>
      <c r="Q285" s="54"/>
    </row>
    <row r="286" spans="15:17" ht="21.75" customHeight="1" x14ac:dyDescent="0.45">
      <c r="O286" s="54"/>
      <c r="P286" s="54"/>
      <c r="Q286" s="54"/>
    </row>
    <row r="287" spans="15:17" ht="21.75" customHeight="1" x14ac:dyDescent="0.45">
      <c r="O287" s="54"/>
      <c r="P287" s="54"/>
      <c r="Q287" s="54"/>
    </row>
    <row r="288" spans="15:17" ht="21.75" customHeight="1" x14ac:dyDescent="0.45">
      <c r="O288" s="54"/>
      <c r="P288" s="54"/>
      <c r="Q288" s="54"/>
    </row>
    <row r="289" spans="15:17" ht="21.75" customHeight="1" x14ac:dyDescent="0.45">
      <c r="O289" s="54"/>
      <c r="P289" s="54"/>
      <c r="Q289" s="54"/>
    </row>
    <row r="290" spans="15:17" ht="21.75" customHeight="1" x14ac:dyDescent="0.45">
      <c r="O290" s="54"/>
      <c r="P290" s="54"/>
      <c r="Q290" s="54"/>
    </row>
    <row r="291" spans="15:17" ht="21.75" customHeight="1" x14ac:dyDescent="0.45">
      <c r="O291" s="54"/>
      <c r="P291" s="54"/>
      <c r="Q291" s="54"/>
    </row>
    <row r="292" spans="15:17" ht="21.75" customHeight="1" x14ac:dyDescent="0.45">
      <c r="O292" s="54"/>
      <c r="P292" s="54"/>
      <c r="Q292" s="54"/>
    </row>
    <row r="293" spans="15:17" ht="21.75" customHeight="1" x14ac:dyDescent="0.45">
      <c r="O293" s="54"/>
      <c r="P293" s="54"/>
      <c r="Q293" s="54"/>
    </row>
    <row r="294" spans="15:17" ht="21.75" customHeight="1" x14ac:dyDescent="0.45">
      <c r="O294" s="54"/>
      <c r="P294" s="54"/>
      <c r="Q294" s="54"/>
    </row>
    <row r="295" spans="15:17" ht="21.75" customHeight="1" x14ac:dyDescent="0.45">
      <c r="O295" s="54"/>
      <c r="P295" s="54"/>
      <c r="Q295" s="54"/>
    </row>
    <row r="296" spans="15:17" ht="21.75" customHeight="1" x14ac:dyDescent="0.45">
      <c r="O296" s="54"/>
      <c r="P296" s="54"/>
      <c r="Q296" s="54"/>
    </row>
    <row r="297" spans="15:17" ht="21.75" customHeight="1" x14ac:dyDescent="0.45">
      <c r="O297" s="54"/>
      <c r="P297" s="54"/>
      <c r="Q297" s="54"/>
    </row>
    <row r="298" spans="15:17" ht="21.75" customHeight="1" x14ac:dyDescent="0.45">
      <c r="O298" s="54"/>
      <c r="P298" s="54"/>
      <c r="Q298" s="54"/>
    </row>
    <row r="299" spans="15:17" ht="21.75" customHeight="1" x14ac:dyDescent="0.45">
      <c r="O299" s="54"/>
      <c r="P299" s="54"/>
      <c r="Q299" s="54"/>
    </row>
    <row r="300" spans="15:17" ht="21.75" customHeight="1" x14ac:dyDescent="0.45">
      <c r="O300" s="54"/>
      <c r="P300" s="54"/>
      <c r="Q300" s="54"/>
    </row>
    <row r="301" spans="15:17" ht="21.75" customHeight="1" x14ac:dyDescent="0.45">
      <c r="O301" s="54"/>
      <c r="P301" s="54"/>
      <c r="Q301" s="54"/>
    </row>
    <row r="302" spans="15:17" ht="21.75" customHeight="1" x14ac:dyDescent="0.45">
      <c r="O302" s="54"/>
      <c r="P302" s="54"/>
      <c r="Q302" s="54"/>
    </row>
    <row r="303" spans="15:17" ht="21.75" customHeight="1" x14ac:dyDescent="0.45">
      <c r="O303" s="54"/>
      <c r="P303" s="54"/>
      <c r="Q303" s="54"/>
    </row>
    <row r="304" spans="15:17" ht="21.75" customHeight="1" x14ac:dyDescent="0.45">
      <c r="O304" s="54"/>
      <c r="P304" s="54"/>
      <c r="Q304" s="54"/>
    </row>
    <row r="305" spans="15:17" ht="21.75" customHeight="1" x14ac:dyDescent="0.45">
      <c r="O305" s="54"/>
      <c r="P305" s="54"/>
      <c r="Q305" s="54"/>
    </row>
    <row r="306" spans="15:17" ht="21.75" customHeight="1" x14ac:dyDescent="0.45">
      <c r="O306" s="54"/>
      <c r="P306" s="54"/>
      <c r="Q306" s="54"/>
    </row>
    <row r="307" spans="15:17" ht="21.75" customHeight="1" x14ac:dyDescent="0.45">
      <c r="O307" s="54"/>
      <c r="P307" s="54"/>
      <c r="Q307" s="54"/>
    </row>
    <row r="308" spans="15:17" ht="21.75" customHeight="1" x14ac:dyDescent="0.45">
      <c r="O308" s="54"/>
      <c r="P308" s="54"/>
      <c r="Q308" s="54"/>
    </row>
    <row r="309" spans="15:17" ht="21.75" customHeight="1" x14ac:dyDescent="0.45">
      <c r="O309" s="54"/>
      <c r="P309" s="54"/>
      <c r="Q309" s="54"/>
    </row>
    <row r="310" spans="15:17" ht="21.75" customHeight="1" x14ac:dyDescent="0.45">
      <c r="O310" s="54"/>
      <c r="P310" s="54"/>
      <c r="Q310" s="54"/>
    </row>
    <row r="311" spans="15:17" ht="21.75" customHeight="1" x14ac:dyDescent="0.45">
      <c r="O311" s="54"/>
      <c r="P311" s="54"/>
      <c r="Q311" s="54"/>
    </row>
    <row r="312" spans="15:17" ht="21.75" customHeight="1" x14ac:dyDescent="0.45">
      <c r="O312" s="54"/>
      <c r="P312" s="54"/>
      <c r="Q312" s="54"/>
    </row>
    <row r="313" spans="15:17" ht="21.75" customHeight="1" x14ac:dyDescent="0.45">
      <c r="O313" s="54"/>
      <c r="P313" s="54"/>
      <c r="Q313" s="54"/>
    </row>
    <row r="314" spans="15:17" ht="21.75" customHeight="1" x14ac:dyDescent="0.45">
      <c r="O314" s="54"/>
      <c r="P314" s="54"/>
      <c r="Q314" s="54"/>
    </row>
    <row r="315" spans="15:17" ht="21.75" customHeight="1" x14ac:dyDescent="0.45">
      <c r="O315" s="54"/>
      <c r="P315" s="54"/>
      <c r="Q315" s="54"/>
    </row>
    <row r="316" spans="15:17" ht="21.75" customHeight="1" x14ac:dyDescent="0.45">
      <c r="O316" s="54"/>
      <c r="P316" s="54"/>
      <c r="Q316" s="54"/>
    </row>
    <row r="317" spans="15:17" ht="21.75" customHeight="1" x14ac:dyDescent="0.45">
      <c r="O317" s="54"/>
      <c r="P317" s="54"/>
      <c r="Q317" s="54"/>
    </row>
    <row r="318" spans="15:17" ht="21.75" customHeight="1" x14ac:dyDescent="0.45">
      <c r="O318" s="54"/>
      <c r="P318" s="54"/>
      <c r="Q318" s="54"/>
    </row>
    <row r="319" spans="15:17" ht="21.75" customHeight="1" x14ac:dyDescent="0.45">
      <c r="O319" s="54"/>
      <c r="P319" s="54"/>
      <c r="Q319" s="54"/>
    </row>
    <row r="320" spans="15:17" ht="21.75" customHeight="1" x14ac:dyDescent="0.45">
      <c r="O320" s="54"/>
      <c r="P320" s="54"/>
      <c r="Q320" s="54"/>
    </row>
    <row r="321" spans="15:17" ht="21.75" customHeight="1" x14ac:dyDescent="0.45">
      <c r="O321" s="54"/>
      <c r="P321" s="54"/>
      <c r="Q321" s="54"/>
    </row>
    <row r="322" spans="15:17" ht="21.75" customHeight="1" x14ac:dyDescent="0.45">
      <c r="O322" s="54"/>
      <c r="P322" s="54"/>
      <c r="Q322" s="54"/>
    </row>
    <row r="323" spans="15:17" ht="21.75" customHeight="1" x14ac:dyDescent="0.45">
      <c r="O323" s="54"/>
      <c r="P323" s="54"/>
      <c r="Q323" s="54"/>
    </row>
    <row r="324" spans="15:17" ht="21.75" customHeight="1" x14ac:dyDescent="0.45">
      <c r="O324" s="54"/>
      <c r="P324" s="54"/>
      <c r="Q324" s="54"/>
    </row>
    <row r="325" spans="15:17" ht="21.75" customHeight="1" x14ac:dyDescent="0.45">
      <c r="O325" s="54"/>
      <c r="P325" s="54"/>
      <c r="Q325" s="54"/>
    </row>
    <row r="326" spans="15:17" ht="21.75" customHeight="1" x14ac:dyDescent="0.45">
      <c r="O326" s="54"/>
      <c r="P326" s="54"/>
      <c r="Q326" s="54"/>
    </row>
    <row r="327" spans="15:17" ht="21.75" customHeight="1" x14ac:dyDescent="0.45">
      <c r="O327" s="54"/>
      <c r="P327" s="54"/>
      <c r="Q327" s="54"/>
    </row>
    <row r="328" spans="15:17" ht="21.75" customHeight="1" x14ac:dyDescent="0.45">
      <c r="O328" s="54"/>
      <c r="P328" s="54"/>
      <c r="Q328" s="54"/>
    </row>
    <row r="329" spans="15:17" ht="21.75" customHeight="1" x14ac:dyDescent="0.45">
      <c r="O329" s="54"/>
      <c r="P329" s="54"/>
      <c r="Q329" s="54"/>
    </row>
    <row r="330" spans="15:17" ht="21.75" customHeight="1" x14ac:dyDescent="0.45">
      <c r="O330" s="54"/>
      <c r="P330" s="54"/>
      <c r="Q330" s="54"/>
    </row>
    <row r="331" spans="15:17" ht="21.75" customHeight="1" x14ac:dyDescent="0.45">
      <c r="O331" s="54"/>
      <c r="P331" s="54"/>
      <c r="Q331" s="54"/>
    </row>
    <row r="332" spans="15:17" ht="21.75" customHeight="1" x14ac:dyDescent="0.45">
      <c r="O332" s="54"/>
      <c r="P332" s="54"/>
      <c r="Q332" s="54"/>
    </row>
    <row r="333" spans="15:17" ht="21.75" customHeight="1" x14ac:dyDescent="0.45">
      <c r="O333" s="54"/>
      <c r="P333" s="54"/>
      <c r="Q333" s="54"/>
    </row>
    <row r="334" spans="15:17" ht="21.75" customHeight="1" x14ac:dyDescent="0.45">
      <c r="O334" s="54"/>
      <c r="P334" s="54"/>
      <c r="Q334" s="54"/>
    </row>
    <row r="335" spans="15:17" ht="21.75" customHeight="1" x14ac:dyDescent="0.45">
      <c r="O335" s="54"/>
      <c r="P335" s="54"/>
      <c r="Q335" s="54"/>
    </row>
    <row r="336" spans="15:17" ht="21.75" customHeight="1" x14ac:dyDescent="0.45">
      <c r="O336" s="54"/>
      <c r="P336" s="54"/>
      <c r="Q336" s="54"/>
    </row>
    <row r="337" spans="15:17" ht="21.75" customHeight="1" x14ac:dyDescent="0.45">
      <c r="O337" s="54"/>
      <c r="P337" s="54"/>
      <c r="Q337" s="54"/>
    </row>
    <row r="338" spans="15:17" ht="21.75" customHeight="1" x14ac:dyDescent="0.45">
      <c r="O338" s="54"/>
      <c r="P338" s="54"/>
      <c r="Q338" s="54"/>
    </row>
    <row r="339" spans="15:17" ht="21.75" customHeight="1" x14ac:dyDescent="0.45">
      <c r="O339" s="54"/>
      <c r="P339" s="54"/>
      <c r="Q339" s="54"/>
    </row>
    <row r="340" spans="15:17" ht="21.75" customHeight="1" x14ac:dyDescent="0.45">
      <c r="O340" s="54"/>
      <c r="P340" s="54"/>
      <c r="Q340" s="54"/>
    </row>
    <row r="341" spans="15:17" ht="21.75" customHeight="1" x14ac:dyDescent="0.45">
      <c r="O341" s="54"/>
      <c r="P341" s="54"/>
      <c r="Q341" s="54"/>
    </row>
    <row r="342" spans="15:17" ht="21.75" customHeight="1" x14ac:dyDescent="0.45">
      <c r="O342" s="54"/>
      <c r="P342" s="54"/>
      <c r="Q342" s="54"/>
    </row>
    <row r="343" spans="15:17" ht="21.75" customHeight="1" x14ac:dyDescent="0.45">
      <c r="O343" s="54"/>
      <c r="P343" s="54"/>
      <c r="Q343" s="54"/>
    </row>
    <row r="344" spans="15:17" ht="21.75" customHeight="1" x14ac:dyDescent="0.45">
      <c r="O344" s="54"/>
      <c r="P344" s="54"/>
      <c r="Q344" s="54"/>
    </row>
    <row r="345" spans="15:17" ht="21.75" customHeight="1" x14ac:dyDescent="0.45">
      <c r="O345" s="54"/>
      <c r="P345" s="54"/>
      <c r="Q345" s="54"/>
    </row>
    <row r="346" spans="15:17" ht="21.75" customHeight="1" x14ac:dyDescent="0.45">
      <c r="O346" s="54"/>
      <c r="P346" s="54"/>
      <c r="Q346" s="54"/>
    </row>
    <row r="347" spans="15:17" ht="21.75" customHeight="1" x14ac:dyDescent="0.45">
      <c r="O347" s="54"/>
      <c r="P347" s="54"/>
      <c r="Q347" s="54"/>
    </row>
    <row r="348" spans="15:17" ht="21.75" customHeight="1" x14ac:dyDescent="0.45">
      <c r="O348" s="54"/>
      <c r="P348" s="54"/>
      <c r="Q348" s="54"/>
    </row>
    <row r="349" spans="15:17" ht="21.75" customHeight="1" x14ac:dyDescent="0.45">
      <c r="O349" s="54"/>
      <c r="P349" s="54"/>
      <c r="Q349" s="54"/>
    </row>
    <row r="350" spans="15:17" ht="21.75" customHeight="1" x14ac:dyDescent="0.45">
      <c r="O350" s="54"/>
      <c r="P350" s="54"/>
      <c r="Q350" s="54"/>
    </row>
    <row r="351" spans="15:17" ht="21.75" customHeight="1" x14ac:dyDescent="0.45">
      <c r="O351" s="54"/>
      <c r="P351" s="54"/>
      <c r="Q351" s="54"/>
    </row>
    <row r="352" spans="15:17" ht="21.75" customHeight="1" x14ac:dyDescent="0.45">
      <c r="O352" s="54"/>
      <c r="P352" s="54"/>
      <c r="Q352" s="54"/>
    </row>
    <row r="353" spans="15:17" ht="21.75" customHeight="1" x14ac:dyDescent="0.45">
      <c r="O353" s="54"/>
      <c r="P353" s="54"/>
      <c r="Q353" s="54"/>
    </row>
    <row r="354" spans="15:17" ht="21.75" customHeight="1" x14ac:dyDescent="0.45">
      <c r="O354" s="54"/>
      <c r="P354" s="54"/>
      <c r="Q354" s="54"/>
    </row>
    <row r="355" spans="15:17" ht="21.75" customHeight="1" x14ac:dyDescent="0.45">
      <c r="O355" s="54"/>
      <c r="P355" s="54"/>
      <c r="Q355" s="54"/>
    </row>
    <row r="356" spans="15:17" ht="21.75" customHeight="1" x14ac:dyDescent="0.45">
      <c r="O356" s="54"/>
      <c r="P356" s="54"/>
      <c r="Q356" s="54"/>
    </row>
    <row r="357" spans="15:17" ht="21.75" customHeight="1" x14ac:dyDescent="0.45">
      <c r="O357" s="54"/>
      <c r="P357" s="54"/>
      <c r="Q357" s="54"/>
    </row>
    <row r="358" spans="15:17" ht="21.75" customHeight="1" x14ac:dyDescent="0.45">
      <c r="O358" s="54"/>
      <c r="P358" s="54"/>
      <c r="Q358" s="54"/>
    </row>
    <row r="359" spans="15:17" ht="21.75" customHeight="1" x14ac:dyDescent="0.45">
      <c r="O359" s="54"/>
      <c r="P359" s="54"/>
      <c r="Q359" s="54"/>
    </row>
    <row r="360" spans="15:17" ht="21.75" customHeight="1" x14ac:dyDescent="0.45">
      <c r="O360" s="54"/>
      <c r="P360" s="54"/>
      <c r="Q360" s="54"/>
    </row>
    <row r="361" spans="15:17" ht="21.75" customHeight="1" x14ac:dyDescent="0.45">
      <c r="O361" s="54"/>
      <c r="P361" s="54"/>
      <c r="Q361" s="54"/>
    </row>
    <row r="362" spans="15:17" ht="21.75" customHeight="1" x14ac:dyDescent="0.45">
      <c r="O362" s="54"/>
      <c r="P362" s="54"/>
      <c r="Q362" s="54"/>
    </row>
    <row r="363" spans="15:17" ht="21.75" customHeight="1" x14ac:dyDescent="0.45">
      <c r="O363" s="54"/>
      <c r="P363" s="54"/>
      <c r="Q363" s="54"/>
    </row>
    <row r="364" spans="15:17" ht="21.75" customHeight="1" x14ac:dyDescent="0.45">
      <c r="O364" s="54"/>
      <c r="P364" s="54"/>
      <c r="Q364" s="54"/>
    </row>
    <row r="365" spans="15:17" ht="21.75" customHeight="1" x14ac:dyDescent="0.45">
      <c r="O365" s="54"/>
      <c r="P365" s="54"/>
      <c r="Q365" s="54"/>
    </row>
    <row r="366" spans="15:17" ht="21.75" customHeight="1" x14ac:dyDescent="0.45">
      <c r="O366" s="54"/>
      <c r="P366" s="54"/>
      <c r="Q366" s="54"/>
    </row>
    <row r="367" spans="15:17" ht="21.75" customHeight="1" x14ac:dyDescent="0.45">
      <c r="O367" s="54"/>
      <c r="P367" s="54"/>
      <c r="Q367" s="54"/>
    </row>
    <row r="368" spans="15:17" ht="21.75" customHeight="1" x14ac:dyDescent="0.45">
      <c r="O368" s="54"/>
      <c r="P368" s="54"/>
      <c r="Q368" s="54"/>
    </row>
    <row r="369" spans="15:17" ht="21.75" customHeight="1" x14ac:dyDescent="0.45">
      <c r="O369" s="54"/>
      <c r="P369" s="54"/>
      <c r="Q369" s="54"/>
    </row>
    <row r="370" spans="15:17" ht="21.75" customHeight="1" x14ac:dyDescent="0.45">
      <c r="O370" s="54"/>
      <c r="P370" s="54"/>
      <c r="Q370" s="54"/>
    </row>
    <row r="371" spans="15:17" ht="21.75" customHeight="1" x14ac:dyDescent="0.45">
      <c r="O371" s="54"/>
      <c r="P371" s="54"/>
      <c r="Q371" s="54"/>
    </row>
    <row r="372" spans="15:17" ht="21.75" customHeight="1" x14ac:dyDescent="0.45">
      <c r="O372" s="54"/>
      <c r="P372" s="54"/>
      <c r="Q372" s="54"/>
    </row>
    <row r="373" spans="15:17" ht="21.75" customHeight="1" x14ac:dyDescent="0.45">
      <c r="O373" s="54"/>
      <c r="P373" s="54"/>
      <c r="Q373" s="54"/>
    </row>
    <row r="374" spans="15:17" ht="21.75" customHeight="1" x14ac:dyDescent="0.45">
      <c r="O374" s="54"/>
      <c r="P374" s="54"/>
      <c r="Q374" s="54"/>
    </row>
    <row r="375" spans="15:17" ht="21.75" customHeight="1" x14ac:dyDescent="0.45">
      <c r="O375" s="54"/>
      <c r="P375" s="54"/>
      <c r="Q375" s="54"/>
    </row>
    <row r="376" spans="15:17" ht="21.75" customHeight="1" x14ac:dyDescent="0.45">
      <c r="O376" s="54"/>
      <c r="P376" s="54"/>
      <c r="Q376" s="54"/>
    </row>
    <row r="377" spans="15:17" ht="21.75" customHeight="1" x14ac:dyDescent="0.45">
      <c r="O377" s="54"/>
      <c r="P377" s="54"/>
      <c r="Q377" s="54"/>
    </row>
    <row r="378" spans="15:17" ht="21.75" customHeight="1" x14ac:dyDescent="0.45">
      <c r="O378" s="54"/>
      <c r="P378" s="54"/>
      <c r="Q378" s="54"/>
    </row>
    <row r="379" spans="15:17" ht="21.75" customHeight="1" x14ac:dyDescent="0.45">
      <c r="O379" s="54"/>
      <c r="P379" s="54"/>
      <c r="Q379" s="54"/>
    </row>
    <row r="380" spans="15:17" ht="21.75" customHeight="1" x14ac:dyDescent="0.45">
      <c r="O380" s="54"/>
      <c r="P380" s="54"/>
      <c r="Q380" s="54"/>
    </row>
    <row r="381" spans="15:17" ht="21.75" customHeight="1" x14ac:dyDescent="0.45">
      <c r="O381" s="54"/>
      <c r="P381" s="54"/>
      <c r="Q381" s="54"/>
    </row>
    <row r="382" spans="15:17" ht="21.75" customHeight="1" x14ac:dyDescent="0.45">
      <c r="O382" s="54"/>
      <c r="P382" s="54"/>
      <c r="Q382" s="54"/>
    </row>
    <row r="383" spans="15:17" ht="21.75" customHeight="1" x14ac:dyDescent="0.45">
      <c r="O383" s="54"/>
      <c r="P383" s="54"/>
      <c r="Q383" s="54"/>
    </row>
    <row r="384" spans="15:17" ht="21.75" customHeight="1" x14ac:dyDescent="0.45">
      <c r="O384" s="54"/>
      <c r="P384" s="54"/>
      <c r="Q384" s="54"/>
    </row>
    <row r="385" spans="15:17" ht="21.75" customHeight="1" x14ac:dyDescent="0.45">
      <c r="O385" s="54"/>
      <c r="P385" s="54"/>
      <c r="Q385" s="54"/>
    </row>
    <row r="386" spans="15:17" ht="21.75" customHeight="1" x14ac:dyDescent="0.45">
      <c r="O386" s="54"/>
      <c r="P386" s="54"/>
      <c r="Q386" s="54"/>
    </row>
    <row r="387" spans="15:17" ht="21.75" customHeight="1" x14ac:dyDescent="0.45">
      <c r="O387" s="54"/>
      <c r="P387" s="54"/>
      <c r="Q387" s="54"/>
    </row>
    <row r="388" spans="15:17" ht="21.75" customHeight="1" x14ac:dyDescent="0.45">
      <c r="O388" s="54"/>
      <c r="P388" s="54"/>
      <c r="Q388" s="54"/>
    </row>
    <row r="389" spans="15:17" ht="21.75" customHeight="1" x14ac:dyDescent="0.45">
      <c r="O389" s="54"/>
      <c r="P389" s="54"/>
      <c r="Q389" s="54"/>
    </row>
    <row r="390" spans="15:17" ht="21.75" customHeight="1" x14ac:dyDescent="0.45">
      <c r="O390" s="54"/>
      <c r="P390" s="54"/>
      <c r="Q390" s="54"/>
    </row>
    <row r="391" spans="15:17" ht="21.75" customHeight="1" x14ac:dyDescent="0.45">
      <c r="O391" s="54"/>
      <c r="P391" s="54"/>
      <c r="Q391" s="54"/>
    </row>
    <row r="392" spans="15:17" ht="21.75" customHeight="1" x14ac:dyDescent="0.45">
      <c r="O392" s="54"/>
      <c r="P392" s="54"/>
      <c r="Q392" s="54"/>
    </row>
    <row r="393" spans="15:17" ht="21.75" customHeight="1" x14ac:dyDescent="0.45">
      <c r="O393" s="54"/>
      <c r="P393" s="54"/>
      <c r="Q393" s="54"/>
    </row>
    <row r="394" spans="15:17" ht="21.75" customHeight="1" x14ac:dyDescent="0.45">
      <c r="O394" s="54"/>
      <c r="P394" s="54"/>
      <c r="Q394" s="54"/>
    </row>
    <row r="395" spans="15:17" ht="21.75" customHeight="1" x14ac:dyDescent="0.45">
      <c r="O395" s="54"/>
      <c r="P395" s="54"/>
      <c r="Q395" s="54"/>
    </row>
    <row r="396" spans="15:17" ht="21.75" customHeight="1" x14ac:dyDescent="0.45">
      <c r="O396" s="54"/>
      <c r="P396" s="54"/>
      <c r="Q396" s="54"/>
    </row>
    <row r="397" spans="15:17" ht="21.75" customHeight="1" x14ac:dyDescent="0.45">
      <c r="O397" s="54"/>
      <c r="P397" s="54"/>
      <c r="Q397" s="54"/>
    </row>
    <row r="398" spans="15:17" ht="21.75" customHeight="1" x14ac:dyDescent="0.45">
      <c r="O398" s="54"/>
      <c r="P398" s="54"/>
      <c r="Q398" s="54"/>
    </row>
    <row r="399" spans="15:17" ht="21.75" customHeight="1" x14ac:dyDescent="0.45">
      <c r="O399" s="54"/>
      <c r="P399" s="54"/>
      <c r="Q399" s="54"/>
    </row>
    <row r="400" spans="15:17" ht="21.75" customHeight="1" x14ac:dyDescent="0.45">
      <c r="O400" s="54"/>
      <c r="P400" s="54"/>
      <c r="Q400" s="54"/>
    </row>
    <row r="401" spans="15:17" ht="21.75" customHeight="1" x14ac:dyDescent="0.45">
      <c r="O401" s="54"/>
      <c r="P401" s="54"/>
      <c r="Q401" s="54"/>
    </row>
    <row r="402" spans="15:17" ht="21.75" customHeight="1" x14ac:dyDescent="0.45">
      <c r="O402" s="54"/>
      <c r="P402" s="54"/>
      <c r="Q402" s="54"/>
    </row>
    <row r="403" spans="15:17" ht="21.75" customHeight="1" x14ac:dyDescent="0.45">
      <c r="O403" s="54"/>
      <c r="P403" s="54"/>
      <c r="Q403" s="54"/>
    </row>
    <row r="404" spans="15:17" ht="21.75" customHeight="1" x14ac:dyDescent="0.45">
      <c r="O404" s="54"/>
      <c r="P404" s="54"/>
      <c r="Q404" s="54"/>
    </row>
    <row r="405" spans="15:17" ht="21.75" customHeight="1" x14ac:dyDescent="0.45">
      <c r="O405" s="54"/>
      <c r="P405" s="54"/>
      <c r="Q405" s="54"/>
    </row>
    <row r="406" spans="15:17" ht="21.75" customHeight="1" x14ac:dyDescent="0.45">
      <c r="O406" s="54"/>
      <c r="P406" s="54"/>
      <c r="Q406" s="54"/>
    </row>
    <row r="407" spans="15:17" ht="21.75" customHeight="1" x14ac:dyDescent="0.45">
      <c r="O407" s="54"/>
      <c r="P407" s="54"/>
      <c r="Q407" s="54"/>
    </row>
    <row r="408" spans="15:17" ht="21.75" customHeight="1" x14ac:dyDescent="0.45">
      <c r="O408" s="54"/>
      <c r="P408" s="54"/>
      <c r="Q408" s="54"/>
    </row>
    <row r="409" spans="15:17" ht="21.75" customHeight="1" x14ac:dyDescent="0.45">
      <c r="O409" s="54"/>
      <c r="P409" s="54"/>
      <c r="Q409" s="54"/>
    </row>
    <row r="410" spans="15:17" ht="21.75" customHeight="1" x14ac:dyDescent="0.45">
      <c r="O410" s="54"/>
      <c r="P410" s="54"/>
      <c r="Q410" s="54"/>
    </row>
    <row r="411" spans="15:17" ht="21.75" customHeight="1" x14ac:dyDescent="0.45">
      <c r="O411" s="54"/>
      <c r="P411" s="54"/>
      <c r="Q411" s="54"/>
    </row>
    <row r="412" spans="15:17" ht="21.75" customHeight="1" x14ac:dyDescent="0.45">
      <c r="O412" s="54"/>
      <c r="P412" s="54"/>
      <c r="Q412" s="54"/>
    </row>
    <row r="413" spans="15:17" ht="21.75" customHeight="1" x14ac:dyDescent="0.45">
      <c r="O413" s="54"/>
      <c r="P413" s="54"/>
      <c r="Q413" s="54"/>
    </row>
    <row r="414" spans="15:17" ht="21.75" customHeight="1" x14ac:dyDescent="0.45">
      <c r="O414" s="54"/>
      <c r="P414" s="54"/>
      <c r="Q414" s="54"/>
    </row>
    <row r="415" spans="15:17" ht="21.75" customHeight="1" x14ac:dyDescent="0.45">
      <c r="O415" s="54"/>
      <c r="P415" s="54"/>
      <c r="Q415" s="54"/>
    </row>
    <row r="416" spans="15:17" ht="21.75" customHeight="1" x14ac:dyDescent="0.45">
      <c r="O416" s="54"/>
      <c r="P416" s="54"/>
      <c r="Q416" s="54"/>
    </row>
    <row r="417" spans="15:17" ht="21.75" customHeight="1" x14ac:dyDescent="0.45">
      <c r="O417" s="54"/>
      <c r="P417" s="54"/>
      <c r="Q417" s="54"/>
    </row>
    <row r="418" spans="15:17" ht="21.75" customHeight="1" x14ac:dyDescent="0.45">
      <c r="O418" s="54"/>
      <c r="P418" s="54"/>
      <c r="Q418" s="54"/>
    </row>
    <row r="419" spans="15:17" ht="21.75" customHeight="1" x14ac:dyDescent="0.45">
      <c r="O419" s="54"/>
      <c r="P419" s="54"/>
      <c r="Q419" s="54"/>
    </row>
    <row r="420" spans="15:17" ht="21.75" customHeight="1" x14ac:dyDescent="0.45">
      <c r="O420" s="54"/>
      <c r="P420" s="54"/>
      <c r="Q420" s="54"/>
    </row>
    <row r="421" spans="15:17" ht="21.75" customHeight="1" x14ac:dyDescent="0.45">
      <c r="O421" s="54"/>
      <c r="P421" s="54"/>
      <c r="Q421" s="54"/>
    </row>
    <row r="422" spans="15:17" ht="21.75" customHeight="1" x14ac:dyDescent="0.45">
      <c r="O422" s="54"/>
      <c r="P422" s="54"/>
      <c r="Q422" s="54"/>
    </row>
    <row r="423" spans="15:17" ht="21.75" customHeight="1" x14ac:dyDescent="0.45">
      <c r="O423" s="54"/>
      <c r="P423" s="54"/>
      <c r="Q423" s="54"/>
    </row>
    <row r="424" spans="15:17" ht="21.75" customHeight="1" x14ac:dyDescent="0.45">
      <c r="O424" s="54"/>
      <c r="P424" s="54"/>
      <c r="Q424" s="54"/>
    </row>
    <row r="425" spans="15:17" ht="21.75" customHeight="1" x14ac:dyDescent="0.45">
      <c r="O425" s="54"/>
      <c r="P425" s="54"/>
      <c r="Q425" s="54"/>
    </row>
    <row r="426" spans="15:17" ht="21.75" customHeight="1" x14ac:dyDescent="0.45">
      <c r="O426" s="54"/>
      <c r="P426" s="54"/>
      <c r="Q426" s="54"/>
    </row>
    <row r="427" spans="15:17" ht="21.75" customHeight="1" x14ac:dyDescent="0.45">
      <c r="O427" s="54"/>
      <c r="P427" s="54"/>
      <c r="Q427" s="54"/>
    </row>
    <row r="428" spans="15:17" ht="21.75" customHeight="1" x14ac:dyDescent="0.45">
      <c r="O428" s="54"/>
      <c r="P428" s="54"/>
      <c r="Q428" s="54"/>
    </row>
    <row r="429" spans="15:17" ht="21.75" customHeight="1" x14ac:dyDescent="0.45">
      <c r="O429" s="54"/>
      <c r="P429" s="54"/>
      <c r="Q429" s="54"/>
    </row>
    <row r="430" spans="15:17" ht="21.75" customHeight="1" x14ac:dyDescent="0.45">
      <c r="O430" s="54"/>
      <c r="P430" s="54"/>
      <c r="Q430" s="54"/>
    </row>
    <row r="431" spans="15:17" ht="21.75" customHeight="1" x14ac:dyDescent="0.45">
      <c r="O431" s="54"/>
      <c r="P431" s="54"/>
      <c r="Q431" s="54"/>
    </row>
    <row r="432" spans="15:17" ht="21.75" customHeight="1" x14ac:dyDescent="0.45">
      <c r="O432" s="54"/>
      <c r="P432" s="54"/>
      <c r="Q432" s="54"/>
    </row>
    <row r="433" spans="15:17" ht="21.75" customHeight="1" x14ac:dyDescent="0.45">
      <c r="O433" s="54"/>
      <c r="P433" s="54"/>
      <c r="Q433" s="54"/>
    </row>
    <row r="434" spans="15:17" ht="21.75" customHeight="1" x14ac:dyDescent="0.45">
      <c r="O434" s="54"/>
      <c r="P434" s="54"/>
      <c r="Q434" s="54"/>
    </row>
    <row r="435" spans="15:17" ht="21.75" customHeight="1" x14ac:dyDescent="0.45">
      <c r="O435" s="54"/>
      <c r="P435" s="54"/>
      <c r="Q435" s="54"/>
    </row>
    <row r="436" spans="15:17" ht="21.75" customHeight="1" x14ac:dyDescent="0.45">
      <c r="O436" s="54"/>
      <c r="P436" s="54"/>
      <c r="Q436" s="54"/>
    </row>
    <row r="437" spans="15:17" ht="21.75" customHeight="1" x14ac:dyDescent="0.45">
      <c r="O437" s="54"/>
      <c r="P437" s="54"/>
      <c r="Q437" s="54"/>
    </row>
    <row r="438" spans="15:17" ht="21.75" customHeight="1" x14ac:dyDescent="0.45">
      <c r="O438" s="54"/>
      <c r="P438" s="54"/>
      <c r="Q438" s="54"/>
    </row>
    <row r="439" spans="15:17" ht="21.75" customHeight="1" x14ac:dyDescent="0.45">
      <c r="O439" s="54"/>
      <c r="P439" s="54"/>
      <c r="Q439" s="54"/>
    </row>
    <row r="440" spans="15:17" ht="21.75" customHeight="1" x14ac:dyDescent="0.45">
      <c r="O440" s="54"/>
      <c r="P440" s="54"/>
      <c r="Q440" s="54"/>
    </row>
    <row r="441" spans="15:17" ht="21.75" customHeight="1" x14ac:dyDescent="0.45">
      <c r="O441" s="54"/>
      <c r="P441" s="54"/>
      <c r="Q441" s="54"/>
    </row>
    <row r="442" spans="15:17" ht="21.75" customHeight="1" x14ac:dyDescent="0.45">
      <c r="O442" s="54"/>
      <c r="P442" s="54"/>
      <c r="Q442" s="54"/>
    </row>
    <row r="443" spans="15:17" ht="21.75" customHeight="1" x14ac:dyDescent="0.45">
      <c r="O443" s="54"/>
      <c r="P443" s="54"/>
      <c r="Q443" s="54"/>
    </row>
    <row r="444" spans="15:17" ht="21.75" customHeight="1" x14ac:dyDescent="0.45">
      <c r="O444" s="54"/>
      <c r="P444" s="54"/>
      <c r="Q444" s="54"/>
    </row>
    <row r="445" spans="15:17" ht="21.75" customHeight="1" x14ac:dyDescent="0.45">
      <c r="O445" s="54"/>
      <c r="P445" s="54"/>
      <c r="Q445" s="54"/>
    </row>
    <row r="446" spans="15:17" ht="21.75" customHeight="1" x14ac:dyDescent="0.45">
      <c r="O446" s="54"/>
      <c r="P446" s="54"/>
      <c r="Q446" s="54"/>
    </row>
    <row r="447" spans="15:17" ht="21.75" customHeight="1" x14ac:dyDescent="0.45">
      <c r="O447" s="54"/>
      <c r="P447" s="54"/>
      <c r="Q447" s="54"/>
    </row>
    <row r="448" spans="15:17" ht="21.75" customHeight="1" x14ac:dyDescent="0.45">
      <c r="O448" s="54"/>
      <c r="P448" s="54"/>
      <c r="Q448" s="54"/>
    </row>
    <row r="449" spans="15:17" ht="21.75" customHeight="1" x14ac:dyDescent="0.45">
      <c r="O449" s="54"/>
      <c r="P449" s="54"/>
      <c r="Q449" s="54"/>
    </row>
    <row r="450" spans="15:17" ht="21.75" customHeight="1" x14ac:dyDescent="0.45">
      <c r="O450" s="54"/>
      <c r="P450" s="54"/>
      <c r="Q450" s="54"/>
    </row>
    <row r="451" spans="15:17" ht="21.75" customHeight="1" x14ac:dyDescent="0.45">
      <c r="O451" s="54"/>
      <c r="P451" s="54"/>
      <c r="Q451" s="54"/>
    </row>
    <row r="452" spans="15:17" ht="21.75" customHeight="1" x14ac:dyDescent="0.45">
      <c r="O452" s="54"/>
      <c r="P452" s="54"/>
      <c r="Q452" s="54"/>
    </row>
    <row r="453" spans="15:17" ht="21.75" customHeight="1" x14ac:dyDescent="0.45">
      <c r="O453" s="54"/>
      <c r="P453" s="54"/>
      <c r="Q453" s="54"/>
    </row>
    <row r="454" spans="15:17" ht="21.75" customHeight="1" x14ac:dyDescent="0.45">
      <c r="O454" s="54"/>
      <c r="P454" s="54"/>
      <c r="Q454" s="54"/>
    </row>
    <row r="455" spans="15:17" ht="21.75" customHeight="1" x14ac:dyDescent="0.45">
      <c r="O455" s="54"/>
      <c r="P455" s="54"/>
      <c r="Q455" s="54"/>
    </row>
    <row r="456" spans="15:17" ht="21.75" customHeight="1" x14ac:dyDescent="0.45">
      <c r="O456" s="54"/>
      <c r="P456" s="54"/>
      <c r="Q456" s="54"/>
    </row>
    <row r="457" spans="15:17" ht="21.75" customHeight="1" x14ac:dyDescent="0.45">
      <c r="O457" s="54"/>
      <c r="P457" s="54"/>
      <c r="Q457" s="54"/>
    </row>
    <row r="458" spans="15:17" ht="21.75" customHeight="1" x14ac:dyDescent="0.45">
      <c r="O458" s="54"/>
      <c r="P458" s="54"/>
      <c r="Q458" s="54"/>
    </row>
    <row r="459" spans="15:17" ht="21.75" customHeight="1" x14ac:dyDescent="0.45">
      <c r="O459" s="54"/>
      <c r="P459" s="54"/>
      <c r="Q459" s="54"/>
    </row>
    <row r="460" spans="15:17" ht="21.75" customHeight="1" x14ac:dyDescent="0.45">
      <c r="O460" s="54"/>
      <c r="P460" s="54"/>
      <c r="Q460" s="54"/>
    </row>
    <row r="461" spans="15:17" ht="21.75" customHeight="1" x14ac:dyDescent="0.45">
      <c r="O461" s="54"/>
      <c r="P461" s="54"/>
      <c r="Q461" s="54"/>
    </row>
    <row r="462" spans="15:17" ht="21.75" customHeight="1" x14ac:dyDescent="0.45">
      <c r="O462" s="54"/>
      <c r="P462" s="54"/>
      <c r="Q462" s="54"/>
    </row>
    <row r="463" spans="15:17" ht="21.75" customHeight="1" x14ac:dyDescent="0.45">
      <c r="O463" s="54"/>
      <c r="P463" s="54"/>
      <c r="Q463" s="54"/>
    </row>
    <row r="464" spans="15:17" ht="21.75" customHeight="1" x14ac:dyDescent="0.45">
      <c r="O464" s="54"/>
      <c r="P464" s="54"/>
      <c r="Q464" s="54"/>
    </row>
    <row r="465" spans="15:17" ht="21.75" customHeight="1" x14ac:dyDescent="0.45">
      <c r="O465" s="54"/>
      <c r="P465" s="54"/>
      <c r="Q465" s="54"/>
    </row>
    <row r="466" spans="15:17" ht="21.75" customHeight="1" x14ac:dyDescent="0.45">
      <c r="O466" s="54"/>
      <c r="P466" s="54"/>
      <c r="Q466" s="54"/>
    </row>
    <row r="467" spans="15:17" ht="21.75" customHeight="1" x14ac:dyDescent="0.45">
      <c r="O467" s="54"/>
      <c r="P467" s="54"/>
      <c r="Q467" s="54"/>
    </row>
    <row r="468" spans="15:17" ht="21.75" customHeight="1" x14ac:dyDescent="0.45">
      <c r="O468" s="54"/>
      <c r="P468" s="54"/>
      <c r="Q468" s="54"/>
    </row>
    <row r="469" spans="15:17" ht="21.75" customHeight="1" x14ac:dyDescent="0.45">
      <c r="O469" s="54"/>
      <c r="P469" s="54"/>
      <c r="Q469" s="54"/>
    </row>
    <row r="470" spans="15:17" ht="21.75" customHeight="1" x14ac:dyDescent="0.45">
      <c r="O470" s="54"/>
      <c r="P470" s="54"/>
      <c r="Q470" s="54"/>
    </row>
    <row r="471" spans="15:17" ht="21.75" customHeight="1" x14ac:dyDescent="0.45">
      <c r="O471" s="54"/>
      <c r="P471" s="54"/>
      <c r="Q471" s="54"/>
    </row>
    <row r="472" spans="15:17" ht="21.75" customHeight="1" x14ac:dyDescent="0.45">
      <c r="O472" s="54"/>
      <c r="P472" s="54"/>
      <c r="Q472" s="54"/>
    </row>
    <row r="473" spans="15:17" ht="21.75" customHeight="1" x14ac:dyDescent="0.45">
      <c r="O473" s="54"/>
      <c r="P473" s="54"/>
      <c r="Q473" s="54"/>
    </row>
    <row r="474" spans="15:17" ht="21.75" customHeight="1" x14ac:dyDescent="0.45">
      <c r="O474" s="54"/>
      <c r="P474" s="54"/>
      <c r="Q474" s="54"/>
    </row>
    <row r="475" spans="15:17" ht="21.75" customHeight="1" x14ac:dyDescent="0.45">
      <c r="O475" s="54"/>
      <c r="P475" s="54"/>
      <c r="Q475" s="54"/>
    </row>
    <row r="476" spans="15:17" ht="21.75" customHeight="1" x14ac:dyDescent="0.45">
      <c r="O476" s="54"/>
      <c r="P476" s="54"/>
      <c r="Q476" s="54"/>
    </row>
    <row r="477" spans="15:17" ht="21.75" customHeight="1" x14ac:dyDescent="0.45">
      <c r="O477" s="54"/>
      <c r="P477" s="54"/>
      <c r="Q477" s="54"/>
    </row>
    <row r="478" spans="15:17" ht="21.75" customHeight="1" x14ac:dyDescent="0.45">
      <c r="O478" s="54"/>
      <c r="P478" s="54"/>
      <c r="Q478" s="54"/>
    </row>
    <row r="479" spans="15:17" ht="21.75" customHeight="1" x14ac:dyDescent="0.45">
      <c r="O479" s="54"/>
      <c r="P479" s="54"/>
      <c r="Q479" s="54"/>
    </row>
    <row r="480" spans="15:17" ht="21.75" customHeight="1" x14ac:dyDescent="0.45">
      <c r="O480" s="54"/>
      <c r="P480" s="54"/>
      <c r="Q480" s="54"/>
    </row>
    <row r="481" spans="15:17" ht="21.75" customHeight="1" x14ac:dyDescent="0.45">
      <c r="O481" s="54"/>
      <c r="P481" s="54"/>
      <c r="Q481" s="54"/>
    </row>
    <row r="482" spans="15:17" ht="21.75" customHeight="1" x14ac:dyDescent="0.45">
      <c r="O482" s="54"/>
      <c r="P482" s="54"/>
      <c r="Q482" s="54"/>
    </row>
    <row r="483" spans="15:17" ht="21.75" customHeight="1" x14ac:dyDescent="0.45">
      <c r="O483" s="54"/>
      <c r="P483" s="54"/>
      <c r="Q483" s="54"/>
    </row>
    <row r="484" spans="15:17" ht="21.75" customHeight="1" x14ac:dyDescent="0.45">
      <c r="O484" s="54"/>
      <c r="P484" s="54"/>
      <c r="Q484" s="54"/>
    </row>
    <row r="485" spans="15:17" ht="21.75" customHeight="1" x14ac:dyDescent="0.45">
      <c r="O485" s="54"/>
      <c r="P485" s="54"/>
      <c r="Q485" s="54"/>
    </row>
    <row r="486" spans="15:17" ht="21.75" customHeight="1" x14ac:dyDescent="0.45">
      <c r="O486" s="54"/>
      <c r="P486" s="54"/>
      <c r="Q486" s="54"/>
    </row>
    <row r="487" spans="15:17" ht="21.75" customHeight="1" x14ac:dyDescent="0.45">
      <c r="O487" s="54"/>
      <c r="P487" s="54"/>
      <c r="Q487" s="54"/>
    </row>
    <row r="488" spans="15:17" ht="21.75" customHeight="1" x14ac:dyDescent="0.45">
      <c r="O488" s="54"/>
      <c r="P488" s="54"/>
      <c r="Q488" s="54"/>
    </row>
    <row r="489" spans="15:17" ht="21.75" customHeight="1" x14ac:dyDescent="0.45">
      <c r="O489" s="54"/>
      <c r="P489" s="54"/>
      <c r="Q489" s="54"/>
    </row>
    <row r="490" spans="15:17" ht="21.75" customHeight="1" x14ac:dyDescent="0.45">
      <c r="O490" s="54"/>
      <c r="P490" s="54"/>
      <c r="Q490" s="54"/>
    </row>
    <row r="491" spans="15:17" ht="21.75" customHeight="1" x14ac:dyDescent="0.45">
      <c r="O491" s="54"/>
      <c r="P491" s="54"/>
      <c r="Q491" s="54"/>
    </row>
    <row r="492" spans="15:17" ht="21.75" customHeight="1" x14ac:dyDescent="0.45">
      <c r="O492" s="54"/>
      <c r="P492" s="54"/>
      <c r="Q492" s="54"/>
    </row>
    <row r="493" spans="15:17" ht="21.75" customHeight="1" x14ac:dyDescent="0.45">
      <c r="O493" s="54"/>
      <c r="P493" s="54"/>
      <c r="Q493" s="54"/>
    </row>
    <row r="494" spans="15:17" ht="21.75" customHeight="1" x14ac:dyDescent="0.45">
      <c r="O494" s="54"/>
      <c r="P494" s="54"/>
      <c r="Q494" s="54"/>
    </row>
    <row r="495" spans="15:17" ht="21.75" customHeight="1" x14ac:dyDescent="0.45">
      <c r="O495" s="54"/>
      <c r="P495" s="54"/>
      <c r="Q495" s="54"/>
    </row>
    <row r="496" spans="15:17" ht="21.75" customHeight="1" x14ac:dyDescent="0.45">
      <c r="O496" s="54"/>
      <c r="P496" s="54"/>
      <c r="Q496" s="54"/>
    </row>
    <row r="497" spans="15:17" ht="21.75" customHeight="1" x14ac:dyDescent="0.45">
      <c r="O497" s="54"/>
      <c r="P497" s="54"/>
      <c r="Q497" s="54"/>
    </row>
    <row r="498" spans="15:17" ht="21.75" customHeight="1" x14ac:dyDescent="0.45">
      <c r="O498" s="54"/>
      <c r="P498" s="54"/>
      <c r="Q498" s="54"/>
    </row>
    <row r="499" spans="15:17" ht="21.75" customHeight="1" x14ac:dyDescent="0.45">
      <c r="O499" s="54"/>
      <c r="P499" s="54"/>
      <c r="Q499" s="54"/>
    </row>
    <row r="500" spans="15:17" ht="21.75" customHeight="1" x14ac:dyDescent="0.45">
      <c r="O500" s="54"/>
      <c r="P500" s="54"/>
      <c r="Q500" s="54"/>
    </row>
    <row r="501" spans="15:17" ht="21.75" customHeight="1" x14ac:dyDescent="0.45">
      <c r="O501" s="54"/>
      <c r="P501" s="54"/>
      <c r="Q501" s="54"/>
    </row>
    <row r="502" spans="15:17" ht="21.75" customHeight="1" x14ac:dyDescent="0.45">
      <c r="O502" s="54"/>
      <c r="P502" s="54"/>
      <c r="Q502" s="54"/>
    </row>
    <row r="503" spans="15:17" ht="21.75" customHeight="1" x14ac:dyDescent="0.45">
      <c r="O503" s="54"/>
      <c r="P503" s="54"/>
      <c r="Q503" s="54"/>
    </row>
    <row r="504" spans="15:17" ht="21.75" customHeight="1" x14ac:dyDescent="0.45">
      <c r="O504" s="54"/>
      <c r="P504" s="54"/>
      <c r="Q504" s="54"/>
    </row>
    <row r="505" spans="15:17" ht="21.75" customHeight="1" x14ac:dyDescent="0.45">
      <c r="O505" s="54"/>
      <c r="P505" s="54"/>
      <c r="Q505" s="54"/>
    </row>
    <row r="506" spans="15:17" ht="21.75" customHeight="1" x14ac:dyDescent="0.45">
      <c r="O506" s="54"/>
      <c r="P506" s="54"/>
      <c r="Q506" s="54"/>
    </row>
    <row r="507" spans="15:17" ht="21.75" customHeight="1" x14ac:dyDescent="0.45">
      <c r="O507" s="54"/>
      <c r="P507" s="54"/>
      <c r="Q507" s="54"/>
    </row>
    <row r="508" spans="15:17" ht="21.75" customHeight="1" x14ac:dyDescent="0.45">
      <c r="O508" s="54"/>
      <c r="P508" s="54"/>
      <c r="Q508" s="54"/>
    </row>
    <row r="509" spans="15:17" ht="21.75" customHeight="1" x14ac:dyDescent="0.45">
      <c r="O509" s="54"/>
      <c r="P509" s="54"/>
      <c r="Q509" s="54"/>
    </row>
    <row r="510" spans="15:17" ht="21.75" customHeight="1" x14ac:dyDescent="0.45">
      <c r="O510" s="54"/>
      <c r="P510" s="54"/>
      <c r="Q510" s="54"/>
    </row>
    <row r="511" spans="15:17" ht="21.75" customHeight="1" x14ac:dyDescent="0.45">
      <c r="O511" s="54"/>
      <c r="P511" s="54"/>
      <c r="Q511" s="54"/>
    </row>
    <row r="512" spans="15:17" ht="21.75" customHeight="1" x14ac:dyDescent="0.45">
      <c r="O512" s="54"/>
      <c r="P512" s="54"/>
      <c r="Q512" s="54"/>
    </row>
    <row r="513" spans="15:17" ht="21.75" customHeight="1" x14ac:dyDescent="0.45">
      <c r="O513" s="54"/>
      <c r="P513" s="54"/>
      <c r="Q513" s="54"/>
    </row>
    <row r="514" spans="15:17" ht="21.75" customHeight="1" x14ac:dyDescent="0.45">
      <c r="O514" s="54"/>
      <c r="P514" s="54"/>
      <c r="Q514" s="54"/>
    </row>
    <row r="515" spans="15:17" ht="21.75" customHeight="1" x14ac:dyDescent="0.45">
      <c r="O515" s="54"/>
      <c r="P515" s="54"/>
      <c r="Q515" s="54"/>
    </row>
    <row r="516" spans="15:17" ht="21.75" customHeight="1" x14ac:dyDescent="0.45">
      <c r="O516" s="54"/>
      <c r="P516" s="54"/>
      <c r="Q516" s="54"/>
    </row>
    <row r="517" spans="15:17" ht="21.75" customHeight="1" x14ac:dyDescent="0.45">
      <c r="O517" s="54"/>
      <c r="P517" s="54"/>
      <c r="Q517" s="54"/>
    </row>
    <row r="518" spans="15:17" ht="21.75" customHeight="1" x14ac:dyDescent="0.45">
      <c r="O518" s="54"/>
      <c r="P518" s="54"/>
      <c r="Q518" s="54"/>
    </row>
    <row r="519" spans="15:17" ht="21.75" customHeight="1" x14ac:dyDescent="0.45">
      <c r="O519" s="54"/>
      <c r="P519" s="54"/>
      <c r="Q519" s="54"/>
    </row>
    <row r="520" spans="15:17" ht="21.75" customHeight="1" x14ac:dyDescent="0.45">
      <c r="O520" s="54"/>
      <c r="P520" s="54"/>
      <c r="Q520" s="54"/>
    </row>
    <row r="521" spans="15:17" ht="21.75" customHeight="1" x14ac:dyDescent="0.45">
      <c r="O521" s="54"/>
      <c r="P521" s="54"/>
      <c r="Q521" s="54"/>
    </row>
    <row r="522" spans="15:17" ht="21.75" customHeight="1" x14ac:dyDescent="0.45">
      <c r="O522" s="54"/>
      <c r="P522" s="54"/>
      <c r="Q522" s="54"/>
    </row>
    <row r="523" spans="15:17" ht="21.75" customHeight="1" x14ac:dyDescent="0.45">
      <c r="O523" s="54"/>
      <c r="P523" s="54"/>
      <c r="Q523" s="54"/>
    </row>
    <row r="524" spans="15:17" ht="21.75" customHeight="1" x14ac:dyDescent="0.45">
      <c r="O524" s="54"/>
      <c r="P524" s="54"/>
      <c r="Q524" s="54"/>
    </row>
    <row r="525" spans="15:17" ht="21.75" customHeight="1" x14ac:dyDescent="0.45">
      <c r="O525" s="54"/>
      <c r="P525" s="54"/>
      <c r="Q525" s="54"/>
    </row>
    <row r="526" spans="15:17" ht="21.75" customHeight="1" x14ac:dyDescent="0.45">
      <c r="O526" s="54"/>
      <c r="P526" s="54"/>
      <c r="Q526" s="54"/>
    </row>
    <row r="527" spans="15:17" ht="21.75" customHeight="1" x14ac:dyDescent="0.45">
      <c r="O527" s="54"/>
      <c r="P527" s="54"/>
      <c r="Q527" s="54"/>
    </row>
    <row r="528" spans="15:17" ht="21.75" customHeight="1" x14ac:dyDescent="0.45">
      <c r="O528" s="54"/>
      <c r="P528" s="54"/>
      <c r="Q528" s="54"/>
    </row>
    <row r="529" spans="15:17" ht="21.75" customHeight="1" x14ac:dyDescent="0.45">
      <c r="O529" s="54"/>
      <c r="P529" s="54"/>
      <c r="Q529" s="54"/>
    </row>
    <row r="530" spans="15:17" ht="21.75" customHeight="1" x14ac:dyDescent="0.45">
      <c r="O530" s="54"/>
      <c r="P530" s="54"/>
      <c r="Q530" s="54"/>
    </row>
    <row r="531" spans="15:17" ht="21.75" customHeight="1" x14ac:dyDescent="0.45">
      <c r="O531" s="54"/>
      <c r="P531" s="54"/>
      <c r="Q531" s="54"/>
    </row>
    <row r="532" spans="15:17" ht="21.75" customHeight="1" x14ac:dyDescent="0.45">
      <c r="O532" s="54"/>
      <c r="P532" s="54"/>
      <c r="Q532" s="54"/>
    </row>
    <row r="533" spans="15:17" ht="21.75" customHeight="1" x14ac:dyDescent="0.45">
      <c r="O533" s="54"/>
      <c r="P533" s="54"/>
      <c r="Q533" s="54"/>
    </row>
    <row r="534" spans="15:17" ht="21.75" customHeight="1" x14ac:dyDescent="0.45">
      <c r="O534" s="54"/>
      <c r="P534" s="54"/>
      <c r="Q534" s="54"/>
    </row>
    <row r="535" spans="15:17" ht="21.75" customHeight="1" x14ac:dyDescent="0.45">
      <c r="O535" s="54"/>
      <c r="P535" s="54"/>
      <c r="Q535" s="54"/>
    </row>
    <row r="536" spans="15:17" ht="21.75" customHeight="1" x14ac:dyDescent="0.45">
      <c r="O536" s="54"/>
      <c r="P536" s="54"/>
      <c r="Q536" s="54"/>
    </row>
    <row r="537" spans="15:17" ht="21.75" customHeight="1" x14ac:dyDescent="0.45">
      <c r="O537" s="54"/>
      <c r="P537" s="54"/>
      <c r="Q537" s="54"/>
    </row>
    <row r="538" spans="15:17" ht="21.75" customHeight="1" x14ac:dyDescent="0.45">
      <c r="O538" s="54"/>
      <c r="P538" s="54"/>
      <c r="Q538" s="54"/>
    </row>
    <row r="539" spans="15:17" ht="21.75" customHeight="1" x14ac:dyDescent="0.45">
      <c r="O539" s="54"/>
      <c r="P539" s="54"/>
      <c r="Q539" s="54"/>
    </row>
    <row r="540" spans="15:17" ht="21.75" customHeight="1" x14ac:dyDescent="0.45">
      <c r="O540" s="54"/>
      <c r="P540" s="54"/>
      <c r="Q540" s="54"/>
    </row>
    <row r="541" spans="15:17" ht="21.75" customHeight="1" x14ac:dyDescent="0.45">
      <c r="O541" s="54"/>
      <c r="P541" s="54"/>
      <c r="Q541" s="54"/>
    </row>
    <row r="542" spans="15:17" ht="21.75" customHeight="1" x14ac:dyDescent="0.45">
      <c r="O542" s="54"/>
      <c r="P542" s="54"/>
      <c r="Q542" s="54"/>
    </row>
    <row r="543" spans="15:17" ht="21.75" customHeight="1" x14ac:dyDescent="0.45">
      <c r="O543" s="54"/>
      <c r="P543" s="54"/>
      <c r="Q543" s="54"/>
    </row>
    <row r="544" spans="15:17" ht="21.75" customHeight="1" x14ac:dyDescent="0.45">
      <c r="O544" s="54"/>
      <c r="P544" s="54"/>
      <c r="Q544" s="54"/>
    </row>
    <row r="545" spans="15:17" ht="21.75" customHeight="1" x14ac:dyDescent="0.45">
      <c r="O545" s="54"/>
      <c r="P545" s="54"/>
      <c r="Q545" s="54"/>
    </row>
    <row r="546" spans="15:17" ht="21.75" customHeight="1" x14ac:dyDescent="0.45">
      <c r="O546" s="54"/>
      <c r="P546" s="54"/>
      <c r="Q546" s="54"/>
    </row>
    <row r="547" spans="15:17" ht="21.75" customHeight="1" x14ac:dyDescent="0.45">
      <c r="O547" s="54"/>
      <c r="P547" s="54"/>
      <c r="Q547" s="54"/>
    </row>
    <row r="548" spans="15:17" ht="21.75" customHeight="1" x14ac:dyDescent="0.45">
      <c r="O548" s="54"/>
      <c r="P548" s="54"/>
      <c r="Q548" s="54"/>
    </row>
    <row r="549" spans="15:17" ht="21.75" customHeight="1" x14ac:dyDescent="0.45">
      <c r="O549" s="54"/>
      <c r="P549" s="54"/>
      <c r="Q549" s="54"/>
    </row>
    <row r="550" spans="15:17" ht="21.75" customHeight="1" x14ac:dyDescent="0.45">
      <c r="O550" s="54"/>
      <c r="P550" s="54"/>
      <c r="Q550" s="54"/>
    </row>
    <row r="551" spans="15:17" ht="21.75" customHeight="1" x14ac:dyDescent="0.45">
      <c r="O551" s="54"/>
      <c r="P551" s="54"/>
      <c r="Q551" s="54"/>
    </row>
    <row r="552" spans="15:17" ht="21.75" customHeight="1" x14ac:dyDescent="0.45">
      <c r="O552" s="54"/>
      <c r="P552" s="54"/>
      <c r="Q552" s="54"/>
    </row>
    <row r="553" spans="15:17" ht="21.75" customHeight="1" x14ac:dyDescent="0.45">
      <c r="O553" s="54"/>
      <c r="P553" s="54"/>
      <c r="Q553" s="54"/>
    </row>
    <row r="554" spans="15:17" ht="21.75" customHeight="1" x14ac:dyDescent="0.45">
      <c r="O554" s="54"/>
      <c r="P554" s="54"/>
      <c r="Q554" s="54"/>
    </row>
    <row r="555" spans="15:17" ht="21.75" customHeight="1" x14ac:dyDescent="0.45">
      <c r="O555" s="54"/>
      <c r="P555" s="54"/>
      <c r="Q555" s="54"/>
    </row>
    <row r="556" spans="15:17" ht="21.75" customHeight="1" x14ac:dyDescent="0.45">
      <c r="O556" s="54"/>
      <c r="P556" s="54"/>
      <c r="Q556" s="54"/>
    </row>
    <row r="557" spans="15:17" ht="21.75" customHeight="1" x14ac:dyDescent="0.45">
      <c r="O557" s="54"/>
      <c r="P557" s="54"/>
      <c r="Q557" s="54"/>
    </row>
    <row r="558" spans="15:17" ht="21.75" customHeight="1" x14ac:dyDescent="0.45">
      <c r="O558" s="54"/>
      <c r="P558" s="54"/>
      <c r="Q558" s="54"/>
    </row>
    <row r="559" spans="15:17" ht="21.75" customHeight="1" x14ac:dyDescent="0.45">
      <c r="O559" s="54"/>
      <c r="P559" s="54"/>
      <c r="Q559" s="54"/>
    </row>
    <row r="560" spans="15:17" ht="21.75" customHeight="1" x14ac:dyDescent="0.45">
      <c r="O560" s="54"/>
      <c r="P560" s="54"/>
      <c r="Q560" s="54"/>
    </row>
    <row r="561" spans="15:17" ht="21.75" customHeight="1" x14ac:dyDescent="0.45">
      <c r="O561" s="54"/>
      <c r="P561" s="54"/>
      <c r="Q561" s="54"/>
    </row>
    <row r="562" spans="15:17" ht="21.75" customHeight="1" x14ac:dyDescent="0.45">
      <c r="O562" s="54"/>
      <c r="P562" s="54"/>
      <c r="Q562" s="54"/>
    </row>
    <row r="563" spans="15:17" ht="21.75" customHeight="1" x14ac:dyDescent="0.45">
      <c r="O563" s="54"/>
      <c r="P563" s="54"/>
      <c r="Q563" s="54"/>
    </row>
    <row r="564" spans="15:17" ht="21.75" customHeight="1" x14ac:dyDescent="0.45">
      <c r="O564" s="54"/>
      <c r="P564" s="54"/>
      <c r="Q564" s="54"/>
    </row>
    <row r="565" spans="15:17" ht="21.75" customHeight="1" x14ac:dyDescent="0.45">
      <c r="O565" s="54"/>
      <c r="P565" s="54"/>
      <c r="Q565" s="54"/>
    </row>
    <row r="566" spans="15:17" ht="21.75" customHeight="1" x14ac:dyDescent="0.45">
      <c r="O566" s="54"/>
      <c r="P566" s="54"/>
      <c r="Q566" s="54"/>
    </row>
    <row r="567" spans="15:17" ht="21.75" customHeight="1" x14ac:dyDescent="0.45">
      <c r="O567" s="54"/>
      <c r="P567" s="54"/>
      <c r="Q567" s="54"/>
    </row>
    <row r="568" spans="15:17" ht="21.75" customHeight="1" x14ac:dyDescent="0.45">
      <c r="O568" s="54"/>
      <c r="P568" s="54"/>
      <c r="Q568" s="54"/>
    </row>
    <row r="569" spans="15:17" ht="21.75" customHeight="1" x14ac:dyDescent="0.45">
      <c r="O569" s="54"/>
      <c r="P569" s="54"/>
      <c r="Q569" s="54"/>
    </row>
    <row r="570" spans="15:17" ht="21.75" customHeight="1" x14ac:dyDescent="0.45">
      <c r="O570" s="54"/>
      <c r="P570" s="54"/>
      <c r="Q570" s="54"/>
    </row>
    <row r="571" spans="15:17" ht="21.75" customHeight="1" x14ac:dyDescent="0.45">
      <c r="O571" s="54"/>
      <c r="P571" s="54"/>
      <c r="Q571" s="54"/>
    </row>
    <row r="572" spans="15:17" ht="21.75" customHeight="1" x14ac:dyDescent="0.45">
      <c r="O572" s="54"/>
      <c r="P572" s="54"/>
      <c r="Q572" s="54"/>
    </row>
    <row r="573" spans="15:17" ht="21.75" customHeight="1" x14ac:dyDescent="0.45">
      <c r="O573" s="54"/>
      <c r="P573" s="54"/>
      <c r="Q573" s="54"/>
    </row>
    <row r="574" spans="15:17" ht="21.75" customHeight="1" x14ac:dyDescent="0.45">
      <c r="O574" s="54"/>
      <c r="P574" s="54"/>
      <c r="Q574" s="54"/>
    </row>
    <row r="575" spans="15:17" ht="21.75" customHeight="1" x14ac:dyDescent="0.45">
      <c r="O575" s="54"/>
      <c r="P575" s="54"/>
      <c r="Q575" s="54"/>
    </row>
    <row r="576" spans="15:17" ht="21.75" customHeight="1" x14ac:dyDescent="0.45">
      <c r="O576" s="54"/>
      <c r="P576" s="54"/>
      <c r="Q576" s="54"/>
    </row>
    <row r="577" spans="15:17" ht="21.75" customHeight="1" x14ac:dyDescent="0.45">
      <c r="O577" s="54"/>
      <c r="P577" s="54"/>
      <c r="Q577" s="54"/>
    </row>
    <row r="578" spans="15:17" ht="21.75" customHeight="1" x14ac:dyDescent="0.45">
      <c r="O578" s="54"/>
      <c r="P578" s="54"/>
      <c r="Q578" s="54"/>
    </row>
    <row r="579" spans="15:17" ht="21.75" customHeight="1" x14ac:dyDescent="0.45">
      <c r="O579" s="54"/>
      <c r="P579" s="54"/>
      <c r="Q579" s="54"/>
    </row>
    <row r="580" spans="15:17" ht="21.75" customHeight="1" x14ac:dyDescent="0.45">
      <c r="O580" s="54"/>
      <c r="P580" s="54"/>
      <c r="Q580" s="54"/>
    </row>
    <row r="581" spans="15:17" ht="21.75" customHeight="1" x14ac:dyDescent="0.45">
      <c r="O581" s="54"/>
      <c r="P581" s="54"/>
      <c r="Q581" s="54"/>
    </row>
    <row r="582" spans="15:17" ht="21.75" customHeight="1" x14ac:dyDescent="0.45">
      <c r="O582" s="54"/>
      <c r="P582" s="54"/>
      <c r="Q582" s="54"/>
    </row>
    <row r="583" spans="15:17" ht="21.75" customHeight="1" x14ac:dyDescent="0.45">
      <c r="O583" s="54"/>
      <c r="P583" s="54"/>
      <c r="Q583" s="54"/>
    </row>
    <row r="584" spans="15:17" ht="21.75" customHeight="1" x14ac:dyDescent="0.45">
      <c r="O584" s="54"/>
      <c r="P584" s="54"/>
      <c r="Q584" s="54"/>
    </row>
    <row r="585" spans="15:17" ht="21.75" customHeight="1" x14ac:dyDescent="0.45">
      <c r="O585" s="54"/>
      <c r="P585" s="54"/>
      <c r="Q585" s="54"/>
    </row>
    <row r="586" spans="15:17" ht="21.75" customHeight="1" x14ac:dyDescent="0.45">
      <c r="O586" s="54"/>
      <c r="P586" s="54"/>
      <c r="Q586" s="54"/>
    </row>
    <row r="587" spans="15:17" ht="21.75" customHeight="1" x14ac:dyDescent="0.45">
      <c r="O587" s="54"/>
      <c r="P587" s="54"/>
      <c r="Q587" s="54"/>
    </row>
    <row r="588" spans="15:17" ht="21.75" customHeight="1" x14ac:dyDescent="0.45">
      <c r="O588" s="54"/>
      <c r="P588" s="54"/>
      <c r="Q588" s="54"/>
    </row>
    <row r="589" spans="15:17" ht="21.75" customHeight="1" x14ac:dyDescent="0.45">
      <c r="O589" s="54"/>
      <c r="P589" s="54"/>
      <c r="Q589" s="54"/>
    </row>
    <row r="590" spans="15:17" ht="21.75" customHeight="1" x14ac:dyDescent="0.45">
      <c r="O590" s="54"/>
      <c r="P590" s="54"/>
      <c r="Q590" s="54"/>
    </row>
    <row r="591" spans="15:17" ht="21.75" customHeight="1" x14ac:dyDescent="0.45">
      <c r="O591" s="54"/>
      <c r="P591" s="54"/>
      <c r="Q591" s="54"/>
    </row>
    <row r="592" spans="15:17" ht="21.75" customHeight="1" x14ac:dyDescent="0.45">
      <c r="O592" s="54"/>
      <c r="P592" s="54"/>
      <c r="Q592" s="54"/>
    </row>
    <row r="593" spans="15:17" ht="21.75" customHeight="1" x14ac:dyDescent="0.45">
      <c r="O593" s="54"/>
      <c r="P593" s="54"/>
      <c r="Q593" s="54"/>
    </row>
    <row r="594" spans="15:17" ht="21.75" customHeight="1" x14ac:dyDescent="0.45">
      <c r="O594" s="54"/>
      <c r="P594" s="54"/>
      <c r="Q594" s="54"/>
    </row>
    <row r="595" spans="15:17" ht="21.75" customHeight="1" x14ac:dyDescent="0.45">
      <c r="O595" s="54"/>
      <c r="P595" s="54"/>
      <c r="Q595" s="54"/>
    </row>
    <row r="596" spans="15:17" ht="21.75" customHeight="1" x14ac:dyDescent="0.45">
      <c r="O596" s="54"/>
      <c r="P596" s="54"/>
      <c r="Q596" s="54"/>
    </row>
    <row r="597" spans="15:17" ht="21.75" customHeight="1" x14ac:dyDescent="0.45">
      <c r="O597" s="54"/>
      <c r="P597" s="54"/>
      <c r="Q597" s="54"/>
    </row>
    <row r="598" spans="15:17" ht="21.75" customHeight="1" x14ac:dyDescent="0.45">
      <c r="O598" s="54"/>
      <c r="P598" s="54"/>
      <c r="Q598" s="54"/>
    </row>
    <row r="599" spans="15:17" ht="21.75" customHeight="1" x14ac:dyDescent="0.45">
      <c r="O599" s="54"/>
      <c r="P599" s="54"/>
      <c r="Q599" s="54"/>
    </row>
    <row r="600" spans="15:17" ht="21.75" customHeight="1" x14ac:dyDescent="0.45">
      <c r="O600" s="54"/>
      <c r="P600" s="54"/>
      <c r="Q600" s="54"/>
    </row>
    <row r="601" spans="15:17" ht="21.75" customHeight="1" x14ac:dyDescent="0.45">
      <c r="O601" s="54"/>
      <c r="P601" s="54"/>
      <c r="Q601" s="54"/>
    </row>
    <row r="602" spans="15:17" ht="21.75" customHeight="1" x14ac:dyDescent="0.45">
      <c r="O602" s="54"/>
      <c r="P602" s="54"/>
      <c r="Q602" s="54"/>
    </row>
    <row r="603" spans="15:17" ht="21.75" customHeight="1" x14ac:dyDescent="0.45">
      <c r="O603" s="54"/>
      <c r="P603" s="54"/>
      <c r="Q603" s="54"/>
    </row>
    <row r="604" spans="15:17" ht="21.75" customHeight="1" x14ac:dyDescent="0.45">
      <c r="O604" s="54"/>
      <c r="P604" s="54"/>
      <c r="Q604" s="54"/>
    </row>
    <row r="605" spans="15:17" ht="21.75" customHeight="1" x14ac:dyDescent="0.45">
      <c r="O605" s="54"/>
      <c r="P605" s="54"/>
      <c r="Q605" s="54"/>
    </row>
    <row r="606" spans="15:17" ht="21.75" customHeight="1" x14ac:dyDescent="0.45">
      <c r="O606" s="54"/>
      <c r="P606" s="54"/>
      <c r="Q606" s="54"/>
    </row>
    <row r="607" spans="15:17" ht="21.75" customHeight="1" x14ac:dyDescent="0.45">
      <c r="O607" s="54"/>
      <c r="P607" s="54"/>
      <c r="Q607" s="54"/>
    </row>
    <row r="608" spans="15:17" ht="21.75" customHeight="1" x14ac:dyDescent="0.45">
      <c r="O608" s="54"/>
      <c r="P608" s="54"/>
      <c r="Q608" s="54"/>
    </row>
    <row r="609" spans="15:17" ht="21.75" customHeight="1" x14ac:dyDescent="0.45">
      <c r="O609" s="54"/>
      <c r="P609" s="54"/>
      <c r="Q609" s="54"/>
    </row>
    <row r="610" spans="15:17" ht="21.75" customHeight="1" x14ac:dyDescent="0.45">
      <c r="O610" s="54"/>
      <c r="P610" s="54"/>
      <c r="Q610" s="54"/>
    </row>
    <row r="611" spans="15:17" ht="21.75" customHeight="1" x14ac:dyDescent="0.45">
      <c r="O611" s="54"/>
      <c r="P611" s="54"/>
      <c r="Q611" s="54"/>
    </row>
    <row r="612" spans="15:17" ht="21.75" customHeight="1" x14ac:dyDescent="0.45">
      <c r="O612" s="54"/>
      <c r="P612" s="54"/>
      <c r="Q612" s="54"/>
    </row>
    <row r="613" spans="15:17" ht="21.75" customHeight="1" x14ac:dyDescent="0.45">
      <c r="O613" s="54"/>
      <c r="P613" s="54"/>
      <c r="Q613" s="54"/>
    </row>
    <row r="614" spans="15:17" ht="21.75" customHeight="1" x14ac:dyDescent="0.45">
      <c r="O614" s="54"/>
      <c r="P614" s="54"/>
      <c r="Q614" s="54"/>
    </row>
    <row r="615" spans="15:17" ht="21.75" customHeight="1" x14ac:dyDescent="0.45">
      <c r="O615" s="54"/>
      <c r="P615" s="54"/>
      <c r="Q615" s="54"/>
    </row>
    <row r="616" spans="15:17" ht="21.75" customHeight="1" x14ac:dyDescent="0.45">
      <c r="O616" s="54"/>
      <c r="P616" s="54"/>
      <c r="Q616" s="54"/>
    </row>
    <row r="617" spans="15:17" ht="21.75" customHeight="1" x14ac:dyDescent="0.45">
      <c r="O617" s="54"/>
      <c r="P617" s="54"/>
      <c r="Q617" s="54"/>
    </row>
    <row r="618" spans="15:17" ht="21.75" customHeight="1" x14ac:dyDescent="0.45">
      <c r="O618" s="54"/>
      <c r="P618" s="54"/>
      <c r="Q618" s="54"/>
    </row>
    <row r="619" spans="15:17" ht="21.75" customHeight="1" x14ac:dyDescent="0.45">
      <c r="O619" s="54"/>
      <c r="P619" s="54"/>
      <c r="Q619" s="54"/>
    </row>
    <row r="620" spans="15:17" ht="21.75" customHeight="1" x14ac:dyDescent="0.45">
      <c r="O620" s="54"/>
      <c r="P620" s="54"/>
      <c r="Q620" s="54"/>
    </row>
    <row r="621" spans="15:17" ht="21.75" customHeight="1" x14ac:dyDescent="0.45">
      <c r="O621" s="54"/>
      <c r="P621" s="54"/>
      <c r="Q621" s="54"/>
    </row>
    <row r="622" spans="15:17" ht="21.75" customHeight="1" x14ac:dyDescent="0.45">
      <c r="O622" s="54"/>
      <c r="P622" s="54"/>
      <c r="Q622" s="54"/>
    </row>
    <row r="623" spans="15:17" ht="21.75" customHeight="1" x14ac:dyDescent="0.45">
      <c r="O623" s="54"/>
      <c r="P623" s="54"/>
      <c r="Q623" s="54"/>
    </row>
    <row r="624" spans="15:17" ht="21.75" customHeight="1" x14ac:dyDescent="0.45">
      <c r="O624" s="54"/>
      <c r="P624" s="54"/>
      <c r="Q624" s="54"/>
    </row>
    <row r="625" spans="15:17" ht="21.75" customHeight="1" x14ac:dyDescent="0.45">
      <c r="O625" s="54"/>
      <c r="P625" s="54"/>
      <c r="Q625" s="54"/>
    </row>
    <row r="626" spans="15:17" ht="21.75" customHeight="1" x14ac:dyDescent="0.45">
      <c r="O626" s="54"/>
      <c r="P626" s="54"/>
      <c r="Q626" s="54"/>
    </row>
    <row r="627" spans="15:17" ht="21.75" customHeight="1" x14ac:dyDescent="0.45">
      <c r="O627" s="54"/>
      <c r="P627" s="54"/>
      <c r="Q627" s="54"/>
    </row>
    <row r="628" spans="15:17" ht="21.75" customHeight="1" x14ac:dyDescent="0.45">
      <c r="O628" s="54"/>
      <c r="P628" s="54"/>
      <c r="Q628" s="54"/>
    </row>
    <row r="629" spans="15:17" ht="21.75" customHeight="1" x14ac:dyDescent="0.45">
      <c r="O629" s="54"/>
      <c r="P629" s="54"/>
      <c r="Q629" s="54"/>
    </row>
    <row r="630" spans="15:17" ht="21.75" customHeight="1" x14ac:dyDescent="0.45">
      <c r="O630" s="54"/>
      <c r="P630" s="54"/>
      <c r="Q630" s="54"/>
    </row>
    <row r="631" spans="15:17" ht="21.75" customHeight="1" x14ac:dyDescent="0.45">
      <c r="O631" s="54"/>
      <c r="P631" s="54"/>
      <c r="Q631" s="54"/>
    </row>
    <row r="632" spans="15:17" ht="21.75" customHeight="1" x14ac:dyDescent="0.45">
      <c r="O632" s="54"/>
      <c r="P632" s="54"/>
      <c r="Q632" s="54"/>
    </row>
    <row r="633" spans="15:17" ht="21.75" customHeight="1" x14ac:dyDescent="0.45">
      <c r="O633" s="54"/>
      <c r="P633" s="54"/>
      <c r="Q633" s="54"/>
    </row>
    <row r="634" spans="15:17" ht="21.75" customHeight="1" x14ac:dyDescent="0.45">
      <c r="O634" s="54"/>
      <c r="P634" s="54"/>
      <c r="Q634" s="54"/>
    </row>
    <row r="635" spans="15:17" ht="21.75" customHeight="1" x14ac:dyDescent="0.45">
      <c r="O635" s="54"/>
      <c r="P635" s="54"/>
      <c r="Q635" s="54"/>
    </row>
    <row r="636" spans="15:17" ht="21.75" customHeight="1" x14ac:dyDescent="0.45">
      <c r="O636" s="54"/>
      <c r="P636" s="54"/>
      <c r="Q636" s="54"/>
    </row>
    <row r="637" spans="15:17" ht="21.75" customHeight="1" x14ac:dyDescent="0.45">
      <c r="O637" s="54"/>
      <c r="P637" s="54"/>
      <c r="Q637" s="54"/>
    </row>
    <row r="638" spans="15:17" ht="21.75" customHeight="1" x14ac:dyDescent="0.45">
      <c r="O638" s="54"/>
      <c r="P638" s="54"/>
      <c r="Q638" s="54"/>
    </row>
    <row r="639" spans="15:17" ht="21.75" customHeight="1" x14ac:dyDescent="0.45">
      <c r="O639" s="54"/>
      <c r="P639" s="54"/>
      <c r="Q639" s="54"/>
    </row>
    <row r="640" spans="15:17" ht="21.75" customHeight="1" x14ac:dyDescent="0.45">
      <c r="O640" s="54"/>
      <c r="P640" s="54"/>
      <c r="Q640" s="54"/>
    </row>
    <row r="641" spans="15:17" ht="21.75" customHeight="1" x14ac:dyDescent="0.45">
      <c r="O641" s="54"/>
      <c r="P641" s="54"/>
      <c r="Q641" s="54"/>
    </row>
    <row r="642" spans="15:17" ht="21.75" customHeight="1" x14ac:dyDescent="0.45">
      <c r="O642" s="54"/>
      <c r="P642" s="54"/>
      <c r="Q642" s="54"/>
    </row>
    <row r="643" spans="15:17" ht="21.75" customHeight="1" x14ac:dyDescent="0.45">
      <c r="O643" s="54"/>
      <c r="P643" s="54"/>
      <c r="Q643" s="54"/>
    </row>
    <row r="644" spans="15:17" ht="21.75" customHeight="1" x14ac:dyDescent="0.45">
      <c r="O644" s="54"/>
      <c r="P644" s="54"/>
      <c r="Q644" s="54"/>
    </row>
    <row r="645" spans="15:17" ht="21.75" customHeight="1" x14ac:dyDescent="0.45">
      <c r="O645" s="54"/>
      <c r="P645" s="54"/>
      <c r="Q645" s="54"/>
    </row>
    <row r="646" spans="15:17" ht="21.75" customHeight="1" x14ac:dyDescent="0.45">
      <c r="O646" s="54"/>
      <c r="P646" s="54"/>
      <c r="Q646" s="54"/>
    </row>
    <row r="647" spans="15:17" ht="21.75" customHeight="1" x14ac:dyDescent="0.45">
      <c r="O647" s="54"/>
      <c r="P647" s="54"/>
      <c r="Q647" s="54"/>
    </row>
    <row r="648" spans="15:17" ht="21.75" customHeight="1" x14ac:dyDescent="0.45">
      <c r="O648" s="54"/>
      <c r="P648" s="54"/>
      <c r="Q648" s="54"/>
    </row>
    <row r="649" spans="15:17" ht="21.75" customHeight="1" x14ac:dyDescent="0.45">
      <c r="O649" s="54"/>
      <c r="P649" s="54"/>
      <c r="Q649" s="54"/>
    </row>
    <row r="650" spans="15:17" ht="21.75" customHeight="1" x14ac:dyDescent="0.45">
      <c r="O650" s="54"/>
      <c r="P650" s="54"/>
      <c r="Q650" s="54"/>
    </row>
    <row r="651" spans="15:17" ht="21.75" customHeight="1" x14ac:dyDescent="0.45">
      <c r="O651" s="54"/>
      <c r="P651" s="54"/>
      <c r="Q651" s="54"/>
    </row>
    <row r="652" spans="15:17" ht="21.75" customHeight="1" x14ac:dyDescent="0.45">
      <c r="O652" s="54"/>
      <c r="P652" s="54"/>
      <c r="Q652" s="54"/>
    </row>
    <row r="653" spans="15:17" ht="21.75" customHeight="1" x14ac:dyDescent="0.45">
      <c r="O653" s="54"/>
      <c r="P653" s="54"/>
      <c r="Q653" s="54"/>
    </row>
    <row r="654" spans="15:17" ht="21.75" customHeight="1" x14ac:dyDescent="0.45">
      <c r="O654" s="54"/>
      <c r="P654" s="54"/>
      <c r="Q654" s="54"/>
    </row>
    <row r="655" spans="15:17" ht="21.75" customHeight="1" x14ac:dyDescent="0.45">
      <c r="O655" s="54"/>
      <c r="P655" s="54"/>
      <c r="Q655" s="54"/>
    </row>
    <row r="656" spans="15:17" ht="21.75" customHeight="1" x14ac:dyDescent="0.45">
      <c r="O656" s="54"/>
      <c r="P656" s="54"/>
      <c r="Q656" s="54"/>
    </row>
    <row r="657" spans="15:17" ht="21.75" customHeight="1" x14ac:dyDescent="0.45">
      <c r="O657" s="54"/>
      <c r="P657" s="54"/>
      <c r="Q657" s="54"/>
    </row>
    <row r="658" spans="15:17" ht="21.75" customHeight="1" x14ac:dyDescent="0.45">
      <c r="O658" s="54"/>
      <c r="P658" s="54"/>
      <c r="Q658" s="54"/>
    </row>
    <row r="659" spans="15:17" ht="21.75" customHeight="1" x14ac:dyDescent="0.45">
      <c r="O659" s="54"/>
      <c r="P659" s="54"/>
      <c r="Q659" s="54"/>
    </row>
    <row r="660" spans="15:17" ht="21.75" customHeight="1" x14ac:dyDescent="0.45">
      <c r="O660" s="54"/>
      <c r="P660" s="54"/>
      <c r="Q660" s="54"/>
    </row>
    <row r="661" spans="15:17" ht="21.75" customHeight="1" x14ac:dyDescent="0.45">
      <c r="O661" s="54"/>
      <c r="P661" s="54"/>
      <c r="Q661" s="54"/>
    </row>
    <row r="662" spans="15:17" ht="21.75" customHeight="1" x14ac:dyDescent="0.45">
      <c r="O662" s="54"/>
      <c r="P662" s="54"/>
      <c r="Q662" s="54"/>
    </row>
    <row r="663" spans="15:17" ht="21.75" customHeight="1" x14ac:dyDescent="0.45">
      <c r="O663" s="54"/>
      <c r="P663" s="54"/>
      <c r="Q663" s="54"/>
    </row>
    <row r="664" spans="15:17" ht="21.75" customHeight="1" x14ac:dyDescent="0.45">
      <c r="O664" s="54"/>
      <c r="P664" s="54"/>
      <c r="Q664" s="54"/>
    </row>
    <row r="665" spans="15:17" ht="21.75" customHeight="1" x14ac:dyDescent="0.45">
      <c r="O665" s="54"/>
      <c r="P665" s="54"/>
      <c r="Q665" s="54"/>
    </row>
    <row r="666" spans="15:17" ht="21.75" customHeight="1" x14ac:dyDescent="0.45">
      <c r="O666" s="54"/>
      <c r="P666" s="54"/>
      <c r="Q666" s="54"/>
    </row>
    <row r="667" spans="15:17" ht="21.75" customHeight="1" x14ac:dyDescent="0.45">
      <c r="O667" s="54"/>
      <c r="P667" s="54"/>
      <c r="Q667" s="54"/>
    </row>
    <row r="668" spans="15:17" ht="21.75" customHeight="1" x14ac:dyDescent="0.45">
      <c r="O668" s="54"/>
      <c r="P668" s="54"/>
      <c r="Q668" s="54"/>
    </row>
    <row r="669" spans="15:17" ht="21.75" customHeight="1" x14ac:dyDescent="0.45">
      <c r="O669" s="54"/>
      <c r="P669" s="54"/>
      <c r="Q669" s="54"/>
    </row>
    <row r="670" spans="15:17" ht="21.75" customHeight="1" x14ac:dyDescent="0.45">
      <c r="O670" s="54"/>
      <c r="P670" s="54"/>
      <c r="Q670" s="54"/>
    </row>
    <row r="671" spans="15:17" ht="21.75" customHeight="1" x14ac:dyDescent="0.45">
      <c r="O671" s="54"/>
      <c r="P671" s="54"/>
      <c r="Q671" s="54"/>
    </row>
    <row r="672" spans="15:17" ht="21.75" customHeight="1" x14ac:dyDescent="0.45">
      <c r="O672" s="54"/>
      <c r="P672" s="54"/>
      <c r="Q672" s="54"/>
    </row>
    <row r="673" spans="15:17" ht="21.75" customHeight="1" x14ac:dyDescent="0.45">
      <c r="O673" s="54"/>
      <c r="P673" s="54"/>
      <c r="Q673" s="54"/>
    </row>
    <row r="674" spans="15:17" ht="21.75" customHeight="1" x14ac:dyDescent="0.45">
      <c r="O674" s="54"/>
      <c r="P674" s="54"/>
      <c r="Q674" s="54"/>
    </row>
    <row r="675" spans="15:17" ht="21.75" customHeight="1" x14ac:dyDescent="0.45">
      <c r="O675" s="54"/>
      <c r="P675" s="54"/>
      <c r="Q675" s="54"/>
    </row>
    <row r="676" spans="15:17" ht="21.75" customHeight="1" x14ac:dyDescent="0.45">
      <c r="O676" s="54"/>
      <c r="P676" s="54"/>
      <c r="Q676" s="54"/>
    </row>
    <row r="677" spans="15:17" ht="21.75" customHeight="1" x14ac:dyDescent="0.45">
      <c r="O677" s="54"/>
      <c r="P677" s="54"/>
      <c r="Q677" s="54"/>
    </row>
    <row r="678" spans="15:17" ht="21.75" customHeight="1" x14ac:dyDescent="0.45">
      <c r="O678" s="54"/>
      <c r="P678" s="54"/>
      <c r="Q678" s="54"/>
    </row>
    <row r="679" spans="15:17" ht="21.75" customHeight="1" x14ac:dyDescent="0.45">
      <c r="O679" s="54"/>
      <c r="P679" s="54"/>
      <c r="Q679" s="54"/>
    </row>
    <row r="680" spans="15:17" ht="21.75" customHeight="1" x14ac:dyDescent="0.45">
      <c r="O680" s="54"/>
      <c r="P680" s="54"/>
      <c r="Q680" s="54"/>
    </row>
    <row r="681" spans="15:17" ht="21.75" customHeight="1" x14ac:dyDescent="0.45">
      <c r="O681" s="54"/>
      <c r="P681" s="54"/>
      <c r="Q681" s="54"/>
    </row>
    <row r="682" spans="15:17" ht="21.75" customHeight="1" x14ac:dyDescent="0.45">
      <c r="O682" s="54"/>
      <c r="P682" s="54"/>
      <c r="Q682" s="54"/>
    </row>
    <row r="683" spans="15:17" ht="21.75" customHeight="1" x14ac:dyDescent="0.45">
      <c r="O683" s="54"/>
      <c r="P683" s="54"/>
      <c r="Q683" s="54"/>
    </row>
    <row r="684" spans="15:17" ht="21.75" customHeight="1" x14ac:dyDescent="0.45">
      <c r="O684" s="54"/>
      <c r="P684" s="54"/>
      <c r="Q684" s="54"/>
    </row>
    <row r="685" spans="15:17" ht="21.75" customHeight="1" x14ac:dyDescent="0.45">
      <c r="O685" s="54"/>
      <c r="P685" s="54"/>
      <c r="Q685" s="54"/>
    </row>
    <row r="686" spans="15:17" ht="21.75" customHeight="1" x14ac:dyDescent="0.45">
      <c r="O686" s="54"/>
      <c r="P686" s="54"/>
      <c r="Q686" s="54"/>
    </row>
    <row r="687" spans="15:17" ht="21.75" customHeight="1" x14ac:dyDescent="0.45">
      <c r="O687" s="54"/>
      <c r="P687" s="54"/>
      <c r="Q687" s="54"/>
    </row>
    <row r="688" spans="15:17" ht="21.75" customHeight="1" x14ac:dyDescent="0.45">
      <c r="O688" s="54"/>
      <c r="P688" s="54"/>
      <c r="Q688" s="54"/>
    </row>
    <row r="689" spans="15:17" ht="21.75" customHeight="1" x14ac:dyDescent="0.45">
      <c r="O689" s="54"/>
      <c r="P689" s="54"/>
      <c r="Q689" s="54"/>
    </row>
    <row r="690" spans="15:17" ht="21.75" customHeight="1" x14ac:dyDescent="0.45">
      <c r="O690" s="54"/>
      <c r="P690" s="54"/>
      <c r="Q690" s="54"/>
    </row>
    <row r="691" spans="15:17" ht="21.75" customHeight="1" x14ac:dyDescent="0.45">
      <c r="O691" s="54"/>
      <c r="P691" s="54"/>
      <c r="Q691" s="54"/>
    </row>
    <row r="692" spans="15:17" ht="21.75" customHeight="1" x14ac:dyDescent="0.45">
      <c r="O692" s="54"/>
      <c r="P692" s="54"/>
      <c r="Q692" s="54"/>
    </row>
    <row r="693" spans="15:17" ht="21.75" customHeight="1" x14ac:dyDescent="0.45">
      <c r="O693" s="54"/>
      <c r="P693" s="54"/>
      <c r="Q693" s="54"/>
    </row>
    <row r="694" spans="15:17" ht="21.75" customHeight="1" x14ac:dyDescent="0.45">
      <c r="O694" s="54"/>
      <c r="P694" s="54"/>
      <c r="Q694" s="54"/>
    </row>
    <row r="695" spans="15:17" ht="21.75" customHeight="1" x14ac:dyDescent="0.45">
      <c r="O695" s="54"/>
      <c r="P695" s="54"/>
      <c r="Q695" s="54"/>
    </row>
    <row r="696" spans="15:17" ht="21.75" customHeight="1" x14ac:dyDescent="0.45">
      <c r="O696" s="54"/>
      <c r="P696" s="54"/>
      <c r="Q696" s="54"/>
    </row>
    <row r="697" spans="15:17" ht="21.75" customHeight="1" x14ac:dyDescent="0.45">
      <c r="O697" s="54"/>
      <c r="P697" s="54"/>
      <c r="Q697" s="54"/>
    </row>
    <row r="698" spans="15:17" ht="21.75" customHeight="1" x14ac:dyDescent="0.45">
      <c r="O698" s="54"/>
      <c r="P698" s="54"/>
      <c r="Q698" s="54"/>
    </row>
    <row r="699" spans="15:17" ht="21.75" customHeight="1" x14ac:dyDescent="0.45">
      <c r="O699" s="54"/>
      <c r="P699" s="54"/>
      <c r="Q699" s="54"/>
    </row>
    <row r="700" spans="15:17" ht="21.75" customHeight="1" x14ac:dyDescent="0.45">
      <c r="O700" s="54"/>
      <c r="P700" s="54"/>
      <c r="Q700" s="54"/>
    </row>
    <row r="701" spans="15:17" ht="21.75" customHeight="1" x14ac:dyDescent="0.45">
      <c r="O701" s="54"/>
      <c r="P701" s="54"/>
      <c r="Q701" s="54"/>
    </row>
    <row r="702" spans="15:17" ht="21.75" customHeight="1" x14ac:dyDescent="0.45">
      <c r="O702" s="54"/>
      <c r="P702" s="54"/>
      <c r="Q702" s="54"/>
    </row>
    <row r="703" spans="15:17" ht="21.75" customHeight="1" x14ac:dyDescent="0.45">
      <c r="O703" s="54"/>
      <c r="P703" s="54"/>
      <c r="Q703" s="54"/>
    </row>
    <row r="704" spans="15:17" ht="21.75" customHeight="1" x14ac:dyDescent="0.45">
      <c r="O704" s="54"/>
      <c r="P704" s="54"/>
      <c r="Q704" s="54"/>
    </row>
    <row r="705" spans="15:17" ht="21.75" customHeight="1" x14ac:dyDescent="0.45">
      <c r="O705" s="54"/>
      <c r="P705" s="54"/>
      <c r="Q705" s="54"/>
    </row>
    <row r="706" spans="15:17" ht="21.75" customHeight="1" x14ac:dyDescent="0.45">
      <c r="O706" s="54"/>
      <c r="P706" s="54"/>
      <c r="Q706" s="54"/>
    </row>
    <row r="707" spans="15:17" ht="21.75" customHeight="1" x14ac:dyDescent="0.45">
      <c r="O707" s="54"/>
      <c r="P707" s="54"/>
      <c r="Q707" s="54"/>
    </row>
    <row r="708" spans="15:17" ht="21.75" customHeight="1" x14ac:dyDescent="0.45">
      <c r="O708" s="54"/>
      <c r="P708" s="54"/>
      <c r="Q708" s="54"/>
    </row>
    <row r="709" spans="15:17" ht="21.75" customHeight="1" x14ac:dyDescent="0.45">
      <c r="O709" s="54"/>
      <c r="P709" s="54"/>
      <c r="Q709" s="54"/>
    </row>
    <row r="710" spans="15:17" ht="21.75" customHeight="1" x14ac:dyDescent="0.45">
      <c r="O710" s="54"/>
      <c r="P710" s="54"/>
      <c r="Q710" s="54"/>
    </row>
    <row r="711" spans="15:17" ht="21.75" customHeight="1" x14ac:dyDescent="0.45">
      <c r="O711" s="54"/>
      <c r="P711" s="54"/>
      <c r="Q711" s="54"/>
    </row>
    <row r="712" spans="15:17" ht="21.75" customHeight="1" x14ac:dyDescent="0.45">
      <c r="O712" s="54"/>
      <c r="P712" s="54"/>
      <c r="Q712" s="54"/>
    </row>
    <row r="713" spans="15:17" ht="21.75" customHeight="1" x14ac:dyDescent="0.45">
      <c r="O713" s="54"/>
      <c r="P713" s="54"/>
      <c r="Q713" s="54"/>
    </row>
    <row r="714" spans="15:17" ht="21.75" customHeight="1" x14ac:dyDescent="0.45">
      <c r="O714" s="54"/>
      <c r="P714" s="54"/>
      <c r="Q714" s="54"/>
    </row>
    <row r="715" spans="15:17" ht="21.75" customHeight="1" x14ac:dyDescent="0.45">
      <c r="O715" s="54"/>
      <c r="P715" s="54"/>
      <c r="Q715" s="54"/>
    </row>
    <row r="716" spans="15:17" ht="21.75" customHeight="1" x14ac:dyDescent="0.45">
      <c r="O716" s="54"/>
      <c r="P716" s="54"/>
      <c r="Q716" s="54"/>
    </row>
    <row r="717" spans="15:17" ht="21.75" customHeight="1" x14ac:dyDescent="0.45">
      <c r="O717" s="54"/>
      <c r="P717" s="54"/>
      <c r="Q717" s="54"/>
    </row>
    <row r="718" spans="15:17" ht="21.75" customHeight="1" x14ac:dyDescent="0.45">
      <c r="O718" s="54"/>
      <c r="P718" s="54"/>
      <c r="Q718" s="54"/>
    </row>
    <row r="719" spans="15:17" ht="21.75" customHeight="1" x14ac:dyDescent="0.45">
      <c r="O719" s="54"/>
      <c r="P719" s="54"/>
      <c r="Q719" s="54"/>
    </row>
    <row r="720" spans="15:17" ht="21.75" customHeight="1" x14ac:dyDescent="0.45">
      <c r="O720" s="54"/>
      <c r="P720" s="54"/>
      <c r="Q720" s="54"/>
    </row>
    <row r="721" spans="15:17" ht="21.75" customHeight="1" x14ac:dyDescent="0.45">
      <c r="O721" s="54"/>
      <c r="P721" s="54"/>
      <c r="Q721" s="54"/>
    </row>
    <row r="722" spans="15:17" ht="21.75" customHeight="1" x14ac:dyDescent="0.45">
      <c r="O722" s="54"/>
      <c r="P722" s="54"/>
      <c r="Q722" s="54"/>
    </row>
    <row r="723" spans="15:17" ht="21.75" customHeight="1" x14ac:dyDescent="0.45">
      <c r="O723" s="54"/>
      <c r="P723" s="54"/>
      <c r="Q723" s="54"/>
    </row>
    <row r="724" spans="15:17" ht="21.75" customHeight="1" x14ac:dyDescent="0.45">
      <c r="O724" s="54"/>
      <c r="P724" s="54"/>
      <c r="Q724" s="54"/>
    </row>
    <row r="725" spans="15:17" ht="21.75" customHeight="1" x14ac:dyDescent="0.45">
      <c r="O725" s="54"/>
      <c r="P725" s="54"/>
      <c r="Q725" s="54"/>
    </row>
    <row r="726" spans="15:17" ht="21.75" customHeight="1" x14ac:dyDescent="0.45">
      <c r="O726" s="54"/>
      <c r="P726" s="54"/>
      <c r="Q726" s="54"/>
    </row>
    <row r="727" spans="15:17" ht="21.75" customHeight="1" x14ac:dyDescent="0.45">
      <c r="O727" s="54"/>
      <c r="P727" s="54"/>
      <c r="Q727" s="54"/>
    </row>
    <row r="728" spans="15:17" ht="21.75" customHeight="1" x14ac:dyDescent="0.45">
      <c r="O728" s="54"/>
      <c r="P728" s="54"/>
      <c r="Q728" s="54"/>
    </row>
    <row r="729" spans="15:17" ht="21.75" customHeight="1" x14ac:dyDescent="0.45">
      <c r="O729" s="54"/>
      <c r="P729" s="54"/>
      <c r="Q729" s="54"/>
    </row>
    <row r="730" spans="15:17" ht="21.75" customHeight="1" x14ac:dyDescent="0.45">
      <c r="O730" s="54"/>
      <c r="P730" s="54"/>
      <c r="Q730" s="54"/>
    </row>
    <row r="731" spans="15:17" ht="21.75" customHeight="1" x14ac:dyDescent="0.45">
      <c r="O731" s="54"/>
      <c r="P731" s="54"/>
      <c r="Q731" s="54"/>
    </row>
    <row r="732" spans="15:17" ht="21.75" customHeight="1" x14ac:dyDescent="0.45">
      <c r="O732" s="54"/>
      <c r="P732" s="54"/>
      <c r="Q732" s="54"/>
    </row>
    <row r="733" spans="15:17" ht="21.75" customHeight="1" x14ac:dyDescent="0.45">
      <c r="O733" s="54"/>
      <c r="P733" s="54"/>
      <c r="Q733" s="54"/>
    </row>
    <row r="734" spans="15:17" ht="21.75" customHeight="1" x14ac:dyDescent="0.45">
      <c r="O734" s="54"/>
      <c r="P734" s="54"/>
      <c r="Q734" s="54"/>
    </row>
    <row r="735" spans="15:17" ht="21.75" customHeight="1" x14ac:dyDescent="0.45">
      <c r="O735" s="54"/>
      <c r="P735" s="54"/>
      <c r="Q735" s="54"/>
    </row>
    <row r="736" spans="15:17" ht="21.75" customHeight="1" x14ac:dyDescent="0.45">
      <c r="O736" s="54"/>
      <c r="P736" s="54"/>
      <c r="Q736" s="54"/>
    </row>
    <row r="737" spans="15:17" ht="21.75" customHeight="1" x14ac:dyDescent="0.45">
      <c r="O737" s="54"/>
      <c r="P737" s="54"/>
      <c r="Q737" s="54"/>
    </row>
    <row r="738" spans="15:17" ht="21.75" customHeight="1" x14ac:dyDescent="0.45">
      <c r="O738" s="54"/>
      <c r="P738" s="54"/>
      <c r="Q738" s="54"/>
    </row>
    <row r="739" spans="15:17" ht="21.75" customHeight="1" x14ac:dyDescent="0.45">
      <c r="O739" s="54"/>
      <c r="P739" s="54"/>
      <c r="Q739" s="54"/>
    </row>
    <row r="740" spans="15:17" ht="21.75" customHeight="1" x14ac:dyDescent="0.45">
      <c r="O740" s="54"/>
      <c r="P740" s="54"/>
      <c r="Q740" s="54"/>
    </row>
    <row r="741" spans="15:17" ht="21.75" customHeight="1" x14ac:dyDescent="0.45">
      <c r="O741" s="54"/>
      <c r="P741" s="54"/>
      <c r="Q741" s="54"/>
    </row>
    <row r="742" spans="15:17" ht="21.75" customHeight="1" x14ac:dyDescent="0.45">
      <c r="O742" s="54"/>
      <c r="P742" s="54"/>
      <c r="Q742" s="54"/>
    </row>
    <row r="743" spans="15:17" ht="21.75" customHeight="1" x14ac:dyDescent="0.45">
      <c r="O743" s="54"/>
      <c r="P743" s="54"/>
      <c r="Q743" s="54"/>
    </row>
    <row r="744" spans="15:17" ht="21.75" customHeight="1" x14ac:dyDescent="0.45">
      <c r="O744" s="54"/>
      <c r="P744" s="54"/>
      <c r="Q744" s="54"/>
    </row>
    <row r="745" spans="15:17" ht="21.75" customHeight="1" x14ac:dyDescent="0.45">
      <c r="O745" s="54"/>
      <c r="P745" s="54"/>
      <c r="Q745" s="54"/>
    </row>
    <row r="746" spans="15:17" ht="21.75" customHeight="1" x14ac:dyDescent="0.45">
      <c r="O746" s="54"/>
      <c r="P746" s="54"/>
      <c r="Q746" s="54"/>
    </row>
    <row r="747" spans="15:17" ht="21.75" customHeight="1" x14ac:dyDescent="0.45">
      <c r="O747" s="54"/>
      <c r="P747" s="54"/>
      <c r="Q747" s="54"/>
    </row>
    <row r="748" spans="15:17" ht="21.75" customHeight="1" x14ac:dyDescent="0.45">
      <c r="O748" s="54"/>
      <c r="P748" s="54"/>
      <c r="Q748" s="54"/>
    </row>
    <row r="749" spans="15:17" ht="21.75" customHeight="1" x14ac:dyDescent="0.45">
      <c r="O749" s="54"/>
      <c r="P749" s="54"/>
      <c r="Q749" s="54"/>
    </row>
    <row r="750" spans="15:17" ht="21.75" customHeight="1" x14ac:dyDescent="0.45">
      <c r="O750" s="54"/>
      <c r="P750" s="54"/>
      <c r="Q750" s="54"/>
    </row>
    <row r="751" spans="15:17" ht="21.75" customHeight="1" x14ac:dyDescent="0.45">
      <c r="O751" s="54"/>
      <c r="P751" s="54"/>
      <c r="Q751" s="54"/>
    </row>
    <row r="752" spans="15:17" ht="21.75" customHeight="1" x14ac:dyDescent="0.45">
      <c r="O752" s="54"/>
      <c r="P752" s="54"/>
      <c r="Q752" s="54"/>
    </row>
    <row r="753" spans="15:17" ht="21.75" customHeight="1" x14ac:dyDescent="0.45">
      <c r="O753" s="54"/>
      <c r="P753" s="54"/>
      <c r="Q753" s="54"/>
    </row>
    <row r="754" spans="15:17" ht="21.75" customHeight="1" x14ac:dyDescent="0.45">
      <c r="O754" s="54"/>
      <c r="P754" s="54"/>
      <c r="Q754" s="54"/>
    </row>
    <row r="755" spans="15:17" ht="21.75" customHeight="1" x14ac:dyDescent="0.45">
      <c r="O755" s="54"/>
      <c r="P755" s="54"/>
      <c r="Q755" s="54"/>
    </row>
    <row r="756" spans="15:17" ht="21.75" customHeight="1" x14ac:dyDescent="0.45">
      <c r="O756" s="54"/>
      <c r="P756" s="54"/>
      <c r="Q756" s="54"/>
    </row>
    <row r="757" spans="15:17" ht="21.75" customHeight="1" x14ac:dyDescent="0.45">
      <c r="O757" s="54"/>
      <c r="P757" s="54"/>
      <c r="Q757" s="54"/>
    </row>
    <row r="758" spans="15:17" ht="21.75" customHeight="1" x14ac:dyDescent="0.45">
      <c r="O758" s="54"/>
      <c r="P758" s="54"/>
      <c r="Q758" s="54"/>
    </row>
    <row r="759" spans="15:17" ht="21.75" customHeight="1" x14ac:dyDescent="0.45">
      <c r="O759" s="54"/>
      <c r="P759" s="54"/>
      <c r="Q759" s="54"/>
    </row>
    <row r="760" spans="15:17" ht="21.75" customHeight="1" x14ac:dyDescent="0.45">
      <c r="O760" s="54"/>
      <c r="P760" s="54"/>
      <c r="Q760" s="54"/>
    </row>
    <row r="761" spans="15:17" ht="21.75" customHeight="1" x14ac:dyDescent="0.45">
      <c r="O761" s="54"/>
      <c r="P761" s="54"/>
      <c r="Q761" s="54"/>
    </row>
    <row r="762" spans="15:17" ht="21.75" customHeight="1" x14ac:dyDescent="0.45">
      <c r="O762" s="54"/>
      <c r="P762" s="54"/>
      <c r="Q762" s="54"/>
    </row>
    <row r="763" spans="15:17" ht="21.75" customHeight="1" x14ac:dyDescent="0.45">
      <c r="O763" s="54"/>
      <c r="P763" s="54"/>
      <c r="Q763" s="54"/>
    </row>
    <row r="764" spans="15:17" ht="21.75" customHeight="1" x14ac:dyDescent="0.45">
      <c r="O764" s="54"/>
      <c r="P764" s="54"/>
      <c r="Q764" s="54"/>
    </row>
    <row r="765" spans="15:17" ht="21.75" customHeight="1" x14ac:dyDescent="0.45">
      <c r="O765" s="54"/>
      <c r="P765" s="54"/>
      <c r="Q765" s="54"/>
    </row>
    <row r="766" spans="15:17" ht="21.75" customHeight="1" x14ac:dyDescent="0.45">
      <c r="O766" s="54"/>
      <c r="P766" s="54"/>
      <c r="Q766" s="54"/>
    </row>
    <row r="767" spans="15:17" ht="21.75" customHeight="1" x14ac:dyDescent="0.45">
      <c r="O767" s="54"/>
      <c r="P767" s="54"/>
      <c r="Q767" s="54"/>
    </row>
    <row r="768" spans="15:17" ht="21.75" customHeight="1" x14ac:dyDescent="0.45">
      <c r="O768" s="54"/>
      <c r="P768" s="54"/>
      <c r="Q768" s="54"/>
    </row>
    <row r="769" spans="15:17" ht="21.75" customHeight="1" x14ac:dyDescent="0.45">
      <c r="O769" s="54"/>
      <c r="P769" s="54"/>
      <c r="Q769" s="54"/>
    </row>
    <row r="770" spans="15:17" ht="21.75" customHeight="1" x14ac:dyDescent="0.45">
      <c r="O770" s="54"/>
      <c r="P770" s="54"/>
      <c r="Q770" s="54"/>
    </row>
    <row r="771" spans="15:17" ht="21.75" customHeight="1" x14ac:dyDescent="0.45">
      <c r="O771" s="54"/>
      <c r="P771" s="54"/>
      <c r="Q771" s="54"/>
    </row>
    <row r="772" spans="15:17" ht="21.75" customHeight="1" x14ac:dyDescent="0.45">
      <c r="O772" s="54"/>
      <c r="P772" s="54"/>
      <c r="Q772" s="54"/>
    </row>
    <row r="773" spans="15:17" ht="21.75" customHeight="1" x14ac:dyDescent="0.45">
      <c r="O773" s="54"/>
      <c r="P773" s="54"/>
      <c r="Q773" s="54"/>
    </row>
    <row r="774" spans="15:17" ht="21.75" customHeight="1" x14ac:dyDescent="0.45">
      <c r="O774" s="54"/>
      <c r="P774" s="54"/>
      <c r="Q774" s="54"/>
    </row>
    <row r="775" spans="15:17" ht="21.75" customHeight="1" x14ac:dyDescent="0.45">
      <c r="O775" s="54"/>
      <c r="P775" s="54"/>
      <c r="Q775" s="54"/>
    </row>
    <row r="776" spans="15:17" ht="21.75" customHeight="1" x14ac:dyDescent="0.45">
      <c r="O776" s="54"/>
      <c r="P776" s="54"/>
      <c r="Q776" s="54"/>
    </row>
    <row r="777" spans="15:17" ht="21.75" customHeight="1" x14ac:dyDescent="0.45">
      <c r="O777" s="54"/>
      <c r="P777" s="54"/>
      <c r="Q777" s="54"/>
    </row>
    <row r="778" spans="15:17" ht="21.75" customHeight="1" x14ac:dyDescent="0.45">
      <c r="O778" s="54"/>
      <c r="P778" s="54"/>
      <c r="Q778" s="54"/>
    </row>
    <row r="779" spans="15:17" ht="21.75" customHeight="1" x14ac:dyDescent="0.45">
      <c r="O779" s="54"/>
      <c r="P779" s="54"/>
      <c r="Q779" s="54"/>
    </row>
    <row r="780" spans="15:17" ht="21.75" customHeight="1" x14ac:dyDescent="0.45">
      <c r="O780" s="54"/>
      <c r="P780" s="54"/>
      <c r="Q780" s="54"/>
    </row>
    <row r="781" spans="15:17" ht="21.75" customHeight="1" x14ac:dyDescent="0.45">
      <c r="O781" s="54"/>
      <c r="P781" s="54"/>
      <c r="Q781" s="54"/>
    </row>
    <row r="782" spans="15:17" ht="21.75" customHeight="1" x14ac:dyDescent="0.45">
      <c r="O782" s="54"/>
      <c r="P782" s="54"/>
      <c r="Q782" s="54"/>
    </row>
    <row r="783" spans="15:17" ht="21.75" customHeight="1" x14ac:dyDescent="0.45">
      <c r="O783" s="54"/>
      <c r="P783" s="54"/>
      <c r="Q783" s="54"/>
    </row>
    <row r="784" spans="15:17" ht="21.75" customHeight="1" x14ac:dyDescent="0.45">
      <c r="O784" s="54"/>
      <c r="P784" s="54"/>
      <c r="Q784" s="54"/>
    </row>
    <row r="785" spans="15:17" ht="21.75" customHeight="1" x14ac:dyDescent="0.45">
      <c r="O785" s="54"/>
      <c r="P785" s="54"/>
      <c r="Q785" s="54"/>
    </row>
    <row r="786" spans="15:17" ht="21.75" customHeight="1" x14ac:dyDescent="0.45">
      <c r="O786" s="54"/>
      <c r="P786" s="54"/>
      <c r="Q786" s="54"/>
    </row>
    <row r="787" spans="15:17" ht="21.75" customHeight="1" x14ac:dyDescent="0.45">
      <c r="O787" s="54"/>
      <c r="P787" s="54"/>
      <c r="Q787" s="54"/>
    </row>
    <row r="788" spans="15:17" ht="21.75" customHeight="1" x14ac:dyDescent="0.45">
      <c r="O788" s="54"/>
      <c r="P788" s="54"/>
      <c r="Q788" s="54"/>
    </row>
    <row r="789" spans="15:17" ht="21.75" customHeight="1" x14ac:dyDescent="0.45">
      <c r="O789" s="54"/>
      <c r="P789" s="54"/>
      <c r="Q789" s="54"/>
    </row>
    <row r="790" spans="15:17" ht="21.75" customHeight="1" x14ac:dyDescent="0.45">
      <c r="O790" s="54"/>
      <c r="P790" s="54"/>
      <c r="Q790" s="54"/>
    </row>
    <row r="791" spans="15:17" ht="21.75" customHeight="1" x14ac:dyDescent="0.45">
      <c r="O791" s="54"/>
      <c r="P791" s="54"/>
      <c r="Q791" s="54"/>
    </row>
    <row r="792" spans="15:17" ht="21.75" customHeight="1" x14ac:dyDescent="0.45">
      <c r="O792" s="54"/>
      <c r="P792" s="54"/>
      <c r="Q792" s="54"/>
    </row>
    <row r="793" spans="15:17" ht="21.75" customHeight="1" x14ac:dyDescent="0.45">
      <c r="O793" s="54"/>
      <c r="P793" s="54"/>
      <c r="Q793" s="54"/>
    </row>
    <row r="794" spans="15:17" ht="21.75" customHeight="1" x14ac:dyDescent="0.45">
      <c r="O794" s="54"/>
      <c r="P794" s="54"/>
      <c r="Q794" s="54"/>
    </row>
    <row r="795" spans="15:17" ht="21.75" customHeight="1" x14ac:dyDescent="0.45">
      <c r="O795" s="54"/>
      <c r="P795" s="54"/>
      <c r="Q795" s="54"/>
    </row>
    <row r="796" spans="15:17" ht="21.75" customHeight="1" x14ac:dyDescent="0.45">
      <c r="O796" s="54"/>
      <c r="P796" s="54"/>
      <c r="Q796" s="54"/>
    </row>
    <row r="797" spans="15:17" ht="21.75" customHeight="1" x14ac:dyDescent="0.45">
      <c r="O797" s="54"/>
      <c r="P797" s="54"/>
      <c r="Q797" s="54"/>
    </row>
    <row r="798" spans="15:17" ht="21.75" customHeight="1" x14ac:dyDescent="0.45">
      <c r="O798" s="54"/>
      <c r="P798" s="54"/>
      <c r="Q798" s="54"/>
    </row>
    <row r="799" spans="15:17" ht="21.75" customHeight="1" x14ac:dyDescent="0.45">
      <c r="O799" s="54"/>
      <c r="P799" s="54"/>
      <c r="Q799" s="54"/>
    </row>
    <row r="800" spans="15:17" ht="21.75" customHeight="1" x14ac:dyDescent="0.45">
      <c r="O800" s="54"/>
      <c r="P800" s="54"/>
      <c r="Q800" s="54"/>
    </row>
    <row r="801" spans="15:17" ht="21.75" customHeight="1" x14ac:dyDescent="0.45">
      <c r="O801" s="54"/>
      <c r="P801" s="54"/>
      <c r="Q801" s="54"/>
    </row>
    <row r="802" spans="15:17" ht="21.75" customHeight="1" x14ac:dyDescent="0.45">
      <c r="O802" s="54"/>
      <c r="P802" s="54"/>
      <c r="Q802" s="54"/>
    </row>
    <row r="803" spans="15:17" ht="21.75" customHeight="1" x14ac:dyDescent="0.45">
      <c r="O803" s="54"/>
      <c r="P803" s="54"/>
      <c r="Q803" s="54"/>
    </row>
    <row r="804" spans="15:17" ht="21.75" customHeight="1" x14ac:dyDescent="0.45">
      <c r="O804" s="54"/>
      <c r="P804" s="54"/>
      <c r="Q804" s="54"/>
    </row>
    <row r="805" spans="15:17" ht="21.75" customHeight="1" x14ac:dyDescent="0.45">
      <c r="O805" s="54"/>
      <c r="P805" s="54"/>
      <c r="Q805" s="54"/>
    </row>
    <row r="806" spans="15:17" ht="21.75" customHeight="1" x14ac:dyDescent="0.45">
      <c r="O806" s="54"/>
      <c r="P806" s="54"/>
      <c r="Q806" s="54"/>
    </row>
    <row r="807" spans="15:17" ht="21.75" customHeight="1" x14ac:dyDescent="0.45">
      <c r="O807" s="54"/>
      <c r="P807" s="54"/>
      <c r="Q807" s="54"/>
    </row>
    <row r="808" spans="15:17" ht="21.75" customHeight="1" x14ac:dyDescent="0.45">
      <c r="O808" s="54"/>
      <c r="P808" s="54"/>
      <c r="Q808" s="54"/>
    </row>
    <row r="809" spans="15:17" ht="21.75" customHeight="1" x14ac:dyDescent="0.45">
      <c r="O809" s="54"/>
      <c r="P809" s="54"/>
      <c r="Q809" s="54"/>
    </row>
    <row r="810" spans="15:17" ht="21.75" customHeight="1" x14ac:dyDescent="0.45">
      <c r="O810" s="54"/>
      <c r="P810" s="54"/>
      <c r="Q810" s="54"/>
    </row>
    <row r="811" spans="15:17" ht="21.75" customHeight="1" x14ac:dyDescent="0.45">
      <c r="O811" s="54"/>
      <c r="P811" s="54"/>
      <c r="Q811" s="54"/>
    </row>
    <row r="812" spans="15:17" ht="21.75" customHeight="1" x14ac:dyDescent="0.45">
      <c r="O812" s="54"/>
      <c r="P812" s="54"/>
      <c r="Q812" s="54"/>
    </row>
    <row r="813" spans="15:17" ht="21.75" customHeight="1" x14ac:dyDescent="0.45">
      <c r="O813" s="54"/>
      <c r="P813" s="54"/>
      <c r="Q813" s="54"/>
    </row>
    <row r="814" spans="15:17" ht="21.75" customHeight="1" x14ac:dyDescent="0.45">
      <c r="O814" s="54"/>
      <c r="P814" s="54"/>
      <c r="Q814" s="54"/>
    </row>
    <row r="815" spans="15:17" ht="21.75" customHeight="1" x14ac:dyDescent="0.45">
      <c r="O815" s="54"/>
      <c r="P815" s="54"/>
      <c r="Q815" s="54"/>
    </row>
    <row r="816" spans="15:17" ht="21.75" customHeight="1" x14ac:dyDescent="0.45">
      <c r="O816" s="54"/>
      <c r="P816" s="54"/>
      <c r="Q816" s="54"/>
    </row>
    <row r="817" spans="15:17" ht="21.75" customHeight="1" x14ac:dyDescent="0.45">
      <c r="O817" s="54"/>
      <c r="P817" s="54"/>
      <c r="Q817" s="54"/>
    </row>
    <row r="818" spans="15:17" ht="21.75" customHeight="1" x14ac:dyDescent="0.45">
      <c r="O818" s="54"/>
      <c r="P818" s="54"/>
      <c r="Q818" s="54"/>
    </row>
    <row r="819" spans="15:17" ht="21.75" customHeight="1" x14ac:dyDescent="0.45">
      <c r="O819" s="54"/>
      <c r="P819" s="54"/>
      <c r="Q819" s="54"/>
    </row>
    <row r="820" spans="15:17" ht="21.75" customHeight="1" x14ac:dyDescent="0.45">
      <c r="O820" s="54"/>
      <c r="P820" s="54"/>
      <c r="Q820" s="54"/>
    </row>
    <row r="821" spans="15:17" ht="21.75" customHeight="1" x14ac:dyDescent="0.45">
      <c r="O821" s="54"/>
      <c r="P821" s="54"/>
      <c r="Q821" s="54"/>
    </row>
    <row r="822" spans="15:17" ht="21.75" customHeight="1" x14ac:dyDescent="0.45">
      <c r="O822" s="54"/>
      <c r="P822" s="54"/>
      <c r="Q822" s="54"/>
    </row>
    <row r="823" spans="15:17" ht="21.75" customHeight="1" x14ac:dyDescent="0.45">
      <c r="O823" s="54"/>
      <c r="P823" s="54"/>
      <c r="Q823" s="54"/>
    </row>
    <row r="824" spans="15:17" ht="21.75" customHeight="1" x14ac:dyDescent="0.45">
      <c r="O824" s="54"/>
      <c r="P824" s="54"/>
      <c r="Q824" s="54"/>
    </row>
    <row r="825" spans="15:17" ht="21.75" customHeight="1" x14ac:dyDescent="0.45">
      <c r="O825" s="54"/>
      <c r="P825" s="54"/>
      <c r="Q825" s="54"/>
    </row>
    <row r="826" spans="15:17" ht="21.75" customHeight="1" x14ac:dyDescent="0.45">
      <c r="O826" s="54"/>
      <c r="P826" s="54"/>
      <c r="Q826" s="54"/>
    </row>
    <row r="827" spans="15:17" ht="21.75" customHeight="1" x14ac:dyDescent="0.45">
      <c r="O827" s="54"/>
      <c r="P827" s="54"/>
      <c r="Q827" s="54"/>
    </row>
    <row r="828" spans="15:17" ht="21.75" customHeight="1" x14ac:dyDescent="0.45">
      <c r="O828" s="54"/>
      <c r="P828" s="54"/>
      <c r="Q828" s="54"/>
    </row>
    <row r="829" spans="15:17" ht="21.75" customHeight="1" x14ac:dyDescent="0.45">
      <c r="O829" s="54"/>
      <c r="P829" s="54"/>
      <c r="Q829" s="54"/>
    </row>
    <row r="830" spans="15:17" ht="21.75" customHeight="1" x14ac:dyDescent="0.45">
      <c r="O830" s="54"/>
      <c r="P830" s="54"/>
      <c r="Q830" s="54"/>
    </row>
    <row r="831" spans="15:17" ht="21.75" customHeight="1" x14ac:dyDescent="0.45">
      <c r="O831" s="54"/>
      <c r="P831" s="54"/>
      <c r="Q831" s="54"/>
    </row>
    <row r="832" spans="15:17" ht="21.75" customHeight="1" x14ac:dyDescent="0.45">
      <c r="O832" s="54"/>
      <c r="P832" s="54"/>
      <c r="Q832" s="54"/>
    </row>
    <row r="833" spans="15:17" ht="21.75" customHeight="1" x14ac:dyDescent="0.45">
      <c r="O833" s="54"/>
      <c r="P833" s="54"/>
      <c r="Q833" s="54"/>
    </row>
    <row r="834" spans="15:17" ht="21.75" customHeight="1" x14ac:dyDescent="0.45">
      <c r="O834" s="54"/>
      <c r="P834" s="54"/>
      <c r="Q834" s="54"/>
    </row>
    <row r="835" spans="15:17" ht="21.75" customHeight="1" x14ac:dyDescent="0.45">
      <c r="O835" s="54"/>
      <c r="P835" s="54"/>
      <c r="Q835" s="54"/>
    </row>
    <row r="836" spans="15:17" ht="21.75" customHeight="1" x14ac:dyDescent="0.45">
      <c r="O836" s="54"/>
      <c r="P836" s="54"/>
      <c r="Q836" s="54"/>
    </row>
    <row r="837" spans="15:17" ht="21.75" customHeight="1" x14ac:dyDescent="0.45">
      <c r="O837" s="54"/>
      <c r="P837" s="54"/>
      <c r="Q837" s="54"/>
    </row>
    <row r="838" spans="15:17" ht="21.75" customHeight="1" x14ac:dyDescent="0.45">
      <c r="O838" s="54"/>
      <c r="P838" s="54"/>
      <c r="Q838" s="54"/>
    </row>
    <row r="839" spans="15:17" ht="21.75" customHeight="1" x14ac:dyDescent="0.45">
      <c r="O839" s="54"/>
      <c r="P839" s="54"/>
      <c r="Q839" s="54"/>
    </row>
    <row r="840" spans="15:17" ht="21.75" customHeight="1" x14ac:dyDescent="0.45">
      <c r="O840" s="54"/>
      <c r="P840" s="54"/>
      <c r="Q840" s="54"/>
    </row>
    <row r="841" spans="15:17" ht="21.75" customHeight="1" x14ac:dyDescent="0.45">
      <c r="O841" s="54"/>
      <c r="P841" s="54"/>
      <c r="Q841" s="54"/>
    </row>
    <row r="842" spans="15:17" ht="21.75" customHeight="1" x14ac:dyDescent="0.45">
      <c r="O842" s="54"/>
      <c r="P842" s="54"/>
      <c r="Q842" s="54"/>
    </row>
    <row r="843" spans="15:17" ht="21.75" customHeight="1" x14ac:dyDescent="0.45">
      <c r="O843" s="54"/>
      <c r="P843" s="54"/>
      <c r="Q843" s="54"/>
    </row>
    <row r="844" spans="15:17" ht="21.75" customHeight="1" x14ac:dyDescent="0.45">
      <c r="O844" s="54"/>
      <c r="P844" s="54"/>
      <c r="Q844" s="54"/>
    </row>
    <row r="845" spans="15:17" ht="21.75" customHeight="1" x14ac:dyDescent="0.45">
      <c r="O845" s="54"/>
      <c r="P845" s="54"/>
      <c r="Q845" s="54"/>
    </row>
    <row r="846" spans="15:17" ht="21.75" customHeight="1" x14ac:dyDescent="0.45">
      <c r="O846" s="54"/>
      <c r="P846" s="54"/>
      <c r="Q846" s="54"/>
    </row>
    <row r="847" spans="15:17" ht="21.75" customHeight="1" x14ac:dyDescent="0.45">
      <c r="O847" s="54"/>
      <c r="P847" s="54"/>
      <c r="Q847" s="54"/>
    </row>
    <row r="848" spans="15:17" ht="21.75" customHeight="1" x14ac:dyDescent="0.45">
      <c r="O848" s="54"/>
      <c r="P848" s="54"/>
      <c r="Q848" s="54"/>
    </row>
    <row r="849" spans="15:17" ht="21.75" customHeight="1" x14ac:dyDescent="0.45">
      <c r="O849" s="54"/>
      <c r="P849" s="54"/>
      <c r="Q849" s="54"/>
    </row>
    <row r="850" spans="15:17" ht="21.75" customHeight="1" x14ac:dyDescent="0.45">
      <c r="O850" s="54"/>
      <c r="P850" s="54"/>
      <c r="Q850" s="54"/>
    </row>
    <row r="851" spans="15:17" ht="21.75" customHeight="1" x14ac:dyDescent="0.45">
      <c r="O851" s="54"/>
      <c r="P851" s="54"/>
      <c r="Q851" s="54"/>
    </row>
    <row r="852" spans="15:17" ht="21.75" customHeight="1" x14ac:dyDescent="0.45">
      <c r="O852" s="54"/>
      <c r="P852" s="54"/>
      <c r="Q852" s="54"/>
    </row>
    <row r="853" spans="15:17" ht="21.75" customHeight="1" x14ac:dyDescent="0.45">
      <c r="O853" s="54"/>
      <c r="P853" s="54"/>
      <c r="Q853" s="54"/>
    </row>
    <row r="854" spans="15:17" ht="21.75" customHeight="1" x14ac:dyDescent="0.45">
      <c r="O854" s="54"/>
      <c r="P854" s="54"/>
      <c r="Q854" s="54"/>
    </row>
    <row r="855" spans="15:17" ht="21.75" customHeight="1" x14ac:dyDescent="0.45">
      <c r="O855" s="54"/>
      <c r="P855" s="54"/>
      <c r="Q855" s="54"/>
    </row>
    <row r="856" spans="15:17" ht="21.75" customHeight="1" x14ac:dyDescent="0.45">
      <c r="O856" s="54"/>
      <c r="P856" s="54"/>
      <c r="Q856" s="54"/>
    </row>
    <row r="857" spans="15:17" ht="21.75" customHeight="1" x14ac:dyDescent="0.45">
      <c r="O857" s="54"/>
      <c r="P857" s="54"/>
      <c r="Q857" s="54"/>
    </row>
    <row r="858" spans="15:17" ht="21.75" customHeight="1" x14ac:dyDescent="0.45">
      <c r="O858" s="54"/>
      <c r="P858" s="54"/>
      <c r="Q858" s="54"/>
    </row>
    <row r="859" spans="15:17" ht="21.75" customHeight="1" x14ac:dyDescent="0.45">
      <c r="O859" s="54"/>
      <c r="P859" s="54"/>
      <c r="Q859" s="54"/>
    </row>
    <row r="860" spans="15:17" ht="21.75" customHeight="1" x14ac:dyDescent="0.45">
      <c r="O860" s="54"/>
      <c r="P860" s="54"/>
      <c r="Q860" s="54"/>
    </row>
    <row r="861" spans="15:17" ht="21.75" customHeight="1" x14ac:dyDescent="0.45">
      <c r="O861" s="54"/>
      <c r="P861" s="54"/>
      <c r="Q861" s="54"/>
    </row>
    <row r="862" spans="15:17" ht="21.75" customHeight="1" x14ac:dyDescent="0.45">
      <c r="O862" s="54"/>
      <c r="P862" s="54"/>
      <c r="Q862" s="54"/>
    </row>
    <row r="863" spans="15:17" ht="21.75" customHeight="1" x14ac:dyDescent="0.45">
      <c r="O863" s="54"/>
      <c r="P863" s="54"/>
      <c r="Q863" s="54"/>
    </row>
    <row r="864" spans="15:17" ht="21.75" customHeight="1" x14ac:dyDescent="0.45">
      <c r="O864" s="54"/>
      <c r="P864" s="54"/>
      <c r="Q864" s="54"/>
    </row>
    <row r="865" spans="15:17" ht="21.75" customHeight="1" x14ac:dyDescent="0.45">
      <c r="O865" s="54"/>
      <c r="P865" s="54"/>
      <c r="Q865" s="54"/>
    </row>
    <row r="866" spans="15:17" ht="21.75" customHeight="1" x14ac:dyDescent="0.45">
      <c r="O866" s="54"/>
      <c r="P866" s="54"/>
      <c r="Q866" s="54"/>
    </row>
    <row r="867" spans="15:17" ht="21.75" customHeight="1" x14ac:dyDescent="0.45">
      <c r="O867" s="54"/>
      <c r="P867" s="54"/>
      <c r="Q867" s="54"/>
    </row>
    <row r="868" spans="15:17" ht="21.75" customHeight="1" x14ac:dyDescent="0.45">
      <c r="O868" s="54"/>
      <c r="P868" s="54"/>
      <c r="Q868" s="54"/>
    </row>
    <row r="869" spans="15:17" ht="21.75" customHeight="1" x14ac:dyDescent="0.45">
      <c r="O869" s="54"/>
      <c r="P869" s="54"/>
      <c r="Q869" s="54"/>
    </row>
    <row r="870" spans="15:17" ht="21.75" customHeight="1" x14ac:dyDescent="0.45">
      <c r="O870" s="54"/>
      <c r="P870" s="54"/>
      <c r="Q870" s="54"/>
    </row>
    <row r="871" spans="15:17" ht="21.75" customHeight="1" x14ac:dyDescent="0.45">
      <c r="O871" s="54"/>
      <c r="P871" s="54"/>
      <c r="Q871" s="54"/>
    </row>
    <row r="872" spans="15:17" ht="21.75" customHeight="1" x14ac:dyDescent="0.45">
      <c r="O872" s="54"/>
      <c r="P872" s="54"/>
      <c r="Q872" s="54"/>
    </row>
    <row r="873" spans="15:17" ht="21.75" customHeight="1" x14ac:dyDescent="0.45">
      <c r="O873" s="54"/>
      <c r="P873" s="54"/>
      <c r="Q873" s="54"/>
    </row>
    <row r="874" spans="15:17" ht="21.75" customHeight="1" x14ac:dyDescent="0.45">
      <c r="O874" s="54"/>
      <c r="P874" s="54"/>
      <c r="Q874" s="54"/>
    </row>
    <row r="875" spans="15:17" ht="21.75" customHeight="1" x14ac:dyDescent="0.45">
      <c r="O875" s="54"/>
      <c r="P875" s="54"/>
      <c r="Q875" s="54"/>
    </row>
    <row r="876" spans="15:17" ht="21.75" customHeight="1" x14ac:dyDescent="0.45">
      <c r="O876" s="54"/>
      <c r="P876" s="54"/>
      <c r="Q876" s="54"/>
    </row>
    <row r="877" spans="15:17" ht="21.75" customHeight="1" x14ac:dyDescent="0.45">
      <c r="O877" s="54"/>
      <c r="P877" s="54"/>
      <c r="Q877" s="54"/>
    </row>
    <row r="878" spans="15:17" ht="21.75" customHeight="1" x14ac:dyDescent="0.45">
      <c r="O878" s="54"/>
      <c r="P878" s="54"/>
      <c r="Q878" s="54"/>
    </row>
    <row r="879" spans="15:17" ht="21.75" customHeight="1" x14ac:dyDescent="0.45">
      <c r="O879" s="54"/>
      <c r="P879" s="54"/>
      <c r="Q879" s="54"/>
    </row>
    <row r="880" spans="15:17" ht="21.75" customHeight="1" x14ac:dyDescent="0.45">
      <c r="O880" s="54"/>
      <c r="P880" s="54"/>
      <c r="Q880" s="54"/>
    </row>
    <row r="881" spans="15:17" ht="21.75" customHeight="1" x14ac:dyDescent="0.45">
      <c r="O881" s="54"/>
      <c r="P881" s="54"/>
      <c r="Q881" s="54"/>
    </row>
    <row r="882" spans="15:17" ht="21.75" customHeight="1" x14ac:dyDescent="0.45">
      <c r="O882" s="54"/>
      <c r="P882" s="54"/>
      <c r="Q882" s="54"/>
    </row>
    <row r="883" spans="15:17" ht="21.75" customHeight="1" x14ac:dyDescent="0.45">
      <c r="O883" s="54"/>
      <c r="P883" s="54"/>
      <c r="Q883" s="54"/>
    </row>
    <row r="884" spans="15:17" ht="21.75" customHeight="1" x14ac:dyDescent="0.45">
      <c r="O884" s="54"/>
      <c r="P884" s="54"/>
      <c r="Q884" s="54"/>
    </row>
    <row r="885" spans="15:17" ht="21.75" customHeight="1" x14ac:dyDescent="0.45">
      <c r="O885" s="54"/>
      <c r="P885" s="54"/>
      <c r="Q885" s="54"/>
    </row>
    <row r="886" spans="15:17" ht="21.75" customHeight="1" x14ac:dyDescent="0.45">
      <c r="O886" s="54"/>
      <c r="P886" s="54"/>
      <c r="Q886" s="54"/>
    </row>
    <row r="887" spans="15:17" ht="21.75" customHeight="1" x14ac:dyDescent="0.45">
      <c r="O887" s="54"/>
      <c r="P887" s="54"/>
      <c r="Q887" s="54"/>
    </row>
    <row r="888" spans="15:17" ht="21.75" customHeight="1" x14ac:dyDescent="0.45">
      <c r="O888" s="54"/>
      <c r="P888" s="54"/>
      <c r="Q888" s="54"/>
    </row>
    <row r="889" spans="15:17" ht="21.75" customHeight="1" x14ac:dyDescent="0.45">
      <c r="O889" s="54"/>
      <c r="P889" s="54"/>
      <c r="Q889" s="54"/>
    </row>
    <row r="890" spans="15:17" ht="21.75" customHeight="1" x14ac:dyDescent="0.45">
      <c r="O890" s="54"/>
      <c r="P890" s="54"/>
      <c r="Q890" s="54"/>
    </row>
    <row r="891" spans="15:17" ht="21.75" customHeight="1" x14ac:dyDescent="0.45">
      <c r="O891" s="54"/>
      <c r="P891" s="54"/>
      <c r="Q891" s="54"/>
    </row>
    <row r="892" spans="15:17" ht="21.75" customHeight="1" x14ac:dyDescent="0.45">
      <c r="O892" s="54"/>
      <c r="P892" s="54"/>
      <c r="Q892" s="54"/>
    </row>
    <row r="893" spans="15:17" ht="21.75" customHeight="1" x14ac:dyDescent="0.45">
      <c r="O893" s="54"/>
      <c r="P893" s="54"/>
      <c r="Q893" s="54"/>
    </row>
    <row r="894" spans="15:17" ht="21.75" customHeight="1" x14ac:dyDescent="0.45">
      <c r="O894" s="54"/>
      <c r="P894" s="54"/>
      <c r="Q894" s="54"/>
    </row>
    <row r="895" spans="15:17" ht="21.75" customHeight="1" x14ac:dyDescent="0.45">
      <c r="O895" s="54"/>
      <c r="P895" s="54"/>
      <c r="Q895" s="54"/>
    </row>
    <row r="896" spans="15:17" ht="21.75" customHeight="1" x14ac:dyDescent="0.45">
      <c r="O896" s="54"/>
      <c r="P896" s="54"/>
      <c r="Q896" s="54"/>
    </row>
    <row r="897" spans="15:17" ht="21.75" customHeight="1" x14ac:dyDescent="0.45">
      <c r="O897" s="54"/>
      <c r="P897" s="54"/>
      <c r="Q897" s="54"/>
    </row>
    <row r="898" spans="15:17" ht="21.75" customHeight="1" x14ac:dyDescent="0.45">
      <c r="O898" s="54"/>
      <c r="P898" s="54"/>
      <c r="Q898" s="54"/>
    </row>
    <row r="899" spans="15:17" ht="21.75" customHeight="1" x14ac:dyDescent="0.45">
      <c r="O899" s="54"/>
      <c r="P899" s="54"/>
      <c r="Q899" s="54"/>
    </row>
    <row r="900" spans="15:17" ht="21.75" customHeight="1" x14ac:dyDescent="0.45">
      <c r="O900" s="54"/>
      <c r="P900" s="54"/>
      <c r="Q900" s="54"/>
    </row>
    <row r="901" spans="15:17" ht="21.75" customHeight="1" x14ac:dyDescent="0.45">
      <c r="O901" s="54"/>
      <c r="P901" s="54"/>
      <c r="Q901" s="54"/>
    </row>
    <row r="902" spans="15:17" ht="21.75" customHeight="1" x14ac:dyDescent="0.45">
      <c r="O902" s="54"/>
      <c r="P902" s="54"/>
      <c r="Q902" s="54"/>
    </row>
    <row r="903" spans="15:17" ht="21.75" customHeight="1" x14ac:dyDescent="0.45">
      <c r="O903" s="54"/>
      <c r="P903" s="54"/>
      <c r="Q903" s="54"/>
    </row>
    <row r="904" spans="15:17" ht="21.75" customHeight="1" x14ac:dyDescent="0.45">
      <c r="O904" s="54"/>
      <c r="P904" s="54"/>
      <c r="Q904" s="54"/>
    </row>
    <row r="905" spans="15:17" ht="21.75" customHeight="1" x14ac:dyDescent="0.45">
      <c r="O905" s="54"/>
      <c r="P905" s="54"/>
      <c r="Q905" s="54"/>
    </row>
    <row r="906" spans="15:17" ht="21.75" customHeight="1" x14ac:dyDescent="0.45">
      <c r="O906" s="54"/>
      <c r="P906" s="54"/>
      <c r="Q906" s="54"/>
    </row>
    <row r="907" spans="15:17" ht="21.75" customHeight="1" x14ac:dyDescent="0.45">
      <c r="O907" s="54"/>
      <c r="P907" s="54"/>
      <c r="Q907" s="54"/>
    </row>
    <row r="908" spans="15:17" ht="21.75" customHeight="1" x14ac:dyDescent="0.45">
      <c r="O908" s="54"/>
      <c r="P908" s="54"/>
      <c r="Q908" s="54"/>
    </row>
    <row r="909" spans="15:17" ht="21.75" customHeight="1" x14ac:dyDescent="0.45">
      <c r="O909" s="54"/>
      <c r="P909" s="54"/>
      <c r="Q909" s="54"/>
    </row>
    <row r="910" spans="15:17" ht="21.75" customHeight="1" x14ac:dyDescent="0.45">
      <c r="O910" s="54"/>
      <c r="P910" s="54"/>
      <c r="Q910" s="54"/>
    </row>
    <row r="911" spans="15:17" ht="21.75" customHeight="1" x14ac:dyDescent="0.45">
      <c r="O911" s="54"/>
      <c r="P911" s="54"/>
      <c r="Q911" s="54"/>
    </row>
    <row r="912" spans="15:17" ht="21.75" customHeight="1" x14ac:dyDescent="0.45">
      <c r="O912" s="54"/>
      <c r="P912" s="54"/>
      <c r="Q912" s="54"/>
    </row>
    <row r="913" spans="15:17" ht="21.75" customHeight="1" x14ac:dyDescent="0.45">
      <c r="O913" s="54"/>
      <c r="P913" s="54"/>
      <c r="Q913" s="54"/>
    </row>
    <row r="914" spans="15:17" ht="21.75" customHeight="1" x14ac:dyDescent="0.45">
      <c r="O914" s="54"/>
      <c r="P914" s="54"/>
      <c r="Q914" s="54"/>
    </row>
    <row r="915" spans="15:17" ht="21.75" customHeight="1" x14ac:dyDescent="0.45">
      <c r="O915" s="54"/>
      <c r="P915" s="54"/>
      <c r="Q915" s="54"/>
    </row>
    <row r="916" spans="15:17" ht="21.75" customHeight="1" x14ac:dyDescent="0.45">
      <c r="O916" s="54"/>
      <c r="P916" s="54"/>
      <c r="Q916" s="54"/>
    </row>
    <row r="917" spans="15:17" ht="21.75" customHeight="1" x14ac:dyDescent="0.45">
      <c r="O917" s="54"/>
      <c r="P917" s="54"/>
      <c r="Q917" s="54"/>
    </row>
    <row r="918" spans="15:17" ht="21.75" customHeight="1" x14ac:dyDescent="0.45">
      <c r="O918" s="54"/>
      <c r="P918" s="54"/>
      <c r="Q918" s="54"/>
    </row>
    <row r="919" spans="15:17" ht="21.75" customHeight="1" x14ac:dyDescent="0.45">
      <c r="O919" s="54"/>
      <c r="P919" s="54"/>
      <c r="Q919" s="54"/>
    </row>
    <row r="920" spans="15:17" ht="21.75" customHeight="1" x14ac:dyDescent="0.45">
      <c r="O920" s="54"/>
      <c r="P920" s="54"/>
      <c r="Q920" s="54"/>
    </row>
    <row r="921" spans="15:17" ht="21.75" customHeight="1" x14ac:dyDescent="0.45">
      <c r="O921" s="54"/>
      <c r="P921" s="54"/>
      <c r="Q921" s="54"/>
    </row>
    <row r="922" spans="15:17" ht="21.75" customHeight="1" x14ac:dyDescent="0.45">
      <c r="O922" s="54"/>
      <c r="P922" s="54"/>
      <c r="Q922" s="54"/>
    </row>
    <row r="923" spans="15:17" ht="21.75" customHeight="1" x14ac:dyDescent="0.45">
      <c r="O923" s="54"/>
      <c r="P923" s="54"/>
      <c r="Q923" s="54"/>
    </row>
    <row r="924" spans="15:17" ht="21.75" customHeight="1" x14ac:dyDescent="0.45">
      <c r="O924" s="54"/>
      <c r="P924" s="54"/>
      <c r="Q924" s="54"/>
    </row>
    <row r="925" spans="15:17" ht="21.75" customHeight="1" x14ac:dyDescent="0.45">
      <c r="O925" s="54"/>
      <c r="P925" s="54"/>
      <c r="Q925" s="54"/>
    </row>
    <row r="926" spans="15:17" ht="21.75" customHeight="1" x14ac:dyDescent="0.45">
      <c r="O926" s="54"/>
      <c r="P926" s="54"/>
      <c r="Q926" s="54"/>
    </row>
    <row r="927" spans="15:17" ht="21.75" customHeight="1" x14ac:dyDescent="0.45">
      <c r="O927" s="54"/>
      <c r="P927" s="54"/>
      <c r="Q927" s="54"/>
    </row>
    <row r="928" spans="15:17" ht="21.75" customHeight="1" x14ac:dyDescent="0.45">
      <c r="O928" s="54"/>
      <c r="P928" s="54"/>
      <c r="Q928" s="54"/>
    </row>
    <row r="929" spans="15:17" ht="21.75" customHeight="1" x14ac:dyDescent="0.45">
      <c r="O929" s="54"/>
      <c r="P929" s="54"/>
      <c r="Q929" s="54"/>
    </row>
    <row r="930" spans="15:17" ht="21.75" customHeight="1" x14ac:dyDescent="0.45">
      <c r="O930" s="54"/>
      <c r="P930" s="54"/>
      <c r="Q930" s="54"/>
    </row>
    <row r="931" spans="15:17" ht="21.75" customHeight="1" x14ac:dyDescent="0.45">
      <c r="O931" s="54"/>
      <c r="P931" s="54"/>
      <c r="Q931" s="54"/>
    </row>
    <row r="932" spans="15:17" ht="21.75" customHeight="1" x14ac:dyDescent="0.45">
      <c r="O932" s="54"/>
      <c r="P932" s="54"/>
      <c r="Q932" s="54"/>
    </row>
    <row r="933" spans="15:17" ht="21.75" customHeight="1" x14ac:dyDescent="0.45">
      <c r="O933" s="54"/>
      <c r="P933" s="54"/>
      <c r="Q933" s="54"/>
    </row>
    <row r="934" spans="15:17" ht="21.75" customHeight="1" x14ac:dyDescent="0.45">
      <c r="O934" s="54"/>
      <c r="P934" s="54"/>
      <c r="Q934" s="54"/>
    </row>
    <row r="935" spans="15:17" ht="21.75" customHeight="1" x14ac:dyDescent="0.45">
      <c r="O935" s="54"/>
      <c r="P935" s="54"/>
      <c r="Q935" s="54"/>
    </row>
    <row r="936" spans="15:17" ht="21.75" customHeight="1" x14ac:dyDescent="0.45">
      <c r="O936" s="54"/>
      <c r="P936" s="54"/>
      <c r="Q936" s="54"/>
    </row>
    <row r="937" spans="15:17" ht="21.75" customHeight="1" x14ac:dyDescent="0.45">
      <c r="O937" s="54"/>
      <c r="P937" s="54"/>
      <c r="Q937" s="54"/>
    </row>
    <row r="938" spans="15:17" ht="21.75" customHeight="1" x14ac:dyDescent="0.45">
      <c r="O938" s="54"/>
      <c r="P938" s="54"/>
      <c r="Q938" s="54"/>
    </row>
    <row r="939" spans="15:17" ht="21.75" customHeight="1" x14ac:dyDescent="0.45">
      <c r="O939" s="54"/>
      <c r="P939" s="54"/>
      <c r="Q939" s="54"/>
    </row>
    <row r="940" spans="15:17" ht="21.75" customHeight="1" x14ac:dyDescent="0.45">
      <c r="O940" s="54"/>
      <c r="P940" s="54"/>
      <c r="Q940" s="54"/>
    </row>
    <row r="941" spans="15:17" ht="21.75" customHeight="1" x14ac:dyDescent="0.45">
      <c r="O941" s="54"/>
      <c r="P941" s="54"/>
      <c r="Q941" s="54"/>
    </row>
    <row r="942" spans="15:17" ht="21.75" customHeight="1" x14ac:dyDescent="0.45">
      <c r="O942" s="54"/>
      <c r="P942" s="54"/>
      <c r="Q942" s="54"/>
    </row>
    <row r="943" spans="15:17" ht="21.75" customHeight="1" x14ac:dyDescent="0.45">
      <c r="O943" s="54"/>
      <c r="P943" s="54"/>
      <c r="Q943" s="54"/>
    </row>
    <row r="944" spans="15:17" ht="21.75" customHeight="1" x14ac:dyDescent="0.45">
      <c r="O944" s="54"/>
      <c r="P944" s="54"/>
      <c r="Q944" s="54"/>
    </row>
    <row r="945" spans="15:17" ht="21.75" customHeight="1" x14ac:dyDescent="0.45">
      <c r="O945" s="54"/>
      <c r="P945" s="54"/>
      <c r="Q945" s="54"/>
    </row>
    <row r="946" spans="15:17" ht="21.75" customHeight="1" x14ac:dyDescent="0.45">
      <c r="O946" s="54"/>
      <c r="P946" s="54"/>
      <c r="Q946" s="54"/>
    </row>
    <row r="947" spans="15:17" ht="21.75" customHeight="1" x14ac:dyDescent="0.45">
      <c r="O947" s="54"/>
      <c r="P947" s="54"/>
      <c r="Q947" s="54"/>
    </row>
    <row r="948" spans="15:17" ht="21.75" customHeight="1" x14ac:dyDescent="0.45">
      <c r="O948" s="54"/>
      <c r="P948" s="54"/>
      <c r="Q948" s="54"/>
    </row>
    <row r="949" spans="15:17" ht="21.75" customHeight="1" x14ac:dyDescent="0.45">
      <c r="O949" s="54"/>
      <c r="P949" s="54"/>
      <c r="Q949" s="54"/>
    </row>
    <row r="950" spans="15:17" ht="21.75" customHeight="1" x14ac:dyDescent="0.45">
      <c r="O950" s="54"/>
      <c r="P950" s="54"/>
      <c r="Q950" s="54"/>
    </row>
    <row r="951" spans="15:17" ht="21.75" customHeight="1" x14ac:dyDescent="0.45">
      <c r="O951" s="54"/>
      <c r="P951" s="54"/>
      <c r="Q951" s="54"/>
    </row>
    <row r="952" spans="15:17" ht="21.75" customHeight="1" x14ac:dyDescent="0.45">
      <c r="O952" s="54"/>
      <c r="P952" s="54"/>
      <c r="Q952" s="54"/>
    </row>
    <row r="953" spans="15:17" ht="21.75" customHeight="1" x14ac:dyDescent="0.45">
      <c r="O953" s="54"/>
      <c r="P953" s="54"/>
      <c r="Q953" s="54"/>
    </row>
    <row r="954" spans="15:17" ht="21.75" customHeight="1" x14ac:dyDescent="0.45">
      <c r="O954" s="54"/>
      <c r="P954" s="54"/>
      <c r="Q954" s="54"/>
    </row>
    <row r="955" spans="15:17" ht="21.75" customHeight="1" x14ac:dyDescent="0.45">
      <c r="O955" s="54"/>
      <c r="P955" s="54"/>
      <c r="Q955" s="54"/>
    </row>
    <row r="956" spans="15:17" ht="21.75" customHeight="1" x14ac:dyDescent="0.45">
      <c r="O956" s="54"/>
      <c r="P956" s="54"/>
      <c r="Q956" s="54"/>
    </row>
    <row r="957" spans="15:17" ht="21.75" customHeight="1" x14ac:dyDescent="0.45">
      <c r="O957" s="54"/>
      <c r="P957" s="54"/>
      <c r="Q957" s="54"/>
    </row>
    <row r="958" spans="15:17" ht="21.75" customHeight="1" x14ac:dyDescent="0.45">
      <c r="O958" s="54"/>
      <c r="P958" s="54"/>
      <c r="Q958" s="54"/>
    </row>
    <row r="959" spans="15:17" ht="21.75" customHeight="1" x14ac:dyDescent="0.45">
      <c r="O959" s="54"/>
      <c r="P959" s="54"/>
      <c r="Q959" s="54"/>
    </row>
    <row r="960" spans="15:17" ht="21.75" customHeight="1" x14ac:dyDescent="0.45">
      <c r="O960" s="54"/>
      <c r="P960" s="54"/>
      <c r="Q960" s="54"/>
    </row>
    <row r="961" spans="15:17" ht="21.75" customHeight="1" x14ac:dyDescent="0.45">
      <c r="O961" s="54"/>
      <c r="P961" s="54"/>
      <c r="Q961" s="54"/>
    </row>
    <row r="962" spans="15:17" ht="21.75" customHeight="1" x14ac:dyDescent="0.45">
      <c r="O962" s="54"/>
      <c r="P962" s="54"/>
      <c r="Q962" s="54"/>
    </row>
    <row r="963" spans="15:17" ht="21.75" customHeight="1" x14ac:dyDescent="0.45">
      <c r="O963" s="54"/>
      <c r="P963" s="54"/>
      <c r="Q963" s="54"/>
    </row>
    <row r="964" spans="15:17" ht="21.75" customHeight="1" x14ac:dyDescent="0.45">
      <c r="O964" s="54"/>
      <c r="P964" s="54"/>
      <c r="Q964" s="54"/>
    </row>
    <row r="965" spans="15:17" ht="21.75" customHeight="1" x14ac:dyDescent="0.45">
      <c r="O965" s="54"/>
      <c r="P965" s="54"/>
      <c r="Q965" s="54"/>
    </row>
    <row r="966" spans="15:17" ht="21.75" customHeight="1" x14ac:dyDescent="0.45">
      <c r="O966" s="54"/>
      <c r="P966" s="54"/>
      <c r="Q966" s="54"/>
    </row>
    <row r="967" spans="15:17" ht="21.75" customHeight="1" x14ac:dyDescent="0.45">
      <c r="O967" s="54"/>
      <c r="P967" s="54"/>
      <c r="Q967" s="54"/>
    </row>
    <row r="968" spans="15:17" ht="21.75" customHeight="1" x14ac:dyDescent="0.45">
      <c r="O968" s="54"/>
      <c r="P968" s="54"/>
      <c r="Q968" s="54"/>
    </row>
    <row r="969" spans="15:17" ht="21.75" customHeight="1" x14ac:dyDescent="0.45">
      <c r="O969" s="54"/>
      <c r="P969" s="54"/>
      <c r="Q969" s="54"/>
    </row>
    <row r="970" spans="15:17" ht="21.75" customHeight="1" x14ac:dyDescent="0.45">
      <c r="O970" s="54"/>
      <c r="P970" s="54"/>
      <c r="Q970" s="54"/>
    </row>
    <row r="971" spans="15:17" ht="21.75" customHeight="1" x14ac:dyDescent="0.45">
      <c r="O971" s="54"/>
      <c r="P971" s="54"/>
      <c r="Q971" s="54"/>
    </row>
    <row r="972" spans="15:17" ht="21.75" customHeight="1" x14ac:dyDescent="0.45">
      <c r="O972" s="54"/>
      <c r="P972" s="54"/>
      <c r="Q972" s="54"/>
    </row>
    <row r="973" spans="15:17" ht="21.75" customHeight="1" x14ac:dyDescent="0.45">
      <c r="O973" s="54"/>
      <c r="P973" s="54"/>
      <c r="Q973" s="54"/>
    </row>
    <row r="974" spans="15:17" ht="21.75" customHeight="1" x14ac:dyDescent="0.45">
      <c r="O974" s="54"/>
      <c r="P974" s="54"/>
      <c r="Q974" s="54"/>
    </row>
    <row r="975" spans="15:17" ht="21.75" customHeight="1" x14ac:dyDescent="0.45">
      <c r="O975" s="54"/>
      <c r="P975" s="54"/>
      <c r="Q975" s="54"/>
    </row>
    <row r="976" spans="15:17" ht="21.75" customHeight="1" x14ac:dyDescent="0.45">
      <c r="O976" s="54"/>
      <c r="P976" s="54"/>
      <c r="Q976" s="54"/>
    </row>
    <row r="977" spans="15:17" ht="21.75" customHeight="1" x14ac:dyDescent="0.45">
      <c r="O977" s="54"/>
      <c r="P977" s="54"/>
      <c r="Q977" s="54"/>
    </row>
    <row r="978" spans="15:17" ht="21.75" customHeight="1" x14ac:dyDescent="0.45">
      <c r="O978" s="54"/>
      <c r="P978" s="54"/>
      <c r="Q978" s="54"/>
    </row>
    <row r="979" spans="15:17" ht="21.75" customHeight="1" x14ac:dyDescent="0.45">
      <c r="O979" s="54"/>
      <c r="P979" s="54"/>
      <c r="Q979" s="54"/>
    </row>
    <row r="980" spans="15:17" ht="21.75" customHeight="1" x14ac:dyDescent="0.45">
      <c r="O980" s="54"/>
      <c r="P980" s="54"/>
      <c r="Q980" s="54"/>
    </row>
    <row r="981" spans="15:17" ht="21.75" customHeight="1" x14ac:dyDescent="0.45">
      <c r="O981" s="54"/>
      <c r="P981" s="54"/>
      <c r="Q981" s="54"/>
    </row>
    <row r="982" spans="15:17" ht="21.75" customHeight="1" x14ac:dyDescent="0.45">
      <c r="O982" s="54"/>
      <c r="P982" s="54"/>
      <c r="Q982" s="54"/>
    </row>
    <row r="983" spans="15:17" ht="21.75" customHeight="1" x14ac:dyDescent="0.45">
      <c r="O983" s="54"/>
      <c r="P983" s="54"/>
      <c r="Q983" s="54"/>
    </row>
    <row r="984" spans="15:17" ht="21.75" customHeight="1" x14ac:dyDescent="0.45">
      <c r="O984" s="54"/>
      <c r="P984" s="54"/>
      <c r="Q984" s="54"/>
    </row>
    <row r="985" spans="15:17" ht="21.75" customHeight="1" x14ac:dyDescent="0.45">
      <c r="O985" s="54"/>
      <c r="P985" s="54"/>
      <c r="Q985" s="54"/>
    </row>
    <row r="986" spans="15:17" ht="21.75" customHeight="1" x14ac:dyDescent="0.45">
      <c r="O986" s="54"/>
      <c r="P986" s="54"/>
      <c r="Q986" s="54"/>
    </row>
    <row r="987" spans="15:17" ht="21.75" customHeight="1" x14ac:dyDescent="0.45">
      <c r="O987" s="54"/>
      <c r="P987" s="54"/>
      <c r="Q987" s="54"/>
    </row>
    <row r="988" spans="15:17" ht="21.75" customHeight="1" x14ac:dyDescent="0.45">
      <c r="O988" s="54"/>
      <c r="P988" s="54"/>
      <c r="Q988" s="54"/>
    </row>
    <row r="989" spans="15:17" ht="21.75" customHeight="1" x14ac:dyDescent="0.45">
      <c r="O989" s="54"/>
      <c r="P989" s="54"/>
      <c r="Q989" s="54"/>
    </row>
    <row r="990" spans="15:17" ht="21.75" customHeight="1" x14ac:dyDescent="0.45">
      <c r="O990" s="54"/>
      <c r="P990" s="54"/>
      <c r="Q990" s="54"/>
    </row>
    <row r="991" spans="15:17" ht="21.75" customHeight="1" x14ac:dyDescent="0.45">
      <c r="O991" s="54"/>
      <c r="P991" s="54"/>
      <c r="Q991" s="54"/>
    </row>
    <row r="992" spans="15:17" ht="21.75" customHeight="1" x14ac:dyDescent="0.45">
      <c r="O992" s="54"/>
      <c r="P992" s="54"/>
      <c r="Q992" s="54"/>
    </row>
    <row r="993" spans="15:17" ht="21.75" customHeight="1" x14ac:dyDescent="0.45">
      <c r="O993" s="54"/>
      <c r="P993" s="54"/>
      <c r="Q993" s="54"/>
    </row>
    <row r="994" spans="15:17" ht="21.75" customHeight="1" x14ac:dyDescent="0.45">
      <c r="O994" s="54"/>
      <c r="P994" s="54"/>
      <c r="Q994" s="54"/>
    </row>
    <row r="995" spans="15:17" ht="21.75" customHeight="1" x14ac:dyDescent="0.45">
      <c r="O995" s="54"/>
      <c r="P995" s="54"/>
      <c r="Q995" s="54"/>
    </row>
    <row r="996" spans="15:17" ht="21.75" customHeight="1" x14ac:dyDescent="0.45">
      <c r="O996" s="54"/>
      <c r="P996" s="54"/>
      <c r="Q996" s="54"/>
    </row>
    <row r="997" spans="15:17" ht="21.75" customHeight="1" x14ac:dyDescent="0.45">
      <c r="O997" s="54"/>
      <c r="P997" s="54"/>
      <c r="Q997" s="54"/>
    </row>
    <row r="998" spans="15:17" ht="21.75" customHeight="1" x14ac:dyDescent="0.45">
      <c r="O998" s="54"/>
      <c r="P998" s="54"/>
      <c r="Q998" s="54"/>
    </row>
    <row r="999" spans="15:17" ht="21.75" customHeight="1" x14ac:dyDescent="0.45">
      <c r="O999" s="54"/>
      <c r="P999" s="54"/>
      <c r="Q999" s="54"/>
    </row>
    <row r="1000" spans="15:17" ht="21.75" customHeight="1" x14ac:dyDescent="0.45">
      <c r="O1000" s="54"/>
      <c r="P1000" s="54"/>
      <c r="Q1000" s="54"/>
    </row>
    <row r="1001" spans="15:17" ht="21.75" customHeight="1" x14ac:dyDescent="0.45">
      <c r="O1001" s="54"/>
      <c r="P1001" s="54"/>
      <c r="Q1001" s="54"/>
    </row>
    <row r="1002" spans="15:17" ht="21.75" customHeight="1" x14ac:dyDescent="0.45">
      <c r="O1002" s="54"/>
      <c r="P1002" s="54"/>
      <c r="Q1002" s="54"/>
    </row>
    <row r="1003" spans="15:17" ht="21.75" customHeight="1" x14ac:dyDescent="0.45">
      <c r="O1003" s="54"/>
      <c r="P1003" s="54"/>
      <c r="Q1003" s="54"/>
    </row>
    <row r="1004" spans="15:17" ht="21.75" customHeight="1" x14ac:dyDescent="0.45">
      <c r="O1004" s="54"/>
      <c r="P1004" s="54"/>
      <c r="Q1004" s="54"/>
    </row>
    <row r="1005" spans="15:17" ht="21.75" customHeight="1" x14ac:dyDescent="0.45">
      <c r="O1005" s="54"/>
      <c r="P1005" s="54"/>
      <c r="Q1005" s="54"/>
    </row>
    <row r="1006" spans="15:17" ht="21.75" customHeight="1" x14ac:dyDescent="0.45">
      <c r="O1006" s="54"/>
      <c r="P1006" s="54"/>
      <c r="Q1006" s="54"/>
    </row>
    <row r="1007" spans="15:17" ht="21.75" customHeight="1" x14ac:dyDescent="0.45">
      <c r="O1007" s="54"/>
      <c r="P1007" s="54"/>
      <c r="Q1007" s="54"/>
    </row>
    <row r="1008" spans="15:17" ht="21.75" customHeight="1" x14ac:dyDescent="0.45">
      <c r="O1008" s="54"/>
      <c r="P1008" s="54"/>
      <c r="Q1008" s="54"/>
    </row>
    <row r="1009" spans="15:17" ht="21.75" customHeight="1" x14ac:dyDescent="0.45">
      <c r="O1009" s="54"/>
      <c r="P1009" s="54"/>
      <c r="Q1009" s="54"/>
    </row>
    <row r="1010" spans="15:17" ht="21.75" customHeight="1" x14ac:dyDescent="0.45">
      <c r="O1010" s="54"/>
      <c r="P1010" s="54"/>
      <c r="Q1010" s="54"/>
    </row>
    <row r="1011" spans="15:17" ht="21.75" customHeight="1" x14ac:dyDescent="0.45">
      <c r="O1011" s="54"/>
      <c r="P1011" s="54"/>
      <c r="Q1011" s="54"/>
    </row>
    <row r="1012" spans="15:17" ht="21.75" customHeight="1" x14ac:dyDescent="0.45">
      <c r="O1012" s="54"/>
      <c r="P1012" s="54"/>
      <c r="Q1012" s="54"/>
    </row>
    <row r="1013" spans="15:17" ht="21.75" customHeight="1" x14ac:dyDescent="0.45">
      <c r="O1013" s="54"/>
      <c r="P1013" s="54"/>
      <c r="Q1013" s="54"/>
    </row>
    <row r="1014" spans="15:17" ht="21.75" customHeight="1" x14ac:dyDescent="0.45">
      <c r="O1014" s="54"/>
      <c r="P1014" s="54"/>
      <c r="Q1014" s="54"/>
    </row>
    <row r="1015" spans="15:17" ht="21.75" customHeight="1" x14ac:dyDescent="0.45">
      <c r="O1015" s="54"/>
      <c r="P1015" s="54"/>
      <c r="Q1015" s="54"/>
    </row>
    <row r="1016" spans="15:17" ht="21.75" customHeight="1" x14ac:dyDescent="0.45">
      <c r="O1016" s="54"/>
      <c r="P1016" s="54"/>
      <c r="Q1016" s="54"/>
    </row>
    <row r="1017" spans="15:17" ht="21.75" customHeight="1" x14ac:dyDescent="0.45">
      <c r="O1017" s="54"/>
      <c r="P1017" s="54"/>
      <c r="Q1017" s="54"/>
    </row>
    <row r="1018" spans="15:17" ht="21.75" customHeight="1" x14ac:dyDescent="0.45">
      <c r="O1018" s="54"/>
      <c r="P1018" s="54"/>
      <c r="Q1018" s="54"/>
    </row>
    <row r="1019" spans="15:17" ht="21.75" customHeight="1" x14ac:dyDescent="0.45">
      <c r="O1019" s="54"/>
      <c r="P1019" s="54"/>
      <c r="Q1019" s="54"/>
    </row>
    <row r="1020" spans="15:17" ht="21.75" customHeight="1" x14ac:dyDescent="0.45">
      <c r="O1020" s="54"/>
      <c r="P1020" s="54"/>
      <c r="Q1020" s="54"/>
    </row>
    <row r="1021" spans="15:17" ht="21.75" customHeight="1" x14ac:dyDescent="0.45">
      <c r="O1021" s="54"/>
      <c r="P1021" s="54"/>
      <c r="Q1021" s="54"/>
    </row>
    <row r="1022" spans="15:17" ht="21.75" customHeight="1" x14ac:dyDescent="0.45">
      <c r="O1022" s="54"/>
      <c r="P1022" s="54"/>
      <c r="Q1022" s="54"/>
    </row>
    <row r="1023" spans="15:17" ht="21.75" customHeight="1" x14ac:dyDescent="0.45">
      <c r="O1023" s="54"/>
      <c r="P1023" s="54"/>
      <c r="Q1023" s="54"/>
    </row>
    <row r="1024" spans="15:17" ht="21.75" customHeight="1" x14ac:dyDescent="0.45">
      <c r="O1024" s="54"/>
      <c r="P1024" s="54"/>
      <c r="Q1024" s="54"/>
    </row>
    <row r="1025" spans="15:17" ht="21.75" customHeight="1" x14ac:dyDescent="0.45">
      <c r="O1025" s="54"/>
      <c r="P1025" s="54"/>
      <c r="Q1025" s="54"/>
    </row>
    <row r="1026" spans="15:17" ht="21.75" customHeight="1" x14ac:dyDescent="0.45">
      <c r="O1026" s="54"/>
      <c r="P1026" s="54"/>
      <c r="Q1026" s="54"/>
    </row>
    <row r="1027" spans="15:17" ht="21.75" customHeight="1" x14ac:dyDescent="0.45">
      <c r="O1027" s="54"/>
      <c r="P1027" s="54"/>
      <c r="Q1027" s="54"/>
    </row>
    <row r="1028" spans="15:17" ht="21.75" customHeight="1" x14ac:dyDescent="0.45">
      <c r="O1028" s="54"/>
      <c r="P1028" s="54"/>
      <c r="Q1028" s="54"/>
    </row>
    <row r="1029" spans="15:17" ht="21.75" customHeight="1" x14ac:dyDescent="0.45">
      <c r="O1029" s="54"/>
      <c r="P1029" s="54"/>
      <c r="Q1029" s="54"/>
    </row>
    <row r="1030" spans="15:17" ht="21.75" customHeight="1" x14ac:dyDescent="0.45">
      <c r="O1030" s="54"/>
      <c r="P1030" s="54"/>
      <c r="Q1030" s="54"/>
    </row>
    <row r="1031" spans="15:17" ht="21.75" customHeight="1" x14ac:dyDescent="0.45">
      <c r="O1031" s="54"/>
      <c r="P1031" s="54"/>
      <c r="Q1031" s="54"/>
    </row>
    <row r="1032" spans="15:17" ht="21.75" customHeight="1" x14ac:dyDescent="0.45">
      <c r="O1032" s="54"/>
      <c r="P1032" s="54"/>
      <c r="Q1032" s="54"/>
    </row>
    <row r="1033" spans="15:17" ht="21.75" customHeight="1" x14ac:dyDescent="0.45">
      <c r="O1033" s="54"/>
      <c r="P1033" s="54"/>
      <c r="Q1033" s="54"/>
    </row>
    <row r="1034" spans="15:17" ht="21.75" customHeight="1" x14ac:dyDescent="0.45">
      <c r="O1034" s="54"/>
      <c r="P1034" s="54"/>
      <c r="Q1034" s="54"/>
    </row>
    <row r="1035" spans="15:17" ht="21.75" customHeight="1" x14ac:dyDescent="0.45">
      <c r="O1035" s="54"/>
      <c r="P1035" s="54"/>
      <c r="Q1035" s="54"/>
    </row>
    <row r="1036" spans="15:17" ht="21.75" customHeight="1" x14ac:dyDescent="0.45">
      <c r="O1036" s="54"/>
      <c r="P1036" s="54"/>
      <c r="Q1036" s="54"/>
    </row>
    <row r="1037" spans="15:17" ht="21.75" customHeight="1" x14ac:dyDescent="0.45">
      <c r="O1037" s="54"/>
      <c r="P1037" s="54"/>
      <c r="Q1037" s="54"/>
    </row>
    <row r="1038" spans="15:17" ht="21.75" customHeight="1" x14ac:dyDescent="0.45">
      <c r="O1038" s="54"/>
      <c r="P1038" s="54"/>
      <c r="Q1038" s="54"/>
    </row>
    <row r="1039" spans="15:17" ht="21.75" customHeight="1" x14ac:dyDescent="0.45">
      <c r="O1039" s="54"/>
      <c r="P1039" s="54"/>
      <c r="Q1039" s="54"/>
    </row>
    <row r="1040" spans="15:17" ht="21.75" customHeight="1" x14ac:dyDescent="0.45">
      <c r="O1040" s="54"/>
      <c r="P1040" s="54"/>
      <c r="Q1040" s="54"/>
    </row>
    <row r="1041" spans="15:17" ht="21.75" customHeight="1" x14ac:dyDescent="0.45">
      <c r="O1041" s="54"/>
      <c r="P1041" s="54"/>
      <c r="Q1041" s="54"/>
    </row>
    <row r="1042" spans="15:17" ht="21.75" customHeight="1" x14ac:dyDescent="0.45">
      <c r="O1042" s="54"/>
      <c r="P1042" s="54"/>
      <c r="Q1042" s="54"/>
    </row>
    <row r="1043" spans="15:17" ht="21.75" customHeight="1" x14ac:dyDescent="0.45">
      <c r="O1043" s="54"/>
      <c r="P1043" s="54"/>
      <c r="Q1043" s="54"/>
    </row>
    <row r="1044" spans="15:17" ht="21.75" customHeight="1" x14ac:dyDescent="0.45">
      <c r="O1044" s="54"/>
      <c r="P1044" s="54"/>
      <c r="Q1044" s="54"/>
    </row>
    <row r="1045" spans="15:17" ht="21.75" customHeight="1" x14ac:dyDescent="0.45">
      <c r="O1045" s="54"/>
      <c r="P1045" s="54"/>
      <c r="Q1045" s="54"/>
    </row>
    <row r="1046" spans="15:17" ht="21.75" customHeight="1" x14ac:dyDescent="0.45">
      <c r="O1046" s="54"/>
      <c r="P1046" s="54"/>
      <c r="Q1046" s="54"/>
    </row>
    <row r="1047" spans="15:17" ht="21.75" customHeight="1" x14ac:dyDescent="0.45">
      <c r="O1047" s="54"/>
      <c r="P1047" s="54"/>
      <c r="Q1047" s="54"/>
    </row>
    <row r="1048" spans="15:17" ht="21.75" customHeight="1" x14ac:dyDescent="0.45">
      <c r="O1048" s="54"/>
      <c r="P1048" s="54"/>
      <c r="Q1048" s="54"/>
    </row>
    <row r="1049" spans="15:17" ht="21.75" customHeight="1" x14ac:dyDescent="0.45">
      <c r="O1049" s="54"/>
      <c r="P1049" s="54"/>
      <c r="Q1049" s="54"/>
    </row>
    <row r="1050" spans="15:17" ht="21.75" customHeight="1" x14ac:dyDescent="0.45">
      <c r="O1050" s="54"/>
      <c r="P1050" s="54"/>
      <c r="Q1050" s="54"/>
    </row>
    <row r="1051" spans="15:17" ht="21.75" customHeight="1" x14ac:dyDescent="0.45">
      <c r="O1051" s="54"/>
      <c r="P1051" s="54"/>
      <c r="Q1051" s="54"/>
    </row>
    <row r="1052" spans="15:17" ht="21.75" customHeight="1" x14ac:dyDescent="0.45">
      <c r="O1052" s="54"/>
      <c r="P1052" s="54"/>
      <c r="Q1052" s="54"/>
    </row>
    <row r="1053" spans="15:17" ht="21.75" customHeight="1" x14ac:dyDescent="0.45">
      <c r="O1053" s="54"/>
      <c r="P1053" s="54"/>
      <c r="Q1053" s="54"/>
    </row>
    <row r="1054" spans="15:17" ht="21.75" customHeight="1" x14ac:dyDescent="0.45">
      <c r="O1054" s="54"/>
      <c r="P1054" s="54"/>
      <c r="Q1054" s="54"/>
    </row>
    <row r="1055" spans="15:17" ht="21.75" customHeight="1" x14ac:dyDescent="0.45">
      <c r="O1055" s="54"/>
      <c r="P1055" s="54"/>
      <c r="Q1055" s="54"/>
    </row>
    <row r="1056" spans="15:17" ht="21.75" customHeight="1" x14ac:dyDescent="0.45">
      <c r="O1056" s="54"/>
      <c r="P1056" s="54"/>
      <c r="Q1056" s="54"/>
    </row>
    <row r="1057" spans="15:17" ht="21.75" customHeight="1" x14ac:dyDescent="0.45">
      <c r="O1057" s="54"/>
      <c r="P1057" s="54"/>
      <c r="Q1057" s="54"/>
    </row>
    <row r="1058" spans="15:17" ht="21.75" customHeight="1" x14ac:dyDescent="0.45">
      <c r="O1058" s="54"/>
      <c r="P1058" s="54"/>
      <c r="Q1058" s="54"/>
    </row>
    <row r="1059" spans="15:17" ht="21.75" customHeight="1" x14ac:dyDescent="0.45">
      <c r="O1059" s="54"/>
      <c r="P1059" s="54"/>
      <c r="Q1059" s="54"/>
    </row>
    <row r="1060" spans="15:17" ht="21.75" customHeight="1" x14ac:dyDescent="0.45">
      <c r="O1060" s="54"/>
      <c r="P1060" s="54"/>
      <c r="Q1060" s="54"/>
    </row>
    <row r="1061" spans="15:17" ht="21.75" customHeight="1" x14ac:dyDescent="0.45">
      <c r="O1061" s="54"/>
      <c r="P1061" s="54"/>
      <c r="Q1061" s="54"/>
    </row>
    <row r="1062" spans="15:17" ht="21.75" customHeight="1" x14ac:dyDescent="0.45">
      <c r="O1062" s="54"/>
      <c r="P1062" s="54"/>
      <c r="Q1062" s="54"/>
    </row>
    <row r="1063" spans="15:17" ht="21.75" customHeight="1" x14ac:dyDescent="0.45">
      <c r="O1063" s="54"/>
      <c r="P1063" s="54"/>
      <c r="Q1063" s="54"/>
    </row>
    <row r="1064" spans="15:17" ht="21.75" customHeight="1" x14ac:dyDescent="0.45">
      <c r="O1064" s="54"/>
      <c r="P1064" s="54"/>
      <c r="Q1064" s="54"/>
    </row>
    <row r="1065" spans="15:17" ht="21.75" customHeight="1" x14ac:dyDescent="0.45">
      <c r="O1065" s="54"/>
      <c r="P1065" s="54"/>
      <c r="Q1065" s="54"/>
    </row>
    <row r="1066" spans="15:17" ht="21.75" customHeight="1" x14ac:dyDescent="0.45">
      <c r="O1066" s="54"/>
      <c r="P1066" s="54"/>
      <c r="Q1066" s="54"/>
    </row>
    <row r="1067" spans="15:17" ht="21.75" customHeight="1" x14ac:dyDescent="0.45">
      <c r="O1067" s="54"/>
      <c r="P1067" s="54"/>
      <c r="Q1067" s="54"/>
    </row>
    <row r="1068" spans="15:17" ht="21.75" customHeight="1" x14ac:dyDescent="0.45">
      <c r="O1068" s="54"/>
      <c r="P1068" s="54"/>
      <c r="Q1068" s="54"/>
    </row>
    <row r="1069" spans="15:17" ht="21.75" customHeight="1" x14ac:dyDescent="0.45">
      <c r="O1069" s="54"/>
      <c r="P1069" s="54"/>
      <c r="Q1069" s="54"/>
    </row>
    <row r="1070" spans="15:17" ht="21.75" customHeight="1" x14ac:dyDescent="0.45">
      <c r="O1070" s="54"/>
      <c r="P1070" s="54"/>
      <c r="Q1070" s="54"/>
    </row>
    <row r="1071" spans="15:17" ht="21.75" customHeight="1" x14ac:dyDescent="0.45">
      <c r="O1071" s="54"/>
      <c r="P1071" s="54"/>
      <c r="Q1071" s="54"/>
    </row>
    <row r="1072" spans="15:17" ht="21.75" customHeight="1" x14ac:dyDescent="0.45">
      <c r="O1072" s="54"/>
      <c r="P1072" s="54"/>
      <c r="Q1072" s="54"/>
    </row>
    <row r="1073" spans="15:17" ht="21.75" customHeight="1" x14ac:dyDescent="0.45">
      <c r="O1073" s="54"/>
      <c r="P1073" s="54"/>
      <c r="Q1073" s="54"/>
    </row>
    <row r="1074" spans="15:17" ht="21.75" customHeight="1" x14ac:dyDescent="0.45">
      <c r="O1074" s="54"/>
      <c r="P1074" s="54"/>
      <c r="Q1074" s="54"/>
    </row>
    <row r="1075" spans="15:17" ht="21.75" customHeight="1" x14ac:dyDescent="0.45">
      <c r="O1075" s="54"/>
      <c r="P1075" s="54"/>
      <c r="Q1075" s="54"/>
    </row>
    <row r="1076" spans="15:17" ht="21.75" customHeight="1" x14ac:dyDescent="0.45">
      <c r="O1076" s="54"/>
      <c r="P1076" s="54"/>
      <c r="Q1076" s="54"/>
    </row>
    <row r="1077" spans="15:17" ht="21.75" customHeight="1" x14ac:dyDescent="0.45">
      <c r="O1077" s="54"/>
      <c r="P1077" s="54"/>
      <c r="Q1077" s="54"/>
    </row>
    <row r="1078" spans="15:17" ht="21.75" customHeight="1" x14ac:dyDescent="0.45">
      <c r="O1078" s="54"/>
      <c r="P1078" s="54"/>
      <c r="Q1078" s="54"/>
    </row>
    <row r="1079" spans="15:17" ht="21.75" customHeight="1" x14ac:dyDescent="0.45">
      <c r="O1079" s="54"/>
      <c r="P1079" s="54"/>
      <c r="Q1079" s="54"/>
    </row>
    <row r="1080" spans="15:17" ht="21.75" customHeight="1" x14ac:dyDescent="0.45">
      <c r="O1080" s="54"/>
      <c r="P1080" s="54"/>
      <c r="Q1080" s="54"/>
    </row>
    <row r="1081" spans="15:17" ht="21.75" customHeight="1" x14ac:dyDescent="0.45">
      <c r="O1081" s="54"/>
      <c r="P1081" s="54"/>
      <c r="Q1081" s="54"/>
    </row>
    <row r="1082" spans="15:17" ht="21.75" customHeight="1" x14ac:dyDescent="0.45">
      <c r="O1082" s="54"/>
      <c r="P1082" s="54"/>
      <c r="Q1082" s="54"/>
    </row>
    <row r="1083" spans="15:17" ht="21.75" customHeight="1" x14ac:dyDescent="0.45">
      <c r="O1083" s="54"/>
      <c r="P1083" s="54"/>
      <c r="Q1083" s="54"/>
    </row>
    <row r="1084" spans="15:17" ht="21.75" customHeight="1" x14ac:dyDescent="0.45">
      <c r="O1084" s="54"/>
      <c r="P1084" s="54"/>
      <c r="Q1084" s="54"/>
    </row>
    <row r="1085" spans="15:17" ht="21.75" customHeight="1" x14ac:dyDescent="0.45">
      <c r="O1085" s="54"/>
      <c r="P1085" s="54"/>
      <c r="Q1085" s="54"/>
    </row>
    <row r="1086" spans="15:17" ht="21.75" customHeight="1" x14ac:dyDescent="0.45">
      <c r="O1086" s="54"/>
      <c r="P1086" s="54"/>
      <c r="Q1086" s="54"/>
    </row>
    <row r="1087" spans="15:17" ht="21.75" customHeight="1" x14ac:dyDescent="0.45">
      <c r="O1087" s="54"/>
      <c r="P1087" s="54"/>
      <c r="Q1087" s="54"/>
    </row>
    <row r="1088" spans="15:17" ht="21.75" customHeight="1" x14ac:dyDescent="0.45">
      <c r="O1088" s="54"/>
      <c r="P1088" s="54"/>
      <c r="Q1088" s="54"/>
    </row>
    <row r="1089" spans="15:17" ht="21.75" customHeight="1" x14ac:dyDescent="0.45">
      <c r="O1089" s="54"/>
      <c r="P1089" s="54"/>
      <c r="Q1089" s="54"/>
    </row>
    <row r="1090" spans="15:17" ht="21.75" customHeight="1" x14ac:dyDescent="0.45">
      <c r="O1090" s="54"/>
      <c r="P1090" s="54"/>
      <c r="Q1090" s="54"/>
    </row>
    <row r="1091" spans="15:17" ht="21.75" customHeight="1" x14ac:dyDescent="0.45">
      <c r="O1091" s="54"/>
      <c r="P1091" s="54"/>
      <c r="Q1091" s="54"/>
    </row>
    <row r="1092" spans="15:17" ht="21.75" customHeight="1" x14ac:dyDescent="0.45">
      <c r="O1092" s="54"/>
      <c r="P1092" s="54"/>
      <c r="Q1092" s="54"/>
    </row>
    <row r="1093" spans="15:17" ht="21.75" customHeight="1" x14ac:dyDescent="0.45">
      <c r="O1093" s="54"/>
      <c r="P1093" s="54"/>
      <c r="Q1093" s="54"/>
    </row>
    <row r="1094" spans="15:17" ht="21.75" customHeight="1" x14ac:dyDescent="0.45">
      <c r="O1094" s="54"/>
      <c r="P1094" s="54"/>
      <c r="Q1094" s="54"/>
    </row>
    <row r="1095" spans="15:17" ht="21.75" customHeight="1" x14ac:dyDescent="0.45">
      <c r="O1095" s="54"/>
      <c r="P1095" s="54"/>
      <c r="Q1095" s="54"/>
    </row>
    <row r="1096" spans="15:17" ht="21.75" customHeight="1" x14ac:dyDescent="0.45">
      <c r="O1096" s="54"/>
      <c r="P1096" s="54"/>
      <c r="Q1096" s="54"/>
    </row>
    <row r="1097" spans="15:17" ht="21.75" customHeight="1" x14ac:dyDescent="0.45">
      <c r="O1097" s="54"/>
      <c r="P1097" s="54"/>
      <c r="Q1097" s="54"/>
    </row>
    <row r="1098" spans="15:17" ht="21.75" customHeight="1" x14ac:dyDescent="0.45">
      <c r="O1098" s="54"/>
      <c r="P1098" s="54"/>
      <c r="Q1098" s="54"/>
    </row>
    <row r="1099" spans="15:17" ht="21.75" customHeight="1" x14ac:dyDescent="0.45">
      <c r="O1099" s="54"/>
      <c r="P1099" s="54"/>
      <c r="Q1099" s="54"/>
    </row>
    <row r="1100" spans="15:17" ht="21.75" customHeight="1" x14ac:dyDescent="0.45">
      <c r="O1100" s="54"/>
      <c r="P1100" s="54"/>
      <c r="Q1100" s="54"/>
    </row>
    <row r="1101" spans="15:17" ht="21.75" customHeight="1" x14ac:dyDescent="0.45">
      <c r="O1101" s="54"/>
      <c r="P1101" s="54"/>
      <c r="Q1101" s="54"/>
    </row>
    <row r="1102" spans="15:17" ht="21.75" customHeight="1" x14ac:dyDescent="0.45">
      <c r="O1102" s="54"/>
      <c r="P1102" s="54"/>
      <c r="Q1102" s="54"/>
    </row>
    <row r="1103" spans="15:17" ht="21.75" customHeight="1" x14ac:dyDescent="0.45">
      <c r="O1103" s="54"/>
      <c r="P1103" s="54"/>
      <c r="Q1103" s="54"/>
    </row>
    <row r="1104" spans="15:17" ht="21.75" customHeight="1" x14ac:dyDescent="0.45">
      <c r="O1104" s="54"/>
      <c r="P1104" s="54"/>
      <c r="Q1104" s="54"/>
    </row>
    <row r="1105" spans="15:17" ht="21.75" customHeight="1" x14ac:dyDescent="0.45">
      <c r="O1105" s="54"/>
      <c r="P1105" s="54"/>
      <c r="Q1105" s="54"/>
    </row>
    <row r="1106" spans="15:17" ht="21.75" customHeight="1" x14ac:dyDescent="0.45">
      <c r="O1106" s="54"/>
      <c r="P1106" s="54"/>
      <c r="Q1106" s="54"/>
    </row>
    <row r="1107" spans="15:17" ht="21.75" customHeight="1" x14ac:dyDescent="0.45">
      <c r="O1107" s="54"/>
      <c r="P1107" s="54"/>
      <c r="Q1107" s="54"/>
    </row>
    <row r="1108" spans="15:17" ht="21.75" customHeight="1" x14ac:dyDescent="0.45">
      <c r="O1108" s="54"/>
      <c r="P1108" s="54"/>
      <c r="Q1108" s="54"/>
    </row>
    <row r="1109" spans="15:17" ht="21.75" customHeight="1" x14ac:dyDescent="0.45">
      <c r="O1109" s="54"/>
      <c r="P1109" s="54"/>
      <c r="Q1109" s="54"/>
    </row>
    <row r="1110" spans="15:17" ht="21.75" customHeight="1" x14ac:dyDescent="0.45">
      <c r="O1110" s="54"/>
      <c r="P1110" s="54"/>
      <c r="Q1110" s="54"/>
    </row>
    <row r="1111" spans="15:17" ht="21.75" customHeight="1" x14ac:dyDescent="0.45">
      <c r="O1111" s="54"/>
      <c r="P1111" s="54"/>
      <c r="Q1111" s="54"/>
    </row>
    <row r="1112" spans="15:17" ht="21.75" customHeight="1" x14ac:dyDescent="0.45">
      <c r="O1112" s="54"/>
      <c r="P1112" s="54"/>
      <c r="Q1112" s="54"/>
    </row>
    <row r="1113" spans="15:17" ht="21.75" customHeight="1" x14ac:dyDescent="0.45">
      <c r="O1113" s="54"/>
      <c r="P1113" s="54"/>
      <c r="Q1113" s="54"/>
    </row>
    <row r="1114" spans="15:17" ht="21.75" customHeight="1" x14ac:dyDescent="0.45">
      <c r="O1114" s="54"/>
      <c r="P1114" s="54"/>
      <c r="Q1114" s="54"/>
    </row>
    <row r="1115" spans="15:17" ht="21.75" customHeight="1" x14ac:dyDescent="0.45">
      <c r="O1115" s="54"/>
      <c r="P1115" s="54"/>
      <c r="Q1115" s="54"/>
    </row>
    <row r="1116" spans="15:17" ht="21.75" customHeight="1" x14ac:dyDescent="0.45">
      <c r="O1116" s="54"/>
      <c r="P1116" s="54"/>
      <c r="Q1116" s="54"/>
    </row>
    <row r="1117" spans="15:17" ht="21.75" customHeight="1" x14ac:dyDescent="0.45">
      <c r="O1117" s="54"/>
      <c r="P1117" s="54"/>
      <c r="Q1117" s="54"/>
    </row>
    <row r="1118" spans="15:17" ht="21.75" customHeight="1" x14ac:dyDescent="0.45">
      <c r="O1118" s="54"/>
      <c r="P1118" s="54"/>
      <c r="Q1118" s="54"/>
    </row>
    <row r="1119" spans="15:17" ht="21.75" customHeight="1" x14ac:dyDescent="0.45">
      <c r="O1119" s="54"/>
      <c r="P1119" s="54"/>
      <c r="Q1119" s="54"/>
    </row>
    <row r="1120" spans="15:17" ht="21.75" customHeight="1" x14ac:dyDescent="0.45">
      <c r="O1120" s="54"/>
      <c r="P1120" s="54"/>
      <c r="Q1120" s="54"/>
    </row>
    <row r="1121" spans="15:17" ht="21.75" customHeight="1" x14ac:dyDescent="0.45">
      <c r="O1121" s="54"/>
      <c r="P1121" s="54"/>
      <c r="Q1121" s="54"/>
    </row>
    <row r="1122" spans="15:17" ht="21.75" customHeight="1" x14ac:dyDescent="0.45">
      <c r="O1122" s="54"/>
      <c r="P1122" s="54"/>
      <c r="Q1122" s="54"/>
    </row>
    <row r="1123" spans="15:17" ht="21.75" customHeight="1" x14ac:dyDescent="0.45">
      <c r="O1123" s="54"/>
      <c r="P1123" s="54"/>
      <c r="Q1123" s="54"/>
    </row>
    <row r="1124" spans="15:17" ht="21.75" customHeight="1" x14ac:dyDescent="0.45">
      <c r="O1124" s="54"/>
      <c r="P1124" s="54"/>
      <c r="Q1124" s="54"/>
    </row>
    <row r="1125" spans="15:17" ht="21.75" customHeight="1" x14ac:dyDescent="0.45">
      <c r="O1125" s="54"/>
      <c r="P1125" s="54"/>
      <c r="Q1125" s="54"/>
    </row>
    <row r="1126" spans="15:17" ht="21.75" customHeight="1" x14ac:dyDescent="0.45">
      <c r="O1126" s="54"/>
      <c r="P1126" s="54"/>
      <c r="Q1126" s="54"/>
    </row>
    <row r="1127" spans="15:17" ht="21.75" customHeight="1" x14ac:dyDescent="0.45">
      <c r="O1127" s="54"/>
      <c r="P1127" s="54"/>
      <c r="Q1127" s="54"/>
    </row>
    <row r="1128" spans="15:17" ht="21.75" customHeight="1" x14ac:dyDescent="0.45">
      <c r="O1128" s="54"/>
      <c r="P1128" s="54"/>
      <c r="Q1128" s="54"/>
    </row>
    <row r="1129" spans="15:17" ht="21.75" customHeight="1" x14ac:dyDescent="0.45">
      <c r="O1129" s="54"/>
      <c r="P1129" s="54"/>
      <c r="Q1129" s="54"/>
    </row>
    <row r="1130" spans="15:17" ht="21.75" customHeight="1" x14ac:dyDescent="0.45">
      <c r="O1130" s="54"/>
      <c r="P1130" s="54"/>
      <c r="Q1130" s="54"/>
    </row>
    <row r="1131" spans="15:17" ht="21.75" customHeight="1" x14ac:dyDescent="0.45">
      <c r="O1131" s="54"/>
      <c r="P1131" s="54"/>
      <c r="Q1131" s="54"/>
    </row>
    <row r="1132" spans="15:17" ht="21.75" customHeight="1" x14ac:dyDescent="0.45">
      <c r="O1132" s="54"/>
      <c r="P1132" s="54"/>
      <c r="Q1132" s="54"/>
    </row>
    <row r="1133" spans="15:17" ht="21.75" customHeight="1" x14ac:dyDescent="0.45">
      <c r="O1133" s="54"/>
      <c r="P1133" s="54"/>
      <c r="Q1133" s="54"/>
    </row>
    <row r="1134" spans="15:17" ht="21.75" customHeight="1" x14ac:dyDescent="0.45">
      <c r="O1134" s="54"/>
      <c r="P1134" s="54"/>
      <c r="Q1134" s="54"/>
    </row>
    <row r="1135" spans="15:17" ht="21.75" customHeight="1" x14ac:dyDescent="0.45">
      <c r="O1135" s="54"/>
      <c r="P1135" s="54"/>
      <c r="Q1135" s="54"/>
    </row>
    <row r="1136" spans="15:17" ht="21.75" customHeight="1" x14ac:dyDescent="0.45">
      <c r="O1136" s="54"/>
      <c r="P1136" s="54"/>
      <c r="Q1136" s="54"/>
    </row>
    <row r="1137" spans="15:17" ht="21.75" customHeight="1" x14ac:dyDescent="0.45">
      <c r="O1137" s="54"/>
      <c r="P1137" s="54"/>
      <c r="Q1137" s="54"/>
    </row>
    <row r="1138" spans="15:17" ht="21.75" customHeight="1" x14ac:dyDescent="0.45">
      <c r="O1138" s="54"/>
      <c r="P1138" s="54"/>
      <c r="Q1138" s="54"/>
    </row>
    <row r="1139" spans="15:17" ht="21.75" customHeight="1" x14ac:dyDescent="0.45">
      <c r="O1139" s="54"/>
      <c r="P1139" s="54"/>
      <c r="Q1139" s="54"/>
    </row>
    <row r="1140" spans="15:17" ht="21.75" customHeight="1" x14ac:dyDescent="0.45">
      <c r="O1140" s="54"/>
      <c r="P1140" s="54"/>
      <c r="Q1140" s="54"/>
    </row>
    <row r="1141" spans="15:17" ht="21.75" customHeight="1" x14ac:dyDescent="0.45">
      <c r="O1141" s="54"/>
      <c r="P1141" s="54"/>
      <c r="Q1141" s="54"/>
    </row>
    <row r="1142" spans="15:17" ht="21.75" customHeight="1" x14ac:dyDescent="0.45">
      <c r="O1142" s="54"/>
      <c r="P1142" s="54"/>
      <c r="Q1142" s="54"/>
    </row>
    <row r="1143" spans="15:17" ht="21.75" customHeight="1" x14ac:dyDescent="0.45">
      <c r="O1143" s="54"/>
      <c r="P1143" s="54"/>
      <c r="Q1143" s="54"/>
    </row>
    <row r="1144" spans="15:17" ht="21.75" customHeight="1" x14ac:dyDescent="0.45">
      <c r="O1144" s="54"/>
      <c r="P1144" s="54"/>
      <c r="Q1144" s="54"/>
    </row>
    <row r="1145" spans="15:17" ht="21.75" customHeight="1" x14ac:dyDescent="0.45">
      <c r="O1145" s="54"/>
      <c r="P1145" s="54"/>
      <c r="Q1145" s="54"/>
    </row>
    <row r="1146" spans="15:17" ht="21.75" customHeight="1" x14ac:dyDescent="0.45">
      <c r="O1146" s="54"/>
      <c r="P1146" s="54"/>
      <c r="Q1146" s="54"/>
    </row>
    <row r="1147" spans="15:17" ht="21.75" customHeight="1" x14ac:dyDescent="0.45">
      <c r="O1147" s="54"/>
      <c r="P1147" s="54"/>
      <c r="Q1147" s="54"/>
    </row>
    <row r="1148" spans="15:17" ht="21.75" customHeight="1" x14ac:dyDescent="0.45">
      <c r="O1148" s="54"/>
      <c r="P1148" s="54"/>
      <c r="Q1148" s="54"/>
    </row>
    <row r="1149" spans="15:17" ht="21.75" customHeight="1" x14ac:dyDescent="0.45">
      <c r="O1149" s="54"/>
      <c r="P1149" s="54"/>
      <c r="Q1149" s="54"/>
    </row>
    <row r="1150" spans="15:17" ht="21.75" customHeight="1" x14ac:dyDescent="0.45">
      <c r="O1150" s="54"/>
      <c r="P1150" s="54"/>
      <c r="Q1150" s="54"/>
    </row>
    <row r="1151" spans="15:17" ht="21.75" customHeight="1" x14ac:dyDescent="0.45">
      <c r="O1151" s="54"/>
      <c r="P1151" s="54"/>
      <c r="Q1151" s="54"/>
    </row>
    <row r="1152" spans="15:17" ht="21.75" customHeight="1" x14ac:dyDescent="0.45">
      <c r="O1152" s="54"/>
      <c r="P1152" s="54"/>
      <c r="Q1152" s="54"/>
    </row>
    <row r="1153" spans="15:17" ht="21.75" customHeight="1" x14ac:dyDescent="0.45">
      <c r="O1153" s="54"/>
      <c r="P1153" s="54"/>
      <c r="Q1153" s="54"/>
    </row>
    <row r="1154" spans="15:17" ht="21.75" customHeight="1" x14ac:dyDescent="0.45">
      <c r="O1154" s="54"/>
      <c r="P1154" s="54"/>
      <c r="Q1154" s="54"/>
    </row>
    <row r="1155" spans="15:17" ht="21.75" customHeight="1" x14ac:dyDescent="0.45">
      <c r="O1155" s="54"/>
      <c r="P1155" s="54"/>
      <c r="Q1155" s="54"/>
    </row>
    <row r="1156" spans="15:17" ht="21.75" customHeight="1" x14ac:dyDescent="0.45">
      <c r="O1156" s="54"/>
      <c r="P1156" s="54"/>
      <c r="Q1156" s="54"/>
    </row>
    <row r="1157" spans="15:17" ht="21.75" customHeight="1" x14ac:dyDescent="0.45">
      <c r="O1157" s="54"/>
      <c r="P1157" s="54"/>
      <c r="Q1157" s="54"/>
    </row>
    <row r="1158" spans="15:17" ht="21.75" customHeight="1" x14ac:dyDescent="0.45">
      <c r="O1158" s="54"/>
      <c r="P1158" s="54"/>
      <c r="Q1158" s="54"/>
    </row>
    <row r="1159" spans="15:17" ht="21.75" customHeight="1" x14ac:dyDescent="0.45">
      <c r="O1159" s="54"/>
      <c r="P1159" s="54"/>
      <c r="Q1159" s="54"/>
    </row>
    <row r="1160" spans="15:17" ht="21.75" customHeight="1" x14ac:dyDescent="0.45">
      <c r="O1160" s="54"/>
      <c r="P1160" s="54"/>
      <c r="Q1160" s="54"/>
    </row>
    <row r="1161" spans="15:17" ht="21.75" customHeight="1" x14ac:dyDescent="0.45">
      <c r="O1161" s="54"/>
      <c r="P1161" s="54"/>
      <c r="Q1161" s="54"/>
    </row>
    <row r="1162" spans="15:17" ht="21.75" customHeight="1" x14ac:dyDescent="0.45">
      <c r="O1162" s="54"/>
      <c r="P1162" s="54"/>
      <c r="Q1162" s="54"/>
    </row>
    <row r="1163" spans="15:17" ht="21.75" customHeight="1" x14ac:dyDescent="0.45">
      <c r="O1163" s="54"/>
      <c r="P1163" s="54"/>
      <c r="Q1163" s="54"/>
    </row>
    <row r="1164" spans="15:17" ht="21.75" customHeight="1" x14ac:dyDescent="0.45">
      <c r="O1164" s="54"/>
      <c r="P1164" s="54"/>
      <c r="Q1164" s="54"/>
    </row>
    <row r="1165" spans="15:17" ht="21.75" customHeight="1" x14ac:dyDescent="0.45">
      <c r="O1165" s="54"/>
      <c r="P1165" s="54"/>
      <c r="Q1165" s="54"/>
    </row>
    <row r="1166" spans="15:17" ht="21.75" customHeight="1" x14ac:dyDescent="0.45">
      <c r="O1166" s="54"/>
      <c r="P1166" s="54"/>
      <c r="Q1166" s="54"/>
    </row>
    <row r="1167" spans="15:17" ht="21.75" customHeight="1" x14ac:dyDescent="0.45">
      <c r="O1167" s="54"/>
      <c r="P1167" s="54"/>
      <c r="Q1167" s="54"/>
    </row>
    <row r="1168" spans="15:17" ht="21.75" customHeight="1" x14ac:dyDescent="0.45">
      <c r="O1168" s="54"/>
      <c r="P1168" s="54"/>
      <c r="Q1168" s="54"/>
    </row>
    <row r="1169" spans="15:17" ht="21.75" customHeight="1" x14ac:dyDescent="0.45">
      <c r="O1169" s="54"/>
      <c r="P1169" s="54"/>
      <c r="Q1169" s="54"/>
    </row>
    <row r="1170" spans="15:17" ht="21.75" customHeight="1" x14ac:dyDescent="0.45">
      <c r="O1170" s="54"/>
      <c r="P1170" s="54"/>
      <c r="Q1170" s="54"/>
    </row>
    <row r="1171" spans="15:17" ht="21.75" customHeight="1" x14ac:dyDescent="0.45">
      <c r="O1171" s="54"/>
      <c r="P1171" s="54"/>
      <c r="Q1171" s="54"/>
    </row>
    <row r="1172" spans="15:17" ht="21.75" customHeight="1" x14ac:dyDescent="0.45">
      <c r="O1172" s="54"/>
      <c r="P1172" s="54"/>
      <c r="Q1172" s="54"/>
    </row>
    <row r="1173" spans="15:17" ht="21.75" customHeight="1" x14ac:dyDescent="0.45">
      <c r="O1173" s="54"/>
      <c r="P1173" s="54"/>
      <c r="Q1173" s="54"/>
    </row>
    <row r="1174" spans="15:17" ht="21.75" customHeight="1" x14ac:dyDescent="0.45">
      <c r="O1174" s="54"/>
      <c r="P1174" s="54"/>
      <c r="Q1174" s="54"/>
    </row>
    <row r="1175" spans="15:17" ht="21.75" customHeight="1" x14ac:dyDescent="0.45">
      <c r="O1175" s="54"/>
      <c r="P1175" s="54"/>
      <c r="Q1175" s="54"/>
    </row>
    <row r="1176" spans="15:17" ht="21.75" customHeight="1" x14ac:dyDescent="0.45">
      <c r="O1176" s="54"/>
      <c r="P1176" s="54"/>
      <c r="Q1176" s="54"/>
    </row>
    <row r="1177" spans="15:17" ht="21.75" customHeight="1" x14ac:dyDescent="0.45">
      <c r="O1177" s="54"/>
      <c r="P1177" s="54"/>
      <c r="Q1177" s="54"/>
    </row>
    <row r="1178" spans="15:17" ht="21.75" customHeight="1" x14ac:dyDescent="0.45">
      <c r="O1178" s="54"/>
      <c r="P1178" s="54"/>
      <c r="Q1178" s="54"/>
    </row>
    <row r="1179" spans="15:17" ht="21.75" customHeight="1" x14ac:dyDescent="0.45">
      <c r="O1179" s="54"/>
      <c r="P1179" s="54"/>
      <c r="Q1179" s="54"/>
    </row>
    <row r="1180" spans="15:17" ht="21.75" customHeight="1" x14ac:dyDescent="0.45">
      <c r="O1180" s="54"/>
      <c r="P1180" s="54"/>
      <c r="Q1180" s="54"/>
    </row>
    <row r="1181" spans="15:17" ht="21.75" customHeight="1" x14ac:dyDescent="0.45">
      <c r="O1181" s="54"/>
      <c r="P1181" s="54"/>
      <c r="Q1181" s="54"/>
    </row>
    <row r="1182" spans="15:17" ht="21.75" customHeight="1" x14ac:dyDescent="0.45">
      <c r="O1182" s="54"/>
      <c r="P1182" s="54"/>
      <c r="Q1182" s="54"/>
    </row>
    <row r="1183" spans="15:17" ht="21.75" customHeight="1" x14ac:dyDescent="0.45">
      <c r="O1183" s="54"/>
      <c r="P1183" s="54"/>
      <c r="Q1183" s="54"/>
    </row>
    <row r="1184" spans="15:17" ht="21.75" customHeight="1" x14ac:dyDescent="0.45">
      <c r="O1184" s="54"/>
      <c r="P1184" s="54"/>
      <c r="Q1184" s="54"/>
    </row>
    <row r="1185" spans="15:17" ht="21.75" customHeight="1" x14ac:dyDescent="0.45">
      <c r="O1185" s="54"/>
      <c r="P1185" s="54"/>
      <c r="Q1185" s="54"/>
    </row>
    <row r="1186" spans="15:17" ht="21.75" customHeight="1" x14ac:dyDescent="0.45">
      <c r="O1186" s="54"/>
      <c r="P1186" s="54"/>
      <c r="Q1186" s="54"/>
    </row>
    <row r="1187" spans="15:17" ht="21.75" customHeight="1" x14ac:dyDescent="0.45">
      <c r="O1187" s="54"/>
      <c r="P1187" s="54"/>
      <c r="Q1187" s="54"/>
    </row>
    <row r="1188" spans="15:17" ht="21.75" customHeight="1" x14ac:dyDescent="0.45">
      <c r="O1188" s="54"/>
      <c r="P1188" s="54"/>
      <c r="Q1188" s="54"/>
    </row>
    <row r="1189" spans="15:17" ht="21.75" customHeight="1" x14ac:dyDescent="0.45">
      <c r="O1189" s="54"/>
      <c r="P1189" s="54"/>
      <c r="Q1189" s="54"/>
    </row>
    <row r="1190" spans="15:17" ht="21.75" customHeight="1" x14ac:dyDescent="0.45">
      <c r="O1190" s="54"/>
      <c r="P1190" s="54"/>
      <c r="Q1190" s="54"/>
    </row>
    <row r="1191" spans="15:17" ht="21.75" customHeight="1" x14ac:dyDescent="0.45">
      <c r="O1191" s="54"/>
      <c r="P1191" s="54"/>
      <c r="Q1191" s="54"/>
    </row>
    <row r="1192" spans="15:17" ht="21.75" customHeight="1" x14ac:dyDescent="0.45">
      <c r="O1192" s="54"/>
      <c r="P1192" s="54"/>
      <c r="Q1192" s="54"/>
    </row>
    <row r="1193" spans="15:17" ht="21.75" customHeight="1" x14ac:dyDescent="0.45">
      <c r="O1193" s="54"/>
      <c r="P1193" s="54"/>
      <c r="Q1193" s="54"/>
    </row>
    <row r="1194" spans="15:17" ht="21.75" customHeight="1" x14ac:dyDescent="0.45">
      <c r="O1194" s="54"/>
      <c r="P1194" s="54"/>
      <c r="Q1194" s="54"/>
    </row>
    <row r="1195" spans="15:17" ht="21.75" customHeight="1" x14ac:dyDescent="0.45">
      <c r="O1195" s="54"/>
      <c r="P1195" s="54"/>
      <c r="Q1195" s="54"/>
    </row>
    <row r="1196" spans="15:17" ht="21.75" customHeight="1" x14ac:dyDescent="0.45">
      <c r="O1196" s="54"/>
      <c r="P1196" s="54"/>
      <c r="Q1196" s="54"/>
    </row>
    <row r="1197" spans="15:17" ht="21.75" customHeight="1" x14ac:dyDescent="0.45">
      <c r="O1197" s="54"/>
      <c r="P1197" s="54"/>
      <c r="Q1197" s="54"/>
    </row>
    <row r="1198" spans="15:17" ht="21.75" customHeight="1" x14ac:dyDescent="0.45">
      <c r="O1198" s="54"/>
      <c r="P1198" s="54"/>
      <c r="Q1198" s="54"/>
    </row>
    <row r="1199" spans="15:17" ht="21.75" customHeight="1" x14ac:dyDescent="0.45">
      <c r="O1199" s="54"/>
      <c r="P1199" s="54"/>
      <c r="Q1199" s="54"/>
    </row>
    <row r="1200" spans="15:17" ht="21.75" customHeight="1" x14ac:dyDescent="0.45">
      <c r="O1200" s="54"/>
      <c r="P1200" s="54"/>
      <c r="Q1200" s="54"/>
    </row>
    <row r="1201" spans="15:17" ht="21.75" customHeight="1" x14ac:dyDescent="0.45">
      <c r="O1201" s="54"/>
      <c r="P1201" s="54"/>
      <c r="Q1201" s="54"/>
    </row>
    <row r="1202" spans="15:17" ht="21.75" customHeight="1" x14ac:dyDescent="0.45">
      <c r="O1202" s="54"/>
      <c r="P1202" s="54"/>
      <c r="Q1202" s="54"/>
    </row>
    <row r="1203" spans="15:17" ht="21.75" customHeight="1" x14ac:dyDescent="0.45">
      <c r="O1203" s="54"/>
      <c r="P1203" s="54"/>
      <c r="Q1203" s="54"/>
    </row>
    <row r="1204" spans="15:17" ht="21.75" customHeight="1" x14ac:dyDescent="0.45">
      <c r="O1204" s="54"/>
      <c r="P1204" s="54"/>
      <c r="Q1204" s="54"/>
    </row>
    <row r="1205" spans="15:17" ht="21.75" customHeight="1" x14ac:dyDescent="0.45">
      <c r="O1205" s="54"/>
      <c r="P1205" s="54"/>
      <c r="Q1205" s="54"/>
    </row>
    <row r="1206" spans="15:17" ht="21.75" customHeight="1" x14ac:dyDescent="0.45">
      <c r="O1206" s="54"/>
      <c r="P1206" s="54"/>
      <c r="Q1206" s="54"/>
    </row>
    <row r="1207" spans="15:17" ht="21.75" customHeight="1" x14ac:dyDescent="0.45">
      <c r="O1207" s="54"/>
      <c r="P1207" s="54"/>
      <c r="Q1207" s="54"/>
    </row>
    <row r="1208" spans="15:17" ht="21.75" customHeight="1" x14ac:dyDescent="0.45">
      <c r="O1208" s="54"/>
      <c r="P1208" s="54"/>
      <c r="Q1208" s="54"/>
    </row>
    <row r="1209" spans="15:17" ht="21.75" customHeight="1" x14ac:dyDescent="0.45">
      <c r="O1209" s="54"/>
      <c r="P1209" s="54"/>
      <c r="Q1209" s="54"/>
    </row>
    <row r="1210" spans="15:17" ht="21.75" customHeight="1" x14ac:dyDescent="0.45">
      <c r="O1210" s="54"/>
      <c r="P1210" s="54"/>
      <c r="Q1210" s="54"/>
    </row>
    <row r="1211" spans="15:17" ht="21.75" customHeight="1" x14ac:dyDescent="0.45">
      <c r="O1211" s="54"/>
      <c r="P1211" s="54"/>
      <c r="Q1211" s="54"/>
    </row>
    <row r="1212" spans="15:17" ht="21.75" customHeight="1" x14ac:dyDescent="0.45">
      <c r="O1212" s="54"/>
      <c r="P1212" s="54"/>
      <c r="Q1212" s="54"/>
    </row>
    <row r="1213" spans="15:17" ht="21.75" customHeight="1" x14ac:dyDescent="0.45">
      <c r="O1213" s="54"/>
      <c r="P1213" s="54"/>
      <c r="Q1213" s="54"/>
    </row>
    <row r="1214" spans="15:17" ht="21.75" customHeight="1" x14ac:dyDescent="0.45">
      <c r="O1214" s="54"/>
      <c r="P1214" s="54"/>
      <c r="Q1214" s="54"/>
    </row>
    <row r="1215" spans="15:17" ht="21.75" customHeight="1" x14ac:dyDescent="0.45">
      <c r="O1215" s="54"/>
      <c r="P1215" s="54"/>
      <c r="Q1215" s="54"/>
    </row>
    <row r="1216" spans="15:17" ht="21.75" customHeight="1" x14ac:dyDescent="0.45">
      <c r="O1216" s="54"/>
      <c r="P1216" s="54"/>
      <c r="Q1216" s="54"/>
    </row>
    <row r="1217" spans="15:17" ht="21.75" customHeight="1" x14ac:dyDescent="0.45">
      <c r="O1217" s="54"/>
      <c r="P1217" s="54"/>
      <c r="Q1217" s="54"/>
    </row>
    <row r="1218" spans="15:17" ht="21.75" customHeight="1" x14ac:dyDescent="0.45">
      <c r="O1218" s="54"/>
      <c r="P1218" s="54"/>
      <c r="Q1218" s="54"/>
    </row>
    <row r="1219" spans="15:17" ht="21.75" customHeight="1" x14ac:dyDescent="0.45">
      <c r="O1219" s="54"/>
      <c r="P1219" s="54"/>
      <c r="Q1219" s="54"/>
    </row>
    <row r="1220" spans="15:17" ht="21.75" customHeight="1" x14ac:dyDescent="0.45">
      <c r="O1220" s="54"/>
      <c r="P1220" s="54"/>
      <c r="Q1220" s="54"/>
    </row>
    <row r="1221" spans="15:17" ht="21.75" customHeight="1" x14ac:dyDescent="0.45">
      <c r="O1221" s="54"/>
      <c r="P1221" s="54"/>
      <c r="Q1221" s="54"/>
    </row>
    <row r="1222" spans="15:17" ht="21.75" customHeight="1" x14ac:dyDescent="0.45">
      <c r="O1222" s="54"/>
      <c r="P1222" s="54"/>
      <c r="Q1222" s="54"/>
    </row>
    <row r="1223" spans="15:17" ht="21.75" customHeight="1" x14ac:dyDescent="0.45">
      <c r="O1223" s="54"/>
      <c r="P1223" s="54"/>
      <c r="Q1223" s="54"/>
    </row>
    <row r="1224" spans="15:17" ht="21.75" customHeight="1" x14ac:dyDescent="0.45">
      <c r="O1224" s="54"/>
      <c r="P1224" s="54"/>
      <c r="Q1224" s="54"/>
    </row>
    <row r="1225" spans="15:17" ht="21.75" customHeight="1" x14ac:dyDescent="0.45">
      <c r="O1225" s="54"/>
      <c r="P1225" s="54"/>
      <c r="Q1225" s="54"/>
    </row>
    <row r="1226" spans="15:17" ht="21.75" customHeight="1" x14ac:dyDescent="0.45">
      <c r="O1226" s="54"/>
      <c r="P1226" s="54"/>
      <c r="Q1226" s="54"/>
    </row>
    <row r="1227" spans="15:17" ht="21.75" customHeight="1" x14ac:dyDescent="0.45">
      <c r="O1227" s="54"/>
      <c r="P1227" s="54"/>
      <c r="Q1227" s="54"/>
    </row>
    <row r="1228" spans="15:17" ht="21.75" customHeight="1" x14ac:dyDescent="0.45">
      <c r="O1228" s="54"/>
      <c r="P1228" s="54"/>
      <c r="Q1228" s="54"/>
    </row>
    <row r="1229" spans="15:17" ht="21.75" customHeight="1" x14ac:dyDescent="0.45">
      <c r="O1229" s="54"/>
      <c r="P1229" s="54"/>
      <c r="Q1229" s="54"/>
    </row>
    <row r="1230" spans="15:17" ht="21.75" customHeight="1" x14ac:dyDescent="0.45">
      <c r="O1230" s="54"/>
      <c r="P1230" s="54"/>
      <c r="Q1230" s="54"/>
    </row>
    <row r="1231" spans="15:17" ht="21.75" customHeight="1" x14ac:dyDescent="0.45">
      <c r="O1231" s="54"/>
      <c r="P1231" s="54"/>
      <c r="Q1231" s="54"/>
    </row>
    <row r="1232" spans="15:17" ht="21.75" customHeight="1" x14ac:dyDescent="0.45">
      <c r="O1232" s="54"/>
      <c r="P1232" s="54"/>
      <c r="Q1232" s="54"/>
    </row>
    <row r="1233" spans="15:17" ht="21.75" customHeight="1" x14ac:dyDescent="0.45">
      <c r="O1233" s="54"/>
      <c r="P1233" s="54"/>
      <c r="Q1233" s="54"/>
    </row>
    <row r="1234" spans="15:17" ht="21.75" customHeight="1" x14ac:dyDescent="0.45">
      <c r="O1234" s="54"/>
      <c r="P1234" s="54"/>
      <c r="Q1234" s="54"/>
    </row>
    <row r="1235" spans="15:17" ht="21.75" customHeight="1" x14ac:dyDescent="0.45">
      <c r="O1235" s="54"/>
      <c r="P1235" s="54"/>
      <c r="Q1235" s="54"/>
    </row>
    <row r="1236" spans="15:17" ht="21.75" customHeight="1" x14ac:dyDescent="0.45">
      <c r="O1236" s="54"/>
      <c r="P1236" s="54"/>
      <c r="Q1236" s="54"/>
    </row>
    <row r="1237" spans="15:17" ht="21.75" customHeight="1" x14ac:dyDescent="0.45">
      <c r="O1237" s="54"/>
      <c r="P1237" s="54"/>
      <c r="Q1237" s="54"/>
    </row>
    <row r="1238" spans="15:17" ht="21.75" customHeight="1" x14ac:dyDescent="0.45">
      <c r="O1238" s="54"/>
      <c r="P1238" s="54"/>
      <c r="Q1238" s="54"/>
    </row>
    <row r="1239" spans="15:17" ht="21.75" customHeight="1" x14ac:dyDescent="0.45">
      <c r="O1239" s="54"/>
      <c r="P1239" s="54"/>
      <c r="Q1239" s="54"/>
    </row>
    <row r="1240" spans="15:17" ht="21.75" customHeight="1" x14ac:dyDescent="0.45">
      <c r="O1240" s="54"/>
      <c r="P1240" s="54"/>
      <c r="Q1240" s="54"/>
    </row>
    <row r="1241" spans="15:17" ht="21.75" customHeight="1" x14ac:dyDescent="0.45">
      <c r="O1241" s="54"/>
      <c r="P1241" s="54"/>
      <c r="Q1241" s="54"/>
    </row>
    <row r="1242" spans="15:17" ht="21.75" customHeight="1" x14ac:dyDescent="0.45">
      <c r="O1242" s="54"/>
      <c r="P1242" s="54"/>
      <c r="Q1242" s="54"/>
    </row>
    <row r="1243" spans="15:17" ht="21.75" customHeight="1" x14ac:dyDescent="0.45">
      <c r="O1243" s="54"/>
      <c r="P1243" s="54"/>
      <c r="Q1243" s="54"/>
    </row>
    <row r="1244" spans="15:17" ht="21.75" customHeight="1" x14ac:dyDescent="0.45">
      <c r="O1244" s="54"/>
      <c r="P1244" s="54"/>
      <c r="Q1244" s="54"/>
    </row>
    <row r="1245" spans="15:17" ht="21.75" customHeight="1" x14ac:dyDescent="0.45">
      <c r="O1245" s="54"/>
      <c r="P1245" s="54"/>
      <c r="Q1245" s="54"/>
    </row>
    <row r="1246" spans="15:17" ht="21.75" customHeight="1" x14ac:dyDescent="0.45">
      <c r="O1246" s="54"/>
      <c r="P1246" s="54"/>
      <c r="Q1246" s="54"/>
    </row>
    <row r="1247" spans="15:17" ht="21.75" customHeight="1" x14ac:dyDescent="0.45">
      <c r="O1247" s="54"/>
      <c r="P1247" s="54"/>
      <c r="Q1247" s="54"/>
    </row>
    <row r="1248" spans="15:17" ht="21.75" customHeight="1" x14ac:dyDescent="0.45">
      <c r="O1248" s="54"/>
      <c r="P1248" s="54"/>
      <c r="Q1248" s="54"/>
    </row>
    <row r="1249" spans="15:17" ht="21.75" customHeight="1" x14ac:dyDescent="0.45">
      <c r="O1249" s="54"/>
      <c r="P1249" s="54"/>
      <c r="Q1249" s="54"/>
    </row>
    <row r="1250" spans="15:17" ht="21.75" customHeight="1" x14ac:dyDescent="0.45">
      <c r="O1250" s="54"/>
      <c r="P1250" s="54"/>
      <c r="Q1250" s="54"/>
    </row>
    <row r="1251" spans="15:17" ht="21.75" customHeight="1" x14ac:dyDescent="0.45">
      <c r="O1251" s="54"/>
      <c r="P1251" s="54"/>
      <c r="Q1251" s="54"/>
    </row>
    <row r="1252" spans="15:17" ht="21.75" customHeight="1" x14ac:dyDescent="0.45">
      <c r="O1252" s="54"/>
      <c r="P1252" s="54"/>
      <c r="Q1252" s="54"/>
    </row>
    <row r="1253" spans="15:17" ht="21.75" customHeight="1" x14ac:dyDescent="0.45">
      <c r="O1253" s="54"/>
      <c r="P1253" s="54"/>
      <c r="Q1253" s="54"/>
    </row>
    <row r="1254" spans="15:17" ht="21.75" customHeight="1" x14ac:dyDescent="0.45">
      <c r="O1254" s="54"/>
      <c r="P1254" s="54"/>
      <c r="Q1254" s="54"/>
    </row>
    <row r="1255" spans="15:17" ht="21.75" customHeight="1" x14ac:dyDescent="0.45">
      <c r="O1255" s="54"/>
      <c r="P1255" s="54"/>
      <c r="Q1255" s="54"/>
    </row>
    <row r="1256" spans="15:17" ht="21.75" customHeight="1" x14ac:dyDescent="0.45">
      <c r="O1256" s="54"/>
      <c r="P1256" s="54"/>
      <c r="Q1256" s="54"/>
    </row>
    <row r="1257" spans="15:17" ht="21.75" customHeight="1" x14ac:dyDescent="0.45">
      <c r="O1257" s="54"/>
      <c r="P1257" s="54"/>
      <c r="Q1257" s="54"/>
    </row>
    <row r="1258" spans="15:17" ht="21.75" customHeight="1" x14ac:dyDescent="0.45">
      <c r="O1258" s="54"/>
      <c r="P1258" s="54"/>
      <c r="Q1258" s="54"/>
    </row>
    <row r="1259" spans="15:17" ht="21.75" customHeight="1" x14ac:dyDescent="0.45">
      <c r="O1259" s="54"/>
      <c r="P1259" s="54"/>
      <c r="Q1259" s="54"/>
    </row>
    <row r="1260" spans="15:17" ht="21.75" customHeight="1" x14ac:dyDescent="0.45">
      <c r="O1260" s="54"/>
      <c r="P1260" s="54"/>
      <c r="Q1260" s="54"/>
    </row>
    <row r="1261" spans="15:17" ht="21.75" customHeight="1" x14ac:dyDescent="0.45">
      <c r="O1261" s="54"/>
      <c r="P1261" s="54"/>
      <c r="Q1261" s="54"/>
    </row>
    <row r="1262" spans="15:17" ht="21.75" customHeight="1" x14ac:dyDescent="0.45">
      <c r="O1262" s="54"/>
      <c r="P1262" s="54"/>
      <c r="Q1262" s="54"/>
    </row>
    <row r="1263" spans="15:17" ht="21.75" customHeight="1" x14ac:dyDescent="0.45">
      <c r="O1263" s="54"/>
      <c r="P1263" s="54"/>
      <c r="Q1263" s="54"/>
    </row>
    <row r="1264" spans="15:17" ht="21.75" customHeight="1" x14ac:dyDescent="0.45">
      <c r="O1264" s="54"/>
      <c r="P1264" s="54"/>
      <c r="Q1264" s="54"/>
    </row>
    <row r="1265" spans="15:17" ht="21.75" customHeight="1" x14ac:dyDescent="0.45">
      <c r="O1265" s="54"/>
      <c r="P1265" s="54"/>
      <c r="Q1265" s="54"/>
    </row>
    <row r="1266" spans="15:17" ht="21.75" customHeight="1" x14ac:dyDescent="0.45">
      <c r="O1266" s="54"/>
      <c r="P1266" s="54"/>
      <c r="Q1266" s="54"/>
    </row>
    <row r="1267" spans="15:17" ht="21.75" customHeight="1" x14ac:dyDescent="0.45">
      <c r="O1267" s="54"/>
      <c r="P1267" s="54"/>
      <c r="Q1267" s="54"/>
    </row>
    <row r="1268" spans="15:17" ht="21.75" customHeight="1" x14ac:dyDescent="0.45">
      <c r="O1268" s="54"/>
      <c r="P1268" s="54"/>
      <c r="Q1268" s="54"/>
    </row>
    <row r="1269" spans="15:17" ht="21.75" customHeight="1" x14ac:dyDescent="0.45">
      <c r="O1269" s="54"/>
      <c r="P1269" s="54"/>
      <c r="Q1269" s="54"/>
    </row>
    <row r="1270" spans="15:17" ht="21.75" customHeight="1" x14ac:dyDescent="0.45">
      <c r="O1270" s="54"/>
      <c r="P1270" s="54"/>
      <c r="Q1270" s="54"/>
    </row>
    <row r="1271" spans="15:17" ht="21.75" customHeight="1" x14ac:dyDescent="0.45">
      <c r="O1271" s="54"/>
      <c r="P1271" s="54"/>
      <c r="Q1271" s="54"/>
    </row>
    <row r="1272" spans="15:17" ht="21.75" customHeight="1" x14ac:dyDescent="0.45">
      <c r="O1272" s="54"/>
      <c r="P1272" s="54"/>
      <c r="Q1272" s="54"/>
    </row>
    <row r="1273" spans="15:17" ht="21.75" customHeight="1" x14ac:dyDescent="0.45">
      <c r="O1273" s="54"/>
      <c r="P1273" s="54"/>
      <c r="Q1273" s="54"/>
    </row>
    <row r="1274" spans="15:17" ht="21.75" customHeight="1" x14ac:dyDescent="0.45">
      <c r="O1274" s="54"/>
      <c r="P1274" s="54"/>
      <c r="Q1274" s="54"/>
    </row>
    <row r="1275" spans="15:17" ht="21.75" customHeight="1" x14ac:dyDescent="0.45">
      <c r="O1275" s="54"/>
      <c r="P1275" s="54"/>
      <c r="Q1275" s="54"/>
    </row>
    <row r="1276" spans="15:17" ht="21.75" customHeight="1" x14ac:dyDescent="0.45">
      <c r="O1276" s="54"/>
      <c r="P1276" s="54"/>
      <c r="Q1276" s="54"/>
    </row>
    <row r="1277" spans="15:17" ht="21.75" customHeight="1" x14ac:dyDescent="0.45">
      <c r="O1277" s="54"/>
      <c r="P1277" s="54"/>
      <c r="Q1277" s="54"/>
    </row>
    <row r="1278" spans="15:17" ht="21.75" customHeight="1" x14ac:dyDescent="0.45">
      <c r="O1278" s="54"/>
      <c r="P1278" s="54"/>
      <c r="Q1278" s="54"/>
    </row>
    <row r="1279" spans="15:17" ht="21.75" customHeight="1" x14ac:dyDescent="0.45">
      <c r="O1279" s="54"/>
      <c r="P1279" s="54"/>
      <c r="Q1279" s="54"/>
    </row>
    <row r="1280" spans="15:17" ht="21.75" customHeight="1" x14ac:dyDescent="0.45">
      <c r="O1280" s="54"/>
      <c r="P1280" s="54"/>
      <c r="Q1280" s="54"/>
    </row>
    <row r="1281" spans="15:17" ht="21.75" customHeight="1" x14ac:dyDescent="0.45">
      <c r="O1281" s="54"/>
      <c r="P1281" s="54"/>
      <c r="Q1281" s="54"/>
    </row>
    <row r="1282" spans="15:17" ht="21.75" customHeight="1" x14ac:dyDescent="0.45">
      <c r="O1282" s="54"/>
      <c r="P1282" s="54"/>
      <c r="Q1282" s="54"/>
    </row>
    <row r="1283" spans="15:17" ht="21.75" customHeight="1" x14ac:dyDescent="0.45">
      <c r="O1283" s="54"/>
      <c r="P1283" s="54"/>
      <c r="Q1283" s="54"/>
    </row>
    <row r="1284" spans="15:17" ht="21.75" customHeight="1" x14ac:dyDescent="0.45">
      <c r="O1284" s="54"/>
      <c r="P1284" s="54"/>
      <c r="Q1284" s="54"/>
    </row>
    <row r="1285" spans="15:17" ht="21.75" customHeight="1" x14ac:dyDescent="0.45">
      <c r="O1285" s="54"/>
      <c r="P1285" s="54"/>
      <c r="Q1285" s="54"/>
    </row>
    <row r="1286" spans="15:17" ht="21.75" customHeight="1" x14ac:dyDescent="0.45">
      <c r="O1286" s="54"/>
      <c r="P1286" s="54"/>
      <c r="Q1286" s="54"/>
    </row>
    <row r="1287" spans="15:17" ht="21.75" customHeight="1" x14ac:dyDescent="0.45">
      <c r="O1287" s="54"/>
      <c r="P1287" s="54"/>
      <c r="Q1287" s="54"/>
    </row>
    <row r="1288" spans="15:17" ht="21.75" customHeight="1" x14ac:dyDescent="0.45">
      <c r="O1288" s="54"/>
      <c r="P1288" s="54"/>
      <c r="Q1288" s="54"/>
    </row>
    <row r="1289" spans="15:17" ht="21.75" customHeight="1" x14ac:dyDescent="0.45">
      <c r="O1289" s="54"/>
      <c r="P1289" s="54"/>
      <c r="Q1289" s="54"/>
    </row>
    <row r="1290" spans="15:17" ht="21.75" customHeight="1" x14ac:dyDescent="0.45">
      <c r="O1290" s="54"/>
      <c r="P1290" s="54"/>
      <c r="Q1290" s="54"/>
    </row>
    <row r="1291" spans="15:17" ht="21.75" customHeight="1" x14ac:dyDescent="0.45">
      <c r="O1291" s="54"/>
      <c r="P1291" s="54"/>
      <c r="Q1291" s="54"/>
    </row>
    <row r="1292" spans="15:17" ht="21.75" customHeight="1" x14ac:dyDescent="0.45">
      <c r="O1292" s="54"/>
      <c r="P1292" s="54"/>
      <c r="Q1292" s="54"/>
    </row>
    <row r="1293" spans="15:17" ht="21.75" customHeight="1" x14ac:dyDescent="0.45">
      <c r="O1293" s="54"/>
      <c r="P1293" s="54"/>
      <c r="Q1293" s="54"/>
    </row>
    <row r="1294" spans="15:17" ht="21.75" customHeight="1" x14ac:dyDescent="0.45">
      <c r="O1294" s="54"/>
      <c r="P1294" s="54"/>
      <c r="Q1294" s="54"/>
    </row>
    <row r="1295" spans="15:17" ht="21.75" customHeight="1" x14ac:dyDescent="0.45">
      <c r="O1295" s="54"/>
      <c r="P1295" s="54"/>
      <c r="Q1295" s="54"/>
    </row>
    <row r="1296" spans="15:17" ht="21.75" customHeight="1" x14ac:dyDescent="0.45">
      <c r="O1296" s="54"/>
      <c r="P1296" s="54"/>
      <c r="Q1296" s="54"/>
    </row>
    <row r="1297" spans="15:17" ht="21.75" customHeight="1" x14ac:dyDescent="0.45">
      <c r="O1297" s="54"/>
      <c r="P1297" s="54"/>
      <c r="Q1297" s="54"/>
    </row>
    <row r="1298" spans="15:17" ht="21.75" customHeight="1" x14ac:dyDescent="0.45">
      <c r="O1298" s="54"/>
      <c r="P1298" s="54"/>
      <c r="Q1298" s="54"/>
    </row>
    <row r="1299" spans="15:17" ht="21.75" customHeight="1" x14ac:dyDescent="0.45">
      <c r="O1299" s="54"/>
      <c r="P1299" s="54"/>
      <c r="Q1299" s="54"/>
    </row>
    <row r="1300" spans="15:17" ht="21.75" customHeight="1" x14ac:dyDescent="0.45">
      <c r="O1300" s="54"/>
      <c r="P1300" s="54"/>
      <c r="Q1300" s="54"/>
    </row>
    <row r="1301" spans="15:17" ht="21.75" customHeight="1" x14ac:dyDescent="0.45">
      <c r="O1301" s="54"/>
      <c r="P1301" s="54"/>
      <c r="Q1301" s="54"/>
    </row>
    <row r="1302" spans="15:17" ht="21.75" customHeight="1" x14ac:dyDescent="0.45">
      <c r="O1302" s="54"/>
      <c r="P1302" s="54"/>
      <c r="Q1302" s="54"/>
    </row>
    <row r="1303" spans="15:17" ht="21.75" customHeight="1" x14ac:dyDescent="0.45">
      <c r="O1303" s="54"/>
      <c r="P1303" s="54"/>
      <c r="Q1303" s="54"/>
    </row>
    <row r="1304" spans="15:17" ht="21.75" customHeight="1" x14ac:dyDescent="0.45">
      <c r="O1304" s="54"/>
      <c r="P1304" s="54"/>
      <c r="Q1304" s="54"/>
    </row>
    <row r="1305" spans="15:17" ht="21.75" customHeight="1" x14ac:dyDescent="0.45">
      <c r="O1305" s="54"/>
      <c r="P1305" s="54"/>
      <c r="Q1305" s="54"/>
    </row>
    <row r="1306" spans="15:17" ht="21.75" customHeight="1" x14ac:dyDescent="0.45">
      <c r="O1306" s="54"/>
      <c r="P1306" s="54"/>
      <c r="Q1306" s="54"/>
    </row>
    <row r="1307" spans="15:17" ht="21.75" customHeight="1" x14ac:dyDescent="0.45">
      <c r="O1307" s="54"/>
      <c r="P1307" s="54"/>
      <c r="Q1307" s="54"/>
    </row>
    <row r="1308" spans="15:17" ht="21.75" customHeight="1" x14ac:dyDescent="0.45">
      <c r="O1308" s="54"/>
      <c r="P1308" s="54"/>
      <c r="Q1308" s="54"/>
    </row>
    <row r="1309" spans="15:17" ht="21.75" customHeight="1" x14ac:dyDescent="0.45">
      <c r="O1309" s="54"/>
      <c r="P1309" s="54"/>
      <c r="Q1309" s="54"/>
    </row>
    <row r="1310" spans="15:17" ht="21.75" customHeight="1" x14ac:dyDescent="0.45">
      <c r="O1310" s="54"/>
      <c r="P1310" s="54"/>
      <c r="Q1310" s="54"/>
    </row>
    <row r="1311" spans="15:17" ht="21.75" customHeight="1" x14ac:dyDescent="0.45">
      <c r="O1311" s="54"/>
      <c r="P1311" s="54"/>
      <c r="Q1311" s="54"/>
    </row>
    <row r="1312" spans="15:17" ht="21.75" customHeight="1" x14ac:dyDescent="0.45">
      <c r="O1312" s="54"/>
      <c r="P1312" s="54"/>
      <c r="Q1312" s="54"/>
    </row>
    <row r="1313" spans="15:17" ht="21.75" customHeight="1" x14ac:dyDescent="0.45">
      <c r="O1313" s="54"/>
      <c r="P1313" s="54"/>
      <c r="Q1313" s="54"/>
    </row>
    <row r="1314" spans="15:17" ht="21.75" customHeight="1" x14ac:dyDescent="0.45">
      <c r="O1314" s="54"/>
      <c r="P1314" s="54"/>
      <c r="Q1314" s="54"/>
    </row>
    <row r="1315" spans="15:17" ht="21.75" customHeight="1" x14ac:dyDescent="0.45">
      <c r="O1315" s="54"/>
      <c r="P1315" s="54"/>
      <c r="Q1315" s="54"/>
    </row>
    <row r="1316" spans="15:17" ht="21.75" customHeight="1" x14ac:dyDescent="0.45">
      <c r="O1316" s="54"/>
      <c r="P1316" s="54"/>
      <c r="Q1316" s="54"/>
    </row>
    <row r="1317" spans="15:17" ht="21.75" customHeight="1" x14ac:dyDescent="0.45">
      <c r="O1317" s="54"/>
      <c r="P1317" s="54"/>
      <c r="Q1317" s="54"/>
    </row>
    <row r="1318" spans="15:17" ht="21.75" customHeight="1" x14ac:dyDescent="0.45">
      <c r="O1318" s="54"/>
      <c r="P1318" s="54"/>
      <c r="Q1318" s="54"/>
    </row>
    <row r="1319" spans="15:17" ht="21.75" customHeight="1" x14ac:dyDescent="0.45">
      <c r="O1319" s="54"/>
      <c r="P1319" s="54"/>
      <c r="Q1319" s="54"/>
    </row>
    <row r="1320" spans="15:17" ht="21.75" customHeight="1" x14ac:dyDescent="0.45">
      <c r="O1320" s="54"/>
      <c r="P1320" s="54"/>
      <c r="Q1320" s="54"/>
    </row>
    <row r="1321" spans="15:17" ht="21.75" customHeight="1" x14ac:dyDescent="0.45">
      <c r="O1321" s="54"/>
      <c r="P1321" s="54"/>
      <c r="Q1321" s="54"/>
    </row>
    <row r="1322" spans="15:17" ht="21.75" customHeight="1" x14ac:dyDescent="0.45">
      <c r="O1322" s="54"/>
      <c r="P1322" s="54"/>
      <c r="Q1322" s="54"/>
    </row>
    <row r="1323" spans="15:17" ht="21.75" customHeight="1" x14ac:dyDescent="0.45">
      <c r="O1323" s="54"/>
      <c r="P1323" s="54"/>
      <c r="Q1323" s="54"/>
    </row>
    <row r="1324" spans="15:17" ht="21.75" customHeight="1" x14ac:dyDescent="0.45">
      <c r="O1324" s="54"/>
      <c r="P1324" s="54"/>
      <c r="Q1324" s="54"/>
    </row>
    <row r="1325" spans="15:17" ht="21.75" customHeight="1" x14ac:dyDescent="0.45">
      <c r="O1325" s="54"/>
      <c r="P1325" s="54"/>
      <c r="Q1325" s="54"/>
    </row>
    <row r="1326" spans="15:17" ht="21.75" customHeight="1" x14ac:dyDescent="0.45">
      <c r="O1326" s="54"/>
      <c r="P1326" s="54"/>
      <c r="Q1326" s="54"/>
    </row>
    <row r="1327" spans="15:17" ht="21.75" customHeight="1" x14ac:dyDescent="0.45">
      <c r="O1327" s="54"/>
      <c r="P1327" s="54"/>
      <c r="Q1327" s="54"/>
    </row>
    <row r="1328" spans="15:17" ht="21.75" customHeight="1" x14ac:dyDescent="0.45">
      <c r="O1328" s="54"/>
      <c r="P1328" s="54"/>
      <c r="Q1328" s="54"/>
    </row>
    <row r="1329" spans="15:17" ht="21.75" customHeight="1" x14ac:dyDescent="0.45">
      <c r="O1329" s="54"/>
      <c r="P1329" s="54"/>
      <c r="Q1329" s="54"/>
    </row>
    <row r="1330" spans="15:17" ht="21.75" customHeight="1" x14ac:dyDescent="0.45">
      <c r="O1330" s="54"/>
      <c r="P1330" s="54"/>
      <c r="Q1330" s="54"/>
    </row>
    <row r="1331" spans="15:17" ht="21.75" customHeight="1" x14ac:dyDescent="0.45">
      <c r="O1331" s="54"/>
      <c r="P1331" s="54"/>
      <c r="Q1331" s="54"/>
    </row>
    <row r="1332" spans="15:17" ht="21.75" customHeight="1" x14ac:dyDescent="0.45">
      <c r="O1332" s="54"/>
      <c r="P1332" s="54"/>
      <c r="Q1332" s="54"/>
    </row>
    <row r="1333" spans="15:17" ht="21.75" customHeight="1" x14ac:dyDescent="0.45">
      <c r="O1333" s="54"/>
      <c r="P1333" s="54"/>
      <c r="Q1333" s="54"/>
    </row>
    <row r="1334" spans="15:17" ht="21.75" customHeight="1" x14ac:dyDescent="0.45">
      <c r="O1334" s="54"/>
      <c r="P1334" s="54"/>
      <c r="Q1334" s="54"/>
    </row>
    <row r="1335" spans="15:17" ht="21.75" customHeight="1" x14ac:dyDescent="0.45">
      <c r="O1335" s="54"/>
      <c r="P1335" s="54"/>
      <c r="Q1335" s="54"/>
    </row>
    <row r="1336" spans="15:17" ht="21.75" customHeight="1" x14ac:dyDescent="0.45">
      <c r="O1336" s="54"/>
      <c r="P1336" s="54"/>
      <c r="Q1336" s="54"/>
    </row>
    <row r="1337" spans="15:17" ht="21.75" customHeight="1" x14ac:dyDescent="0.45">
      <c r="O1337" s="54"/>
      <c r="P1337" s="54"/>
      <c r="Q1337" s="54"/>
    </row>
    <row r="1338" spans="15:17" ht="21.75" customHeight="1" x14ac:dyDescent="0.45">
      <c r="O1338" s="54"/>
      <c r="P1338" s="54"/>
      <c r="Q1338" s="54"/>
    </row>
    <row r="1339" spans="15:17" ht="21.75" customHeight="1" x14ac:dyDescent="0.45">
      <c r="O1339" s="54"/>
      <c r="P1339" s="54"/>
      <c r="Q1339" s="54"/>
    </row>
    <row r="1340" spans="15:17" ht="21.75" customHeight="1" x14ac:dyDescent="0.45">
      <c r="O1340" s="54"/>
      <c r="P1340" s="54"/>
      <c r="Q1340" s="54"/>
    </row>
    <row r="1341" spans="15:17" ht="21.75" customHeight="1" x14ac:dyDescent="0.45">
      <c r="O1341" s="54"/>
      <c r="P1341" s="54"/>
      <c r="Q1341" s="54"/>
    </row>
    <row r="1342" spans="15:17" ht="21.75" customHeight="1" x14ac:dyDescent="0.45">
      <c r="O1342" s="54"/>
      <c r="P1342" s="54"/>
      <c r="Q1342" s="54"/>
    </row>
    <row r="1343" spans="15:17" ht="21.75" customHeight="1" x14ac:dyDescent="0.45">
      <c r="O1343" s="54"/>
      <c r="P1343" s="54"/>
      <c r="Q1343" s="54"/>
    </row>
    <row r="1344" spans="15:17" ht="21.75" customHeight="1" x14ac:dyDescent="0.45">
      <c r="O1344" s="54"/>
      <c r="P1344" s="54"/>
      <c r="Q1344" s="54"/>
    </row>
    <row r="1345" spans="15:17" ht="21.75" customHeight="1" x14ac:dyDescent="0.45">
      <c r="O1345" s="54"/>
      <c r="P1345" s="54"/>
      <c r="Q1345" s="54"/>
    </row>
    <row r="1346" spans="15:17" ht="21.75" customHeight="1" x14ac:dyDescent="0.45">
      <c r="O1346" s="54"/>
      <c r="P1346" s="54"/>
      <c r="Q1346" s="54"/>
    </row>
    <row r="1347" spans="15:17" ht="21.75" customHeight="1" x14ac:dyDescent="0.45">
      <c r="O1347" s="54"/>
      <c r="P1347" s="54"/>
      <c r="Q1347" s="54"/>
    </row>
    <row r="1348" spans="15:17" ht="21.75" customHeight="1" x14ac:dyDescent="0.45">
      <c r="O1348" s="54"/>
      <c r="P1348" s="54"/>
      <c r="Q1348" s="54"/>
    </row>
    <row r="1349" spans="15:17" ht="21.75" customHeight="1" x14ac:dyDescent="0.45">
      <c r="O1349" s="54"/>
      <c r="P1349" s="54"/>
      <c r="Q1349" s="54"/>
    </row>
    <row r="1350" spans="15:17" ht="21.75" customHeight="1" x14ac:dyDescent="0.45">
      <c r="O1350" s="54"/>
      <c r="P1350" s="54"/>
      <c r="Q1350" s="54"/>
    </row>
    <row r="1351" spans="15:17" ht="21.75" customHeight="1" x14ac:dyDescent="0.45">
      <c r="O1351" s="54"/>
      <c r="P1351" s="54"/>
      <c r="Q1351" s="54"/>
    </row>
    <row r="1352" spans="15:17" ht="21.75" customHeight="1" x14ac:dyDescent="0.45">
      <c r="O1352" s="54"/>
      <c r="P1352" s="54"/>
      <c r="Q1352" s="54"/>
    </row>
    <row r="1353" spans="15:17" ht="21.75" customHeight="1" x14ac:dyDescent="0.45">
      <c r="O1353" s="54"/>
      <c r="P1353" s="54"/>
      <c r="Q1353" s="54"/>
    </row>
    <row r="1354" spans="15:17" ht="21.75" customHeight="1" x14ac:dyDescent="0.45">
      <c r="O1354" s="54"/>
      <c r="P1354" s="54"/>
      <c r="Q1354" s="54"/>
    </row>
    <row r="1355" spans="15:17" ht="21.75" customHeight="1" x14ac:dyDescent="0.45">
      <c r="O1355" s="54"/>
      <c r="P1355" s="54"/>
      <c r="Q1355" s="54"/>
    </row>
    <row r="1356" spans="15:17" ht="21.75" customHeight="1" x14ac:dyDescent="0.45">
      <c r="O1356" s="54"/>
      <c r="P1356" s="54"/>
      <c r="Q1356" s="54"/>
    </row>
    <row r="1357" spans="15:17" ht="21.75" customHeight="1" x14ac:dyDescent="0.45">
      <c r="O1357" s="54"/>
      <c r="P1357" s="54"/>
      <c r="Q1357" s="54"/>
    </row>
    <row r="1358" spans="15:17" ht="21.75" customHeight="1" x14ac:dyDescent="0.45">
      <c r="O1358" s="54"/>
      <c r="P1358" s="54"/>
      <c r="Q1358" s="54"/>
    </row>
    <row r="1359" spans="15:17" ht="21.75" customHeight="1" x14ac:dyDescent="0.45">
      <c r="O1359" s="54"/>
      <c r="P1359" s="54"/>
      <c r="Q1359" s="54"/>
    </row>
    <row r="1360" spans="15:17" ht="21.75" customHeight="1" x14ac:dyDescent="0.45">
      <c r="O1360" s="54"/>
      <c r="P1360" s="54"/>
      <c r="Q1360" s="54"/>
    </row>
    <row r="1361" spans="15:17" ht="21.75" customHeight="1" x14ac:dyDescent="0.45">
      <c r="O1361" s="54"/>
      <c r="P1361" s="54"/>
      <c r="Q1361" s="54"/>
    </row>
    <row r="1362" spans="15:17" ht="21.75" customHeight="1" x14ac:dyDescent="0.45">
      <c r="O1362" s="54"/>
      <c r="P1362" s="54"/>
      <c r="Q1362" s="54"/>
    </row>
    <row r="1363" spans="15:17" ht="21.75" customHeight="1" x14ac:dyDescent="0.45">
      <c r="O1363" s="54"/>
      <c r="P1363" s="54"/>
      <c r="Q1363" s="54"/>
    </row>
    <row r="1364" spans="15:17" ht="21.75" customHeight="1" x14ac:dyDescent="0.45">
      <c r="O1364" s="54"/>
      <c r="P1364" s="54"/>
      <c r="Q1364" s="54"/>
    </row>
    <row r="1365" spans="15:17" ht="21.75" customHeight="1" x14ac:dyDescent="0.45">
      <c r="O1365" s="54"/>
      <c r="P1365" s="54"/>
      <c r="Q1365" s="54"/>
    </row>
    <row r="1366" spans="15:17" ht="21.75" customHeight="1" x14ac:dyDescent="0.45">
      <c r="O1366" s="54"/>
      <c r="P1366" s="54"/>
      <c r="Q1366" s="54"/>
    </row>
    <row r="1367" spans="15:17" ht="21.75" customHeight="1" x14ac:dyDescent="0.45">
      <c r="O1367" s="54"/>
      <c r="P1367" s="54"/>
      <c r="Q1367" s="54"/>
    </row>
    <row r="1368" spans="15:17" ht="21.75" customHeight="1" x14ac:dyDescent="0.45">
      <c r="O1368" s="54"/>
      <c r="P1368" s="54"/>
      <c r="Q1368" s="54"/>
    </row>
    <row r="1369" spans="15:17" ht="21.75" customHeight="1" x14ac:dyDescent="0.45">
      <c r="O1369" s="54"/>
      <c r="P1369" s="54"/>
      <c r="Q1369" s="54"/>
    </row>
    <row r="1370" spans="15:17" ht="21.75" customHeight="1" x14ac:dyDescent="0.45">
      <c r="O1370" s="54"/>
      <c r="P1370" s="54"/>
      <c r="Q1370" s="54"/>
    </row>
    <row r="1371" spans="15:17" ht="21.75" customHeight="1" x14ac:dyDescent="0.45">
      <c r="O1371" s="54"/>
      <c r="P1371" s="54"/>
      <c r="Q1371" s="54"/>
    </row>
    <row r="1372" spans="15:17" ht="21.75" customHeight="1" x14ac:dyDescent="0.45">
      <c r="O1372" s="54"/>
      <c r="P1372" s="54"/>
      <c r="Q1372" s="54"/>
    </row>
    <row r="1373" spans="15:17" ht="21.75" customHeight="1" x14ac:dyDescent="0.45">
      <c r="O1373" s="54"/>
      <c r="P1373" s="54"/>
      <c r="Q1373" s="54"/>
    </row>
    <row r="1374" spans="15:17" ht="21.75" customHeight="1" x14ac:dyDescent="0.45">
      <c r="O1374" s="54"/>
      <c r="P1374" s="54"/>
      <c r="Q1374" s="54"/>
    </row>
    <row r="1375" spans="15:17" ht="21.75" customHeight="1" x14ac:dyDescent="0.45">
      <c r="O1375" s="54"/>
      <c r="P1375" s="54"/>
      <c r="Q1375" s="54"/>
    </row>
    <row r="1376" spans="15:17" ht="21.75" customHeight="1" x14ac:dyDescent="0.45">
      <c r="O1376" s="54"/>
      <c r="P1376" s="54"/>
      <c r="Q1376" s="54"/>
    </row>
    <row r="1377" spans="15:17" ht="21.75" customHeight="1" x14ac:dyDescent="0.45">
      <c r="O1377" s="54"/>
      <c r="P1377" s="54"/>
      <c r="Q1377" s="54"/>
    </row>
    <row r="1378" spans="15:17" ht="21.75" customHeight="1" x14ac:dyDescent="0.45">
      <c r="O1378" s="54"/>
      <c r="P1378" s="54"/>
      <c r="Q1378" s="54"/>
    </row>
    <row r="1379" spans="15:17" ht="21.75" customHeight="1" x14ac:dyDescent="0.45">
      <c r="O1379" s="54"/>
      <c r="P1379" s="54"/>
      <c r="Q1379" s="54"/>
    </row>
    <row r="1380" spans="15:17" ht="21.75" customHeight="1" x14ac:dyDescent="0.45">
      <c r="O1380" s="54"/>
      <c r="P1380" s="54"/>
      <c r="Q1380" s="54"/>
    </row>
    <row r="1381" spans="15:17" ht="21.75" customHeight="1" x14ac:dyDescent="0.45">
      <c r="O1381" s="54"/>
      <c r="P1381" s="54"/>
      <c r="Q1381" s="54"/>
    </row>
    <row r="1382" spans="15:17" ht="21.75" customHeight="1" x14ac:dyDescent="0.45">
      <c r="O1382" s="54"/>
      <c r="P1382" s="54"/>
      <c r="Q1382" s="54"/>
    </row>
    <row r="1383" spans="15:17" ht="21.75" customHeight="1" x14ac:dyDescent="0.45">
      <c r="O1383" s="54"/>
      <c r="P1383" s="54"/>
      <c r="Q1383" s="54"/>
    </row>
    <row r="1384" spans="15:17" ht="21.75" customHeight="1" x14ac:dyDescent="0.45">
      <c r="O1384" s="54"/>
      <c r="P1384" s="54"/>
      <c r="Q1384" s="54"/>
    </row>
    <row r="1385" spans="15:17" ht="21.75" customHeight="1" x14ac:dyDescent="0.45">
      <c r="O1385" s="54"/>
      <c r="P1385" s="54"/>
      <c r="Q1385" s="54"/>
    </row>
    <row r="1386" spans="15:17" ht="21.75" customHeight="1" x14ac:dyDescent="0.45">
      <c r="O1386" s="54"/>
      <c r="P1386" s="54"/>
      <c r="Q1386" s="54"/>
    </row>
    <row r="1387" spans="15:17" ht="21.75" customHeight="1" x14ac:dyDescent="0.45">
      <c r="O1387" s="54"/>
      <c r="P1387" s="54"/>
      <c r="Q1387" s="54"/>
    </row>
    <row r="1388" spans="15:17" ht="21.75" customHeight="1" x14ac:dyDescent="0.45">
      <c r="O1388" s="54"/>
      <c r="P1388" s="54"/>
      <c r="Q1388" s="54"/>
    </row>
    <row r="1389" spans="15:17" ht="21.75" customHeight="1" x14ac:dyDescent="0.45">
      <c r="O1389" s="54"/>
      <c r="P1389" s="54"/>
      <c r="Q1389" s="54"/>
    </row>
    <row r="1390" spans="15:17" ht="21.75" customHeight="1" x14ac:dyDescent="0.45">
      <c r="O1390" s="54"/>
      <c r="P1390" s="54"/>
      <c r="Q1390" s="54"/>
    </row>
    <row r="1391" spans="15:17" ht="21.75" customHeight="1" x14ac:dyDescent="0.45">
      <c r="O1391" s="54"/>
      <c r="P1391" s="54"/>
      <c r="Q1391" s="54"/>
    </row>
    <row r="1392" spans="15:17" ht="21.75" customHeight="1" x14ac:dyDescent="0.45">
      <c r="O1392" s="54"/>
      <c r="P1392" s="54"/>
      <c r="Q1392" s="54"/>
    </row>
    <row r="1393" spans="15:17" ht="21.75" customHeight="1" x14ac:dyDescent="0.45">
      <c r="O1393" s="54"/>
      <c r="P1393" s="54"/>
      <c r="Q1393" s="54"/>
    </row>
    <row r="1394" spans="15:17" ht="21.75" customHeight="1" x14ac:dyDescent="0.45">
      <c r="O1394" s="54"/>
      <c r="P1394" s="54"/>
      <c r="Q1394" s="54"/>
    </row>
    <row r="1395" spans="15:17" ht="21.75" customHeight="1" x14ac:dyDescent="0.45">
      <c r="O1395" s="54"/>
      <c r="P1395" s="54"/>
      <c r="Q1395" s="54"/>
    </row>
    <row r="1396" spans="15:17" ht="21.75" customHeight="1" x14ac:dyDescent="0.45">
      <c r="O1396" s="54"/>
      <c r="P1396" s="54"/>
      <c r="Q1396" s="54"/>
    </row>
    <row r="1397" spans="15:17" ht="21.75" customHeight="1" x14ac:dyDescent="0.45">
      <c r="O1397" s="54"/>
      <c r="P1397" s="54"/>
      <c r="Q1397" s="54"/>
    </row>
    <row r="1398" spans="15:17" ht="21.75" customHeight="1" x14ac:dyDescent="0.45">
      <c r="O1398" s="54"/>
      <c r="P1398" s="54"/>
      <c r="Q1398" s="54"/>
    </row>
    <row r="1399" spans="15:17" ht="21.75" customHeight="1" x14ac:dyDescent="0.45">
      <c r="O1399" s="54"/>
      <c r="P1399" s="54"/>
      <c r="Q1399" s="54"/>
    </row>
    <row r="1400" spans="15:17" ht="21.75" customHeight="1" x14ac:dyDescent="0.45">
      <c r="O1400" s="54"/>
      <c r="P1400" s="54"/>
      <c r="Q1400" s="54"/>
    </row>
    <row r="1401" spans="15:17" ht="21.75" customHeight="1" x14ac:dyDescent="0.45">
      <c r="O1401" s="54"/>
      <c r="P1401" s="54"/>
      <c r="Q1401" s="54"/>
    </row>
    <row r="1402" spans="15:17" ht="21.75" customHeight="1" x14ac:dyDescent="0.45">
      <c r="O1402" s="54"/>
      <c r="P1402" s="54"/>
      <c r="Q1402" s="54"/>
    </row>
    <row r="1403" spans="15:17" ht="21.75" customHeight="1" x14ac:dyDescent="0.45">
      <c r="O1403" s="54"/>
      <c r="P1403" s="54"/>
      <c r="Q1403" s="54"/>
    </row>
    <row r="1404" spans="15:17" ht="21.75" customHeight="1" x14ac:dyDescent="0.45">
      <c r="O1404" s="54"/>
      <c r="P1404" s="54"/>
      <c r="Q1404" s="54"/>
    </row>
    <row r="1405" spans="15:17" ht="21.75" customHeight="1" x14ac:dyDescent="0.45">
      <c r="O1405" s="54"/>
      <c r="P1405" s="54"/>
      <c r="Q1405" s="54"/>
    </row>
    <row r="1406" spans="15:17" ht="21.75" customHeight="1" x14ac:dyDescent="0.45">
      <c r="O1406" s="54"/>
      <c r="P1406" s="54"/>
      <c r="Q1406" s="54"/>
    </row>
    <row r="1407" spans="15:17" ht="21.75" customHeight="1" x14ac:dyDescent="0.45">
      <c r="O1407" s="54"/>
      <c r="P1407" s="54"/>
      <c r="Q1407" s="54"/>
    </row>
    <row r="1408" spans="15:17" ht="21.75" customHeight="1" x14ac:dyDescent="0.45">
      <c r="O1408" s="54"/>
      <c r="P1408" s="54"/>
      <c r="Q1408" s="54"/>
    </row>
    <row r="1409" spans="15:17" ht="21.75" customHeight="1" x14ac:dyDescent="0.45">
      <c r="O1409" s="54"/>
      <c r="P1409" s="54"/>
      <c r="Q1409" s="54"/>
    </row>
    <row r="1410" spans="15:17" ht="21.75" customHeight="1" x14ac:dyDescent="0.45">
      <c r="O1410" s="54"/>
      <c r="P1410" s="54"/>
      <c r="Q1410" s="54"/>
    </row>
    <row r="1411" spans="15:17" ht="21.75" customHeight="1" x14ac:dyDescent="0.45">
      <c r="O1411" s="54"/>
      <c r="P1411" s="54"/>
      <c r="Q1411" s="54"/>
    </row>
    <row r="1412" spans="15:17" ht="21.75" customHeight="1" x14ac:dyDescent="0.45">
      <c r="O1412" s="54"/>
      <c r="P1412" s="54"/>
      <c r="Q1412" s="54"/>
    </row>
    <row r="1413" spans="15:17" ht="21.75" customHeight="1" x14ac:dyDescent="0.45">
      <c r="O1413" s="54"/>
      <c r="P1413" s="54"/>
      <c r="Q1413" s="54"/>
    </row>
    <row r="1414" spans="15:17" ht="21.75" customHeight="1" x14ac:dyDescent="0.45">
      <c r="O1414" s="54"/>
      <c r="P1414" s="54"/>
      <c r="Q1414" s="54"/>
    </row>
    <row r="1415" spans="15:17" ht="21.75" customHeight="1" x14ac:dyDescent="0.45">
      <c r="O1415" s="54"/>
      <c r="P1415" s="54"/>
      <c r="Q1415" s="54"/>
    </row>
    <row r="1416" spans="15:17" ht="21.75" customHeight="1" x14ac:dyDescent="0.45">
      <c r="O1416" s="54"/>
      <c r="P1416" s="54"/>
      <c r="Q1416" s="54"/>
    </row>
    <row r="1417" spans="15:17" ht="21.75" customHeight="1" x14ac:dyDescent="0.45">
      <c r="O1417" s="54"/>
      <c r="P1417" s="54"/>
      <c r="Q1417" s="54"/>
    </row>
    <row r="1418" spans="15:17" ht="21.75" customHeight="1" x14ac:dyDescent="0.45">
      <c r="O1418" s="54"/>
      <c r="P1418" s="54"/>
      <c r="Q1418" s="54"/>
    </row>
    <row r="1419" spans="15:17" ht="21.75" customHeight="1" x14ac:dyDescent="0.45">
      <c r="O1419" s="54"/>
      <c r="P1419" s="54"/>
      <c r="Q1419" s="54"/>
    </row>
    <row r="1420" spans="15:17" ht="21.75" customHeight="1" x14ac:dyDescent="0.45">
      <c r="O1420" s="54"/>
      <c r="P1420" s="54"/>
      <c r="Q1420" s="54"/>
    </row>
    <row r="1421" spans="15:17" ht="21.75" customHeight="1" x14ac:dyDescent="0.45">
      <c r="O1421" s="54"/>
      <c r="P1421" s="54"/>
      <c r="Q1421" s="54"/>
    </row>
    <row r="1422" spans="15:17" ht="21.75" customHeight="1" x14ac:dyDescent="0.45">
      <c r="O1422" s="54"/>
      <c r="P1422" s="54"/>
      <c r="Q1422" s="54"/>
    </row>
    <row r="1423" spans="15:17" ht="21.75" customHeight="1" x14ac:dyDescent="0.45">
      <c r="O1423" s="54"/>
      <c r="P1423" s="54"/>
      <c r="Q1423" s="54"/>
    </row>
    <row r="1424" spans="15:17" ht="21.75" customHeight="1" x14ac:dyDescent="0.45">
      <c r="O1424" s="54"/>
      <c r="P1424" s="54"/>
      <c r="Q1424" s="54"/>
    </row>
    <row r="1425" spans="15:17" ht="21.75" customHeight="1" x14ac:dyDescent="0.45">
      <c r="O1425" s="54"/>
      <c r="P1425" s="54"/>
      <c r="Q1425" s="54"/>
    </row>
    <row r="1426" spans="15:17" ht="21.75" customHeight="1" x14ac:dyDescent="0.45">
      <c r="O1426" s="54"/>
      <c r="P1426" s="54"/>
      <c r="Q1426" s="54"/>
    </row>
    <row r="1427" spans="15:17" ht="21.75" customHeight="1" x14ac:dyDescent="0.45">
      <c r="O1427" s="54"/>
      <c r="P1427" s="54"/>
      <c r="Q1427" s="54"/>
    </row>
    <row r="1428" spans="15:17" ht="21.75" customHeight="1" x14ac:dyDescent="0.45">
      <c r="O1428" s="54"/>
      <c r="P1428" s="54"/>
      <c r="Q1428" s="54"/>
    </row>
    <row r="1429" spans="15:17" ht="21.75" customHeight="1" x14ac:dyDescent="0.45">
      <c r="O1429" s="54"/>
      <c r="P1429" s="54"/>
      <c r="Q1429" s="54"/>
    </row>
    <row r="1430" spans="15:17" ht="21.75" customHeight="1" x14ac:dyDescent="0.45">
      <c r="O1430" s="54"/>
      <c r="P1430" s="54"/>
      <c r="Q1430" s="54"/>
    </row>
    <row r="1431" spans="15:17" ht="21.75" customHeight="1" x14ac:dyDescent="0.45">
      <c r="O1431" s="54"/>
      <c r="P1431" s="54"/>
      <c r="Q1431" s="54"/>
    </row>
    <row r="1432" spans="15:17" ht="21.75" customHeight="1" x14ac:dyDescent="0.45">
      <c r="O1432" s="54"/>
      <c r="P1432" s="54"/>
      <c r="Q1432" s="54"/>
    </row>
    <row r="1433" spans="15:17" ht="21.75" customHeight="1" x14ac:dyDescent="0.45">
      <c r="O1433" s="54"/>
      <c r="P1433" s="54"/>
      <c r="Q1433" s="54"/>
    </row>
    <row r="1434" spans="15:17" ht="21.75" customHeight="1" x14ac:dyDescent="0.45">
      <c r="O1434" s="54"/>
      <c r="P1434" s="54"/>
      <c r="Q1434" s="54"/>
    </row>
    <row r="1435" spans="15:17" ht="21.75" customHeight="1" x14ac:dyDescent="0.45">
      <c r="O1435" s="54"/>
      <c r="P1435" s="54"/>
      <c r="Q1435" s="54"/>
    </row>
    <row r="1436" spans="15:17" ht="21.75" customHeight="1" x14ac:dyDescent="0.45">
      <c r="O1436" s="54"/>
      <c r="P1436" s="54"/>
      <c r="Q1436" s="54"/>
    </row>
    <row r="1437" spans="15:17" ht="21.75" customHeight="1" x14ac:dyDescent="0.45">
      <c r="O1437" s="54"/>
      <c r="P1437" s="54"/>
      <c r="Q1437" s="54"/>
    </row>
    <row r="1438" spans="15:17" ht="21.75" customHeight="1" x14ac:dyDescent="0.45">
      <c r="O1438" s="54"/>
      <c r="P1438" s="54"/>
      <c r="Q1438" s="54"/>
    </row>
    <row r="1439" spans="15:17" ht="21.75" customHeight="1" x14ac:dyDescent="0.45">
      <c r="O1439" s="54"/>
      <c r="P1439" s="54"/>
      <c r="Q1439" s="54"/>
    </row>
    <row r="1440" spans="15:17" ht="21.75" customHeight="1" x14ac:dyDescent="0.45">
      <c r="O1440" s="54"/>
      <c r="P1440" s="54"/>
      <c r="Q1440" s="54"/>
    </row>
    <row r="1441" spans="15:17" ht="21.75" customHeight="1" x14ac:dyDescent="0.45">
      <c r="O1441" s="54"/>
      <c r="P1441" s="54"/>
      <c r="Q1441" s="54"/>
    </row>
    <row r="1442" spans="15:17" ht="21.75" customHeight="1" x14ac:dyDescent="0.45">
      <c r="O1442" s="54"/>
      <c r="P1442" s="54"/>
      <c r="Q1442" s="54"/>
    </row>
    <row r="1443" spans="15:17" ht="21.75" customHeight="1" x14ac:dyDescent="0.45">
      <c r="O1443" s="54"/>
      <c r="P1443" s="54"/>
      <c r="Q1443" s="54"/>
    </row>
    <row r="1444" spans="15:17" ht="21.75" customHeight="1" x14ac:dyDescent="0.45">
      <c r="O1444" s="54"/>
      <c r="P1444" s="54"/>
      <c r="Q1444" s="54"/>
    </row>
    <row r="1445" spans="15:17" ht="21.75" customHeight="1" x14ac:dyDescent="0.45">
      <c r="O1445" s="54"/>
      <c r="P1445" s="54"/>
      <c r="Q1445" s="54"/>
    </row>
    <row r="1446" spans="15:17" ht="21.75" customHeight="1" x14ac:dyDescent="0.45">
      <c r="O1446" s="54"/>
      <c r="P1446" s="54"/>
      <c r="Q1446" s="54"/>
    </row>
    <row r="1447" spans="15:17" ht="21.75" customHeight="1" x14ac:dyDescent="0.45">
      <c r="O1447" s="54"/>
      <c r="P1447" s="54"/>
      <c r="Q1447" s="54"/>
    </row>
    <row r="1448" spans="15:17" ht="21.75" customHeight="1" x14ac:dyDescent="0.45">
      <c r="O1448" s="54"/>
      <c r="P1448" s="54"/>
      <c r="Q1448" s="54"/>
    </row>
    <row r="1449" spans="15:17" ht="21.75" customHeight="1" x14ac:dyDescent="0.45">
      <c r="O1449" s="54"/>
      <c r="P1449" s="54"/>
      <c r="Q1449" s="54"/>
    </row>
    <row r="1450" spans="15:17" ht="21.75" customHeight="1" x14ac:dyDescent="0.45">
      <c r="O1450" s="54"/>
      <c r="P1450" s="54"/>
      <c r="Q1450" s="54"/>
    </row>
    <row r="1451" spans="15:17" ht="21.75" customHeight="1" x14ac:dyDescent="0.45">
      <c r="O1451" s="54"/>
      <c r="P1451" s="54"/>
      <c r="Q1451" s="54"/>
    </row>
    <row r="1452" spans="15:17" ht="21.75" customHeight="1" x14ac:dyDescent="0.45">
      <c r="O1452" s="54"/>
      <c r="P1452" s="54"/>
      <c r="Q1452" s="54"/>
    </row>
    <row r="1453" spans="15:17" ht="21.75" customHeight="1" x14ac:dyDescent="0.45">
      <c r="O1453" s="54"/>
      <c r="P1453" s="54"/>
      <c r="Q1453" s="54"/>
    </row>
    <row r="1454" spans="15:17" ht="21.75" customHeight="1" x14ac:dyDescent="0.45">
      <c r="O1454" s="54"/>
      <c r="P1454" s="54"/>
      <c r="Q1454" s="54"/>
    </row>
    <row r="1455" spans="15:17" ht="21.75" customHeight="1" x14ac:dyDescent="0.45">
      <c r="O1455" s="54"/>
      <c r="P1455" s="54"/>
      <c r="Q1455" s="54"/>
    </row>
    <row r="1456" spans="15:17" ht="21.75" customHeight="1" x14ac:dyDescent="0.45">
      <c r="O1456" s="54"/>
      <c r="P1456" s="54"/>
      <c r="Q1456" s="54"/>
    </row>
    <row r="1457" spans="15:17" ht="21.75" customHeight="1" x14ac:dyDescent="0.45">
      <c r="O1457" s="54"/>
      <c r="P1457" s="54"/>
      <c r="Q1457" s="54"/>
    </row>
    <row r="1458" spans="15:17" ht="21.75" customHeight="1" x14ac:dyDescent="0.45">
      <c r="O1458" s="54"/>
      <c r="P1458" s="54"/>
      <c r="Q1458" s="54"/>
    </row>
    <row r="1459" spans="15:17" ht="21.75" customHeight="1" x14ac:dyDescent="0.45">
      <c r="O1459" s="54"/>
      <c r="P1459" s="54"/>
      <c r="Q1459" s="54"/>
    </row>
    <row r="1460" spans="15:17" ht="21.75" customHeight="1" x14ac:dyDescent="0.45">
      <c r="O1460" s="54"/>
      <c r="P1460" s="54"/>
      <c r="Q1460" s="54"/>
    </row>
    <row r="1461" spans="15:17" ht="21.75" customHeight="1" x14ac:dyDescent="0.45">
      <c r="O1461" s="54"/>
      <c r="P1461" s="54"/>
      <c r="Q1461" s="54"/>
    </row>
    <row r="1462" spans="15:17" ht="21.75" customHeight="1" x14ac:dyDescent="0.45">
      <c r="O1462" s="54"/>
      <c r="P1462" s="54"/>
      <c r="Q1462" s="54"/>
    </row>
    <row r="1463" spans="15:17" ht="21.75" customHeight="1" x14ac:dyDescent="0.45">
      <c r="O1463" s="54"/>
      <c r="P1463" s="54"/>
      <c r="Q1463" s="54"/>
    </row>
    <row r="1464" spans="15:17" ht="21.75" customHeight="1" x14ac:dyDescent="0.45">
      <c r="O1464" s="54"/>
      <c r="P1464" s="54"/>
      <c r="Q1464" s="54"/>
    </row>
    <row r="1465" spans="15:17" ht="21.75" customHeight="1" x14ac:dyDescent="0.45">
      <c r="O1465" s="54"/>
      <c r="P1465" s="54"/>
      <c r="Q1465" s="54"/>
    </row>
    <row r="1466" spans="15:17" ht="21.75" customHeight="1" x14ac:dyDescent="0.45">
      <c r="O1466" s="54"/>
      <c r="P1466" s="54"/>
      <c r="Q1466" s="54"/>
    </row>
    <row r="1467" spans="15:17" ht="21.75" customHeight="1" x14ac:dyDescent="0.45">
      <c r="O1467" s="54"/>
      <c r="P1467" s="54"/>
      <c r="Q1467" s="54"/>
    </row>
    <row r="1468" spans="15:17" ht="21.75" customHeight="1" x14ac:dyDescent="0.45">
      <c r="O1468" s="54"/>
      <c r="P1468" s="54"/>
      <c r="Q1468" s="54"/>
    </row>
    <row r="1469" spans="15:17" ht="21.75" customHeight="1" x14ac:dyDescent="0.45">
      <c r="O1469" s="54"/>
      <c r="P1469" s="54"/>
      <c r="Q1469" s="54"/>
    </row>
    <row r="1470" spans="15:17" ht="21.75" customHeight="1" x14ac:dyDescent="0.45">
      <c r="O1470" s="54"/>
      <c r="P1470" s="54"/>
      <c r="Q1470" s="54"/>
    </row>
    <row r="1471" spans="15:17" ht="21.75" customHeight="1" x14ac:dyDescent="0.45">
      <c r="O1471" s="54"/>
      <c r="P1471" s="54"/>
      <c r="Q1471" s="54"/>
    </row>
    <row r="1472" spans="15:17" ht="21.75" customHeight="1" x14ac:dyDescent="0.45">
      <c r="O1472" s="54"/>
      <c r="P1472" s="54"/>
      <c r="Q1472" s="54"/>
    </row>
    <row r="1473" spans="15:17" ht="21.75" customHeight="1" x14ac:dyDescent="0.45">
      <c r="O1473" s="54"/>
      <c r="P1473" s="54"/>
      <c r="Q1473" s="54"/>
    </row>
    <row r="1474" spans="15:17" ht="21.75" customHeight="1" x14ac:dyDescent="0.45">
      <c r="O1474" s="54"/>
      <c r="P1474" s="54"/>
      <c r="Q1474" s="54"/>
    </row>
    <row r="1475" spans="15:17" ht="21.75" customHeight="1" x14ac:dyDescent="0.45">
      <c r="O1475" s="54"/>
      <c r="P1475" s="54"/>
      <c r="Q1475" s="54"/>
    </row>
    <row r="1476" spans="15:17" ht="21.75" customHeight="1" x14ac:dyDescent="0.45">
      <c r="O1476" s="54"/>
      <c r="P1476" s="54"/>
      <c r="Q1476" s="54"/>
    </row>
    <row r="1477" spans="15:17" ht="21.75" customHeight="1" x14ac:dyDescent="0.45">
      <c r="O1477" s="54"/>
      <c r="P1477" s="54"/>
      <c r="Q1477" s="54"/>
    </row>
    <row r="1478" spans="15:17" ht="21.75" customHeight="1" x14ac:dyDescent="0.45">
      <c r="O1478" s="54"/>
      <c r="P1478" s="54"/>
      <c r="Q1478" s="54"/>
    </row>
    <row r="1479" spans="15:17" ht="21.75" customHeight="1" x14ac:dyDescent="0.45">
      <c r="O1479" s="54"/>
      <c r="P1479" s="54"/>
      <c r="Q1479" s="54"/>
    </row>
    <row r="1480" spans="15:17" ht="21.75" customHeight="1" x14ac:dyDescent="0.45">
      <c r="O1480" s="54"/>
      <c r="P1480" s="54"/>
      <c r="Q1480" s="54"/>
    </row>
    <row r="1481" spans="15:17" ht="21.75" customHeight="1" x14ac:dyDescent="0.45">
      <c r="O1481" s="54"/>
      <c r="P1481" s="54"/>
      <c r="Q1481" s="54"/>
    </row>
    <row r="1482" spans="15:17" ht="21.75" customHeight="1" x14ac:dyDescent="0.45">
      <c r="O1482" s="54"/>
      <c r="P1482" s="54"/>
      <c r="Q1482" s="54"/>
    </row>
    <row r="1483" spans="15:17" ht="21.75" customHeight="1" x14ac:dyDescent="0.45">
      <c r="O1483" s="54"/>
      <c r="P1483" s="54"/>
      <c r="Q1483" s="54"/>
    </row>
    <row r="1484" spans="15:17" ht="21.75" customHeight="1" x14ac:dyDescent="0.45">
      <c r="O1484" s="54"/>
      <c r="P1484" s="54"/>
      <c r="Q1484" s="54"/>
    </row>
    <row r="1485" spans="15:17" ht="21.75" customHeight="1" x14ac:dyDescent="0.45">
      <c r="O1485" s="54"/>
      <c r="P1485" s="54"/>
      <c r="Q1485" s="54"/>
    </row>
    <row r="1486" spans="15:17" ht="21.75" customHeight="1" x14ac:dyDescent="0.45">
      <c r="O1486" s="54"/>
      <c r="P1486" s="54"/>
      <c r="Q1486" s="54"/>
    </row>
    <row r="1487" spans="15:17" ht="21.75" customHeight="1" x14ac:dyDescent="0.45">
      <c r="O1487" s="54"/>
      <c r="P1487" s="54"/>
      <c r="Q1487" s="54"/>
    </row>
    <row r="1488" spans="15:17" ht="21.75" customHeight="1" x14ac:dyDescent="0.45">
      <c r="O1488" s="54"/>
      <c r="P1488" s="54"/>
      <c r="Q1488" s="54"/>
    </row>
    <row r="1489" spans="15:17" ht="21.75" customHeight="1" x14ac:dyDescent="0.45">
      <c r="O1489" s="54"/>
      <c r="P1489" s="54"/>
      <c r="Q1489" s="54"/>
    </row>
    <row r="1490" spans="15:17" ht="21.75" customHeight="1" x14ac:dyDescent="0.45">
      <c r="O1490" s="54"/>
      <c r="P1490" s="54"/>
      <c r="Q1490" s="54"/>
    </row>
    <row r="1491" spans="15:17" ht="21.75" customHeight="1" x14ac:dyDescent="0.45">
      <c r="O1491" s="54"/>
      <c r="P1491" s="54"/>
      <c r="Q1491" s="54"/>
    </row>
    <row r="1492" spans="15:17" ht="21.75" customHeight="1" x14ac:dyDescent="0.45">
      <c r="O1492" s="54"/>
      <c r="P1492" s="54"/>
      <c r="Q1492" s="54"/>
    </row>
    <row r="1493" spans="15:17" ht="21.75" customHeight="1" x14ac:dyDescent="0.45">
      <c r="O1493" s="54"/>
      <c r="P1493" s="54"/>
      <c r="Q1493" s="54"/>
    </row>
    <row r="1494" spans="15:17" ht="21.75" customHeight="1" x14ac:dyDescent="0.45">
      <c r="O1494" s="54"/>
      <c r="P1494" s="54"/>
      <c r="Q1494" s="54"/>
    </row>
    <row r="1495" spans="15:17" ht="21.75" customHeight="1" x14ac:dyDescent="0.45">
      <c r="O1495" s="54"/>
      <c r="P1495" s="54"/>
      <c r="Q1495" s="54"/>
    </row>
    <row r="1496" spans="15:17" ht="21.75" customHeight="1" x14ac:dyDescent="0.45">
      <c r="O1496" s="54"/>
      <c r="P1496" s="54"/>
      <c r="Q1496" s="54"/>
    </row>
    <row r="1497" spans="15:17" ht="21.75" customHeight="1" x14ac:dyDescent="0.45">
      <c r="O1497" s="54"/>
      <c r="P1497" s="54"/>
      <c r="Q1497" s="54"/>
    </row>
    <row r="1498" spans="15:17" ht="21.75" customHeight="1" x14ac:dyDescent="0.45">
      <c r="O1498" s="54"/>
      <c r="P1498" s="54"/>
      <c r="Q1498" s="54"/>
    </row>
    <row r="1499" spans="15:17" ht="21.75" customHeight="1" x14ac:dyDescent="0.45">
      <c r="O1499" s="54"/>
      <c r="P1499" s="54"/>
      <c r="Q1499" s="54"/>
    </row>
    <row r="1500" spans="15:17" ht="21.75" customHeight="1" x14ac:dyDescent="0.45">
      <c r="O1500" s="54"/>
      <c r="P1500" s="54"/>
      <c r="Q1500" s="54"/>
    </row>
    <row r="1501" spans="15:17" ht="21.75" customHeight="1" x14ac:dyDescent="0.45">
      <c r="O1501" s="54"/>
      <c r="P1501" s="54"/>
      <c r="Q1501" s="54"/>
    </row>
    <row r="1502" spans="15:17" ht="21.75" customHeight="1" x14ac:dyDescent="0.45">
      <c r="O1502" s="54"/>
      <c r="P1502" s="54"/>
      <c r="Q1502" s="54"/>
    </row>
    <row r="1503" spans="15:17" ht="21.75" customHeight="1" x14ac:dyDescent="0.45">
      <c r="O1503" s="54"/>
      <c r="P1503" s="54"/>
      <c r="Q1503" s="54"/>
    </row>
    <row r="1504" spans="15:17" ht="21.75" customHeight="1" x14ac:dyDescent="0.45">
      <c r="O1504" s="54"/>
      <c r="P1504" s="54"/>
      <c r="Q1504" s="54"/>
    </row>
    <row r="1505" spans="15:17" ht="21.75" customHeight="1" x14ac:dyDescent="0.45">
      <c r="O1505" s="54"/>
      <c r="P1505" s="54"/>
      <c r="Q1505" s="54"/>
    </row>
    <row r="1506" spans="15:17" ht="21.75" customHeight="1" x14ac:dyDescent="0.45">
      <c r="O1506" s="54"/>
      <c r="P1506" s="54"/>
      <c r="Q1506" s="54"/>
    </row>
    <row r="1507" spans="15:17" ht="21.75" customHeight="1" x14ac:dyDescent="0.45">
      <c r="O1507" s="54"/>
      <c r="P1507" s="54"/>
      <c r="Q1507" s="54"/>
    </row>
    <row r="1508" spans="15:17" ht="21.75" customHeight="1" x14ac:dyDescent="0.45">
      <c r="O1508" s="54"/>
      <c r="P1508" s="54"/>
      <c r="Q1508" s="54"/>
    </row>
    <row r="1509" spans="15:17" ht="21.75" customHeight="1" x14ac:dyDescent="0.45">
      <c r="O1509" s="54"/>
      <c r="P1509" s="54"/>
      <c r="Q1509" s="54"/>
    </row>
    <row r="1510" spans="15:17" ht="21.75" customHeight="1" x14ac:dyDescent="0.45">
      <c r="O1510" s="54"/>
      <c r="P1510" s="54"/>
      <c r="Q1510" s="54"/>
    </row>
    <row r="1511" spans="15:17" ht="21.75" customHeight="1" x14ac:dyDescent="0.45">
      <c r="O1511" s="54"/>
      <c r="P1511" s="54"/>
      <c r="Q1511" s="54"/>
    </row>
    <row r="1512" spans="15:17" ht="21.75" customHeight="1" x14ac:dyDescent="0.45">
      <c r="O1512" s="54"/>
      <c r="P1512" s="54"/>
      <c r="Q1512" s="54"/>
    </row>
    <row r="1513" spans="15:17" ht="21.75" customHeight="1" x14ac:dyDescent="0.45">
      <c r="O1513" s="54"/>
      <c r="P1513" s="54"/>
      <c r="Q1513" s="54"/>
    </row>
    <row r="1514" spans="15:17" ht="21.75" customHeight="1" x14ac:dyDescent="0.45">
      <c r="O1514" s="54"/>
      <c r="P1514" s="54"/>
      <c r="Q1514" s="54"/>
    </row>
    <row r="1515" spans="15:17" ht="21.75" customHeight="1" x14ac:dyDescent="0.45">
      <c r="O1515" s="54"/>
      <c r="P1515" s="54"/>
      <c r="Q1515" s="54"/>
    </row>
    <row r="1516" spans="15:17" ht="21.75" customHeight="1" x14ac:dyDescent="0.45">
      <c r="O1516" s="54"/>
      <c r="P1516" s="54"/>
      <c r="Q1516" s="54"/>
    </row>
    <row r="1517" spans="15:17" ht="21.75" customHeight="1" x14ac:dyDescent="0.45">
      <c r="O1517" s="54"/>
      <c r="P1517" s="54"/>
      <c r="Q1517" s="54"/>
    </row>
    <row r="1518" spans="15:17" ht="21.75" customHeight="1" x14ac:dyDescent="0.45">
      <c r="O1518" s="54"/>
      <c r="P1518" s="54"/>
      <c r="Q1518" s="54"/>
    </row>
    <row r="1519" spans="15:17" ht="21.75" customHeight="1" x14ac:dyDescent="0.45">
      <c r="O1519" s="54"/>
      <c r="P1519" s="54"/>
      <c r="Q1519" s="54"/>
    </row>
    <row r="1520" spans="15:17" ht="21.75" customHeight="1" x14ac:dyDescent="0.45">
      <c r="O1520" s="54"/>
      <c r="P1520" s="54"/>
      <c r="Q1520" s="54"/>
    </row>
    <row r="1521" spans="15:17" ht="21.75" customHeight="1" x14ac:dyDescent="0.45">
      <c r="O1521" s="54"/>
      <c r="P1521" s="54"/>
      <c r="Q1521" s="54"/>
    </row>
    <row r="1522" spans="15:17" ht="21.75" customHeight="1" x14ac:dyDescent="0.45">
      <c r="O1522" s="54"/>
      <c r="P1522" s="54"/>
      <c r="Q1522" s="54"/>
    </row>
    <row r="1523" spans="15:17" ht="21.75" customHeight="1" x14ac:dyDescent="0.45">
      <c r="O1523" s="54"/>
      <c r="P1523" s="54"/>
      <c r="Q1523" s="54"/>
    </row>
    <row r="1524" spans="15:17" ht="21.75" customHeight="1" x14ac:dyDescent="0.45">
      <c r="O1524" s="54"/>
      <c r="P1524" s="54"/>
      <c r="Q1524" s="54"/>
    </row>
    <row r="1525" spans="15:17" ht="21.75" customHeight="1" x14ac:dyDescent="0.45">
      <c r="O1525" s="54"/>
      <c r="P1525" s="54"/>
      <c r="Q1525" s="54"/>
    </row>
    <row r="1526" spans="15:17" ht="21.75" customHeight="1" x14ac:dyDescent="0.45">
      <c r="O1526" s="54"/>
      <c r="P1526" s="54"/>
      <c r="Q1526" s="54"/>
    </row>
    <row r="1527" spans="15:17" ht="21.75" customHeight="1" x14ac:dyDescent="0.45">
      <c r="O1527" s="54"/>
      <c r="P1527" s="54"/>
      <c r="Q1527" s="54"/>
    </row>
    <row r="1528" spans="15:17" ht="21.75" customHeight="1" x14ac:dyDescent="0.45">
      <c r="O1528" s="54"/>
      <c r="P1528" s="54"/>
      <c r="Q1528" s="54"/>
    </row>
    <row r="1529" spans="15:17" ht="21.75" customHeight="1" x14ac:dyDescent="0.45">
      <c r="O1529" s="54"/>
      <c r="P1529" s="54"/>
      <c r="Q1529" s="54"/>
    </row>
    <row r="1530" spans="15:17" ht="21.75" customHeight="1" x14ac:dyDescent="0.45">
      <c r="O1530" s="54"/>
      <c r="P1530" s="54"/>
      <c r="Q1530" s="54"/>
    </row>
    <row r="1531" spans="15:17" ht="21.75" customHeight="1" x14ac:dyDescent="0.45">
      <c r="O1531" s="54"/>
      <c r="P1531" s="54"/>
      <c r="Q1531" s="54"/>
    </row>
    <row r="1532" spans="15:17" ht="21.75" customHeight="1" x14ac:dyDescent="0.45">
      <c r="O1532" s="54"/>
      <c r="P1532" s="54"/>
      <c r="Q1532" s="54"/>
    </row>
    <row r="1533" spans="15:17" ht="21.75" customHeight="1" x14ac:dyDescent="0.45">
      <c r="O1533" s="54"/>
      <c r="P1533" s="54"/>
      <c r="Q1533" s="54"/>
    </row>
    <row r="1534" spans="15:17" ht="21.75" customHeight="1" x14ac:dyDescent="0.45">
      <c r="O1534" s="54"/>
      <c r="P1534" s="54"/>
      <c r="Q1534" s="54"/>
    </row>
    <row r="1535" spans="15:17" ht="21.75" customHeight="1" x14ac:dyDescent="0.45">
      <c r="O1535" s="54"/>
      <c r="P1535" s="54"/>
      <c r="Q1535" s="54"/>
    </row>
    <row r="1536" spans="15:17" ht="21.75" customHeight="1" x14ac:dyDescent="0.45">
      <c r="O1536" s="54"/>
      <c r="P1536" s="54"/>
      <c r="Q1536" s="54"/>
    </row>
    <row r="1537" spans="15:17" ht="21.75" customHeight="1" x14ac:dyDescent="0.45">
      <c r="O1537" s="54"/>
      <c r="P1537" s="54"/>
      <c r="Q1537" s="54"/>
    </row>
    <row r="1538" spans="15:17" ht="21.75" customHeight="1" x14ac:dyDescent="0.45">
      <c r="O1538" s="54"/>
      <c r="P1538" s="54"/>
      <c r="Q1538" s="54"/>
    </row>
    <row r="1539" spans="15:17" ht="21.75" customHeight="1" x14ac:dyDescent="0.45">
      <c r="O1539" s="54"/>
      <c r="P1539" s="54"/>
      <c r="Q1539" s="54"/>
    </row>
    <row r="1540" spans="15:17" ht="21.75" customHeight="1" x14ac:dyDescent="0.45">
      <c r="O1540" s="54"/>
      <c r="P1540" s="54"/>
      <c r="Q1540" s="54"/>
    </row>
    <row r="1541" spans="15:17" ht="21.75" customHeight="1" x14ac:dyDescent="0.45">
      <c r="O1541" s="54"/>
      <c r="P1541" s="54"/>
      <c r="Q1541" s="54"/>
    </row>
    <row r="1542" spans="15:17" ht="21.75" customHeight="1" x14ac:dyDescent="0.45">
      <c r="O1542" s="54"/>
      <c r="P1542" s="54"/>
      <c r="Q1542" s="54"/>
    </row>
    <row r="1543" spans="15:17" ht="21.75" customHeight="1" x14ac:dyDescent="0.45">
      <c r="O1543" s="54"/>
      <c r="P1543" s="54"/>
      <c r="Q1543" s="54"/>
    </row>
    <row r="1544" spans="15:17" ht="21.75" customHeight="1" x14ac:dyDescent="0.45">
      <c r="O1544" s="54"/>
      <c r="P1544" s="54"/>
      <c r="Q1544" s="54"/>
    </row>
    <row r="1545" spans="15:17" ht="21.75" customHeight="1" x14ac:dyDescent="0.45">
      <c r="O1545" s="54"/>
      <c r="P1545" s="54"/>
      <c r="Q1545" s="54"/>
    </row>
    <row r="1546" spans="15:17" ht="21.75" customHeight="1" x14ac:dyDescent="0.45">
      <c r="O1546" s="54"/>
      <c r="P1546" s="54"/>
      <c r="Q1546" s="54"/>
    </row>
    <row r="1547" spans="15:17" ht="21.75" customHeight="1" x14ac:dyDescent="0.45">
      <c r="O1547" s="54"/>
      <c r="P1547" s="54"/>
      <c r="Q1547" s="54"/>
    </row>
    <row r="1548" spans="15:17" ht="21.75" customHeight="1" x14ac:dyDescent="0.45">
      <c r="O1548" s="54"/>
      <c r="P1548" s="54"/>
      <c r="Q1548" s="54"/>
    </row>
    <row r="1549" spans="15:17" ht="21.75" customHeight="1" x14ac:dyDescent="0.45">
      <c r="O1549" s="54"/>
      <c r="P1549" s="54"/>
      <c r="Q1549" s="54"/>
    </row>
    <row r="1550" spans="15:17" ht="21.75" customHeight="1" x14ac:dyDescent="0.45">
      <c r="O1550" s="54"/>
      <c r="P1550" s="54"/>
      <c r="Q1550" s="54"/>
    </row>
    <row r="1551" spans="15:17" ht="21.75" customHeight="1" x14ac:dyDescent="0.45">
      <c r="O1551" s="54"/>
      <c r="P1551" s="54"/>
      <c r="Q1551" s="54"/>
    </row>
    <row r="1552" spans="15:17" ht="21.75" customHeight="1" x14ac:dyDescent="0.45">
      <c r="O1552" s="54"/>
      <c r="P1552" s="54"/>
      <c r="Q1552" s="54"/>
    </row>
    <row r="1553" spans="15:17" ht="21.75" customHeight="1" x14ac:dyDescent="0.45">
      <c r="O1553" s="54"/>
      <c r="P1553" s="54"/>
      <c r="Q1553" s="54"/>
    </row>
    <row r="1554" spans="15:17" ht="21.75" customHeight="1" x14ac:dyDescent="0.45">
      <c r="O1554" s="54"/>
      <c r="P1554" s="54"/>
      <c r="Q1554" s="54"/>
    </row>
    <row r="1555" spans="15:17" ht="21.75" customHeight="1" x14ac:dyDescent="0.45">
      <c r="O1555" s="54"/>
      <c r="P1555" s="54"/>
      <c r="Q1555" s="54"/>
    </row>
    <row r="1556" spans="15:17" ht="21.75" customHeight="1" x14ac:dyDescent="0.45">
      <c r="O1556" s="54"/>
      <c r="P1556" s="54"/>
      <c r="Q1556" s="54"/>
    </row>
    <row r="1557" spans="15:17" ht="21.75" customHeight="1" x14ac:dyDescent="0.45">
      <c r="O1557" s="54"/>
      <c r="P1557" s="54"/>
      <c r="Q1557" s="54"/>
    </row>
    <row r="1558" spans="15:17" ht="21.75" customHeight="1" x14ac:dyDescent="0.45">
      <c r="O1558" s="54"/>
      <c r="P1558" s="54"/>
      <c r="Q1558" s="54"/>
    </row>
    <row r="1559" spans="15:17" ht="21.75" customHeight="1" x14ac:dyDescent="0.45">
      <c r="O1559" s="54"/>
      <c r="P1559" s="54"/>
      <c r="Q1559" s="54"/>
    </row>
    <row r="1560" spans="15:17" ht="21.75" customHeight="1" x14ac:dyDescent="0.45">
      <c r="O1560" s="54"/>
      <c r="P1560" s="54"/>
      <c r="Q1560" s="54"/>
    </row>
    <row r="1561" spans="15:17" ht="21.75" customHeight="1" x14ac:dyDescent="0.45">
      <c r="O1561" s="54"/>
      <c r="P1561" s="54"/>
      <c r="Q1561" s="54"/>
    </row>
    <row r="1562" spans="15:17" ht="21.75" customHeight="1" x14ac:dyDescent="0.45">
      <c r="O1562" s="54"/>
      <c r="P1562" s="54"/>
      <c r="Q1562" s="54"/>
    </row>
    <row r="1563" spans="15:17" ht="21.75" customHeight="1" x14ac:dyDescent="0.45">
      <c r="O1563" s="54"/>
      <c r="P1563" s="54"/>
      <c r="Q1563" s="54"/>
    </row>
    <row r="1564" spans="15:17" ht="21.75" customHeight="1" x14ac:dyDescent="0.45">
      <c r="O1564" s="54"/>
      <c r="P1564" s="54"/>
      <c r="Q1564" s="54"/>
    </row>
    <row r="1565" spans="15:17" ht="21.75" customHeight="1" x14ac:dyDescent="0.45">
      <c r="O1565" s="54"/>
      <c r="P1565" s="54"/>
      <c r="Q1565" s="54"/>
    </row>
    <row r="1566" spans="15:17" ht="21.75" customHeight="1" x14ac:dyDescent="0.45">
      <c r="O1566" s="54"/>
      <c r="P1566" s="54"/>
      <c r="Q1566" s="54"/>
    </row>
    <row r="1567" spans="15:17" ht="21.75" customHeight="1" x14ac:dyDescent="0.45">
      <c r="O1567" s="54"/>
      <c r="P1567" s="54"/>
      <c r="Q1567" s="54"/>
    </row>
    <row r="1568" spans="15:17" ht="21.75" customHeight="1" x14ac:dyDescent="0.45">
      <c r="O1568" s="54"/>
      <c r="P1568" s="54"/>
      <c r="Q1568" s="54"/>
    </row>
    <row r="1569" spans="15:17" ht="21.75" customHeight="1" x14ac:dyDescent="0.45">
      <c r="O1569" s="54"/>
      <c r="P1569" s="54"/>
      <c r="Q1569" s="54"/>
    </row>
    <row r="1570" spans="15:17" ht="21.75" customHeight="1" x14ac:dyDescent="0.45">
      <c r="O1570" s="54"/>
      <c r="P1570" s="54"/>
      <c r="Q1570" s="54"/>
    </row>
    <row r="1571" spans="15:17" ht="21.75" customHeight="1" x14ac:dyDescent="0.45">
      <c r="O1571" s="54"/>
      <c r="P1571" s="54"/>
      <c r="Q1571" s="54"/>
    </row>
    <row r="1572" spans="15:17" ht="21.75" customHeight="1" x14ac:dyDescent="0.45">
      <c r="O1572" s="54"/>
      <c r="P1572" s="54"/>
      <c r="Q1572" s="54"/>
    </row>
    <row r="1573" spans="15:17" ht="21.75" customHeight="1" x14ac:dyDescent="0.45">
      <c r="O1573" s="54"/>
      <c r="P1573" s="54"/>
      <c r="Q1573" s="54"/>
    </row>
    <row r="1574" spans="15:17" ht="21.75" customHeight="1" x14ac:dyDescent="0.45">
      <c r="O1574" s="54"/>
      <c r="P1574" s="54"/>
      <c r="Q1574" s="54"/>
    </row>
    <row r="1575" spans="15:17" ht="21.75" customHeight="1" x14ac:dyDescent="0.45">
      <c r="O1575" s="54"/>
      <c r="P1575" s="54"/>
      <c r="Q1575" s="54"/>
    </row>
    <row r="1576" spans="15:17" ht="21.75" customHeight="1" x14ac:dyDescent="0.45">
      <c r="O1576" s="54"/>
      <c r="P1576" s="54"/>
      <c r="Q1576" s="54"/>
    </row>
    <row r="1577" spans="15:17" ht="21.75" customHeight="1" x14ac:dyDescent="0.45">
      <c r="O1577" s="54"/>
      <c r="P1577" s="54"/>
      <c r="Q1577" s="54"/>
    </row>
    <row r="1578" spans="15:17" ht="21.75" customHeight="1" x14ac:dyDescent="0.45">
      <c r="O1578" s="54"/>
      <c r="P1578" s="54"/>
      <c r="Q1578" s="54"/>
    </row>
    <row r="1579" spans="15:17" ht="21.75" customHeight="1" x14ac:dyDescent="0.45">
      <c r="O1579" s="54"/>
      <c r="P1579" s="54"/>
      <c r="Q1579" s="54"/>
    </row>
    <row r="1580" spans="15:17" ht="21.75" customHeight="1" x14ac:dyDescent="0.45">
      <c r="O1580" s="54"/>
      <c r="P1580" s="54"/>
      <c r="Q1580" s="54"/>
    </row>
    <row r="1581" spans="15:17" ht="21.75" customHeight="1" x14ac:dyDescent="0.45">
      <c r="O1581" s="54"/>
      <c r="P1581" s="54"/>
      <c r="Q1581" s="54"/>
    </row>
    <row r="1582" spans="15:17" ht="21.75" customHeight="1" x14ac:dyDescent="0.45">
      <c r="O1582" s="54"/>
      <c r="P1582" s="54"/>
      <c r="Q1582" s="54"/>
    </row>
    <row r="1583" spans="15:17" ht="21.75" customHeight="1" x14ac:dyDescent="0.45">
      <c r="O1583" s="54"/>
      <c r="P1583" s="54"/>
      <c r="Q1583" s="54"/>
    </row>
    <row r="1584" spans="15:17" ht="21.75" customHeight="1" x14ac:dyDescent="0.45">
      <c r="O1584" s="54"/>
      <c r="P1584" s="54"/>
      <c r="Q1584" s="54"/>
    </row>
    <row r="1585" spans="15:17" ht="21.75" customHeight="1" x14ac:dyDescent="0.45">
      <c r="O1585" s="54"/>
      <c r="P1585" s="54"/>
      <c r="Q1585" s="54"/>
    </row>
    <row r="1586" spans="15:17" ht="21.75" customHeight="1" x14ac:dyDescent="0.45">
      <c r="O1586" s="54"/>
      <c r="P1586" s="54"/>
      <c r="Q1586" s="54"/>
    </row>
    <row r="1587" spans="15:17" ht="21.75" customHeight="1" x14ac:dyDescent="0.45">
      <c r="O1587" s="54"/>
      <c r="P1587" s="54"/>
      <c r="Q1587" s="54"/>
    </row>
    <row r="1588" spans="15:17" ht="21.75" customHeight="1" x14ac:dyDescent="0.45">
      <c r="O1588" s="54"/>
      <c r="P1588" s="54"/>
      <c r="Q1588" s="54"/>
    </row>
    <row r="1589" spans="15:17" ht="21.75" customHeight="1" x14ac:dyDescent="0.45">
      <c r="O1589" s="54"/>
      <c r="P1589" s="54"/>
      <c r="Q1589" s="54"/>
    </row>
    <row r="1590" spans="15:17" ht="21.75" customHeight="1" x14ac:dyDescent="0.45">
      <c r="O1590" s="54"/>
      <c r="P1590" s="54"/>
      <c r="Q1590" s="54"/>
    </row>
    <row r="1591" spans="15:17" ht="21.75" customHeight="1" x14ac:dyDescent="0.45">
      <c r="O1591" s="54"/>
      <c r="P1591" s="54"/>
      <c r="Q1591" s="54"/>
    </row>
    <row r="1592" spans="15:17" ht="21.75" customHeight="1" x14ac:dyDescent="0.45">
      <c r="O1592" s="54"/>
      <c r="P1592" s="54"/>
      <c r="Q1592" s="54"/>
    </row>
    <row r="1593" spans="15:17" ht="21.75" customHeight="1" x14ac:dyDescent="0.45">
      <c r="O1593" s="54"/>
      <c r="P1593" s="54"/>
      <c r="Q1593" s="54"/>
    </row>
    <row r="1594" spans="15:17" ht="21.75" customHeight="1" x14ac:dyDescent="0.45">
      <c r="O1594" s="54"/>
      <c r="P1594" s="54"/>
      <c r="Q1594" s="54"/>
    </row>
    <row r="1595" spans="15:17" ht="21.75" customHeight="1" x14ac:dyDescent="0.45">
      <c r="O1595" s="54"/>
      <c r="P1595" s="54"/>
      <c r="Q1595" s="54"/>
    </row>
    <row r="1596" spans="15:17" ht="21.75" customHeight="1" x14ac:dyDescent="0.45">
      <c r="O1596" s="54"/>
      <c r="P1596" s="54"/>
      <c r="Q1596" s="54"/>
    </row>
    <row r="1597" spans="15:17" ht="21.75" customHeight="1" x14ac:dyDescent="0.45">
      <c r="O1597" s="54"/>
      <c r="P1597" s="54"/>
      <c r="Q1597" s="54"/>
    </row>
    <row r="1598" spans="15:17" ht="21.75" customHeight="1" x14ac:dyDescent="0.45">
      <c r="O1598" s="54"/>
      <c r="P1598" s="54"/>
      <c r="Q1598" s="54"/>
    </row>
    <row r="1599" spans="15:17" ht="21.75" customHeight="1" x14ac:dyDescent="0.45">
      <c r="O1599" s="54"/>
      <c r="P1599" s="54"/>
      <c r="Q1599" s="54"/>
    </row>
    <row r="1600" spans="15:17" ht="21.75" customHeight="1" x14ac:dyDescent="0.45">
      <c r="O1600" s="54"/>
      <c r="P1600" s="54"/>
      <c r="Q1600" s="54"/>
    </row>
    <row r="1601" spans="15:17" ht="21.75" customHeight="1" x14ac:dyDescent="0.45">
      <c r="O1601" s="54"/>
      <c r="P1601" s="54"/>
      <c r="Q1601" s="54"/>
    </row>
    <row r="1602" spans="15:17" ht="21.75" customHeight="1" x14ac:dyDescent="0.45">
      <c r="O1602" s="54"/>
      <c r="P1602" s="54"/>
      <c r="Q1602" s="54"/>
    </row>
    <row r="1603" spans="15:17" ht="21.75" customHeight="1" x14ac:dyDescent="0.45">
      <c r="O1603" s="54"/>
      <c r="P1603" s="54"/>
      <c r="Q1603" s="54"/>
    </row>
    <row r="1604" spans="15:17" ht="21.75" customHeight="1" x14ac:dyDescent="0.45">
      <c r="O1604" s="54"/>
      <c r="P1604" s="54"/>
      <c r="Q1604" s="54"/>
    </row>
    <row r="1605" spans="15:17" ht="21.75" customHeight="1" x14ac:dyDescent="0.45">
      <c r="O1605" s="54"/>
      <c r="P1605" s="54"/>
      <c r="Q1605" s="54"/>
    </row>
    <row r="1606" spans="15:17" ht="21.75" customHeight="1" x14ac:dyDescent="0.45">
      <c r="O1606" s="54"/>
      <c r="P1606" s="54"/>
      <c r="Q1606" s="54"/>
    </row>
    <row r="1607" spans="15:17" ht="21.75" customHeight="1" x14ac:dyDescent="0.45">
      <c r="O1607" s="54"/>
      <c r="P1607" s="54"/>
      <c r="Q1607" s="54"/>
    </row>
    <row r="1608" spans="15:17" ht="21.75" customHeight="1" x14ac:dyDescent="0.45">
      <c r="O1608" s="54"/>
      <c r="P1608" s="54"/>
      <c r="Q1608" s="54"/>
    </row>
    <row r="1609" spans="15:17" ht="21.75" customHeight="1" x14ac:dyDescent="0.45">
      <c r="O1609" s="54"/>
      <c r="P1609" s="54"/>
      <c r="Q1609" s="54"/>
    </row>
    <row r="1610" spans="15:17" ht="21.75" customHeight="1" x14ac:dyDescent="0.45">
      <c r="O1610" s="54"/>
      <c r="P1610" s="54"/>
      <c r="Q1610" s="54"/>
    </row>
    <row r="1611" spans="15:17" ht="21.75" customHeight="1" x14ac:dyDescent="0.45">
      <c r="O1611" s="54"/>
      <c r="P1611" s="54"/>
      <c r="Q1611" s="54"/>
    </row>
    <row r="1612" spans="15:17" ht="21.75" customHeight="1" x14ac:dyDescent="0.45">
      <c r="O1612" s="54"/>
      <c r="P1612" s="54"/>
      <c r="Q1612" s="54"/>
    </row>
    <row r="1613" spans="15:17" ht="21.75" customHeight="1" x14ac:dyDescent="0.45">
      <c r="O1613" s="54"/>
      <c r="P1613" s="54"/>
      <c r="Q1613" s="54"/>
    </row>
    <row r="1614" spans="15:17" ht="21.75" customHeight="1" x14ac:dyDescent="0.45">
      <c r="O1614" s="54"/>
      <c r="P1614" s="54"/>
      <c r="Q1614" s="54"/>
    </row>
    <row r="1615" spans="15:17" ht="21.75" customHeight="1" x14ac:dyDescent="0.45">
      <c r="O1615" s="54"/>
      <c r="P1615" s="54"/>
      <c r="Q1615" s="54"/>
    </row>
    <row r="1616" spans="15:17" ht="21.75" customHeight="1" x14ac:dyDescent="0.45">
      <c r="O1616" s="54"/>
      <c r="P1616" s="54"/>
      <c r="Q1616" s="54"/>
    </row>
    <row r="1617" spans="15:17" ht="21.75" customHeight="1" x14ac:dyDescent="0.45">
      <c r="O1617" s="54"/>
      <c r="P1617" s="54"/>
      <c r="Q1617" s="54"/>
    </row>
    <row r="1618" spans="15:17" ht="21.75" customHeight="1" x14ac:dyDescent="0.45">
      <c r="O1618" s="54"/>
      <c r="P1618" s="54"/>
      <c r="Q1618" s="54"/>
    </row>
    <row r="1619" spans="15:17" ht="21.75" customHeight="1" x14ac:dyDescent="0.45">
      <c r="O1619" s="54"/>
      <c r="P1619" s="54"/>
      <c r="Q1619" s="54"/>
    </row>
    <row r="1620" spans="15:17" ht="21.75" customHeight="1" x14ac:dyDescent="0.45">
      <c r="O1620" s="54"/>
      <c r="P1620" s="54"/>
      <c r="Q1620" s="54"/>
    </row>
    <row r="1621" spans="15:17" ht="21.75" customHeight="1" x14ac:dyDescent="0.45">
      <c r="O1621" s="54"/>
      <c r="P1621" s="54"/>
      <c r="Q1621" s="54"/>
    </row>
    <row r="1622" spans="15:17" ht="21.75" customHeight="1" x14ac:dyDescent="0.45">
      <c r="O1622" s="54"/>
      <c r="P1622" s="54"/>
      <c r="Q1622" s="54"/>
    </row>
    <row r="1623" spans="15:17" ht="21.75" customHeight="1" x14ac:dyDescent="0.45">
      <c r="O1623" s="54"/>
      <c r="P1623" s="54"/>
      <c r="Q1623" s="54"/>
    </row>
    <row r="1624" spans="15:17" ht="21.75" customHeight="1" x14ac:dyDescent="0.45">
      <c r="O1624" s="54"/>
      <c r="P1624" s="54"/>
      <c r="Q1624" s="54"/>
    </row>
    <row r="1625" spans="15:17" ht="21.75" customHeight="1" x14ac:dyDescent="0.45">
      <c r="O1625" s="54"/>
      <c r="P1625" s="54"/>
      <c r="Q1625" s="54"/>
    </row>
    <row r="1626" spans="15:17" ht="21.75" customHeight="1" x14ac:dyDescent="0.45">
      <c r="O1626" s="54"/>
      <c r="P1626" s="54"/>
      <c r="Q1626" s="54"/>
    </row>
    <row r="1627" spans="15:17" ht="21.75" customHeight="1" x14ac:dyDescent="0.45">
      <c r="O1627" s="54"/>
      <c r="P1627" s="54"/>
      <c r="Q1627" s="54"/>
    </row>
    <row r="1628" spans="15:17" ht="21.75" customHeight="1" x14ac:dyDescent="0.45">
      <c r="O1628" s="54"/>
      <c r="P1628" s="54"/>
      <c r="Q1628" s="54"/>
    </row>
    <row r="1629" spans="15:17" ht="21.75" customHeight="1" x14ac:dyDescent="0.45">
      <c r="O1629" s="54"/>
      <c r="P1629" s="54"/>
      <c r="Q1629" s="54"/>
    </row>
    <row r="1630" spans="15:17" ht="21.75" customHeight="1" x14ac:dyDescent="0.45">
      <c r="O1630" s="54"/>
      <c r="P1630" s="54"/>
      <c r="Q1630" s="54"/>
    </row>
    <row r="1631" spans="15:17" ht="21.75" customHeight="1" x14ac:dyDescent="0.45">
      <c r="O1631" s="54"/>
      <c r="P1631" s="54"/>
      <c r="Q1631" s="54"/>
    </row>
    <row r="1632" spans="15:17" ht="21.75" customHeight="1" x14ac:dyDescent="0.45">
      <c r="O1632" s="54"/>
      <c r="P1632" s="54"/>
      <c r="Q1632" s="54"/>
    </row>
    <row r="1633" spans="15:17" ht="21.75" customHeight="1" x14ac:dyDescent="0.45">
      <c r="O1633" s="54"/>
      <c r="P1633" s="54"/>
      <c r="Q1633" s="54"/>
    </row>
    <row r="1634" spans="15:17" ht="21.75" customHeight="1" x14ac:dyDescent="0.45">
      <c r="O1634" s="54"/>
      <c r="P1634" s="54"/>
      <c r="Q1634" s="54"/>
    </row>
    <row r="1635" spans="15:17" ht="21.75" customHeight="1" x14ac:dyDescent="0.45">
      <c r="O1635" s="54"/>
      <c r="P1635" s="54"/>
      <c r="Q1635" s="54"/>
    </row>
    <row r="1636" spans="15:17" ht="21.75" customHeight="1" x14ac:dyDescent="0.45">
      <c r="O1636" s="54"/>
      <c r="P1636" s="54"/>
      <c r="Q1636" s="54"/>
    </row>
    <row r="1637" spans="15:17" ht="21.75" customHeight="1" x14ac:dyDescent="0.45">
      <c r="O1637" s="54"/>
      <c r="P1637" s="54"/>
      <c r="Q1637" s="54"/>
    </row>
    <row r="1638" spans="15:17" ht="21.75" customHeight="1" x14ac:dyDescent="0.45">
      <c r="O1638" s="54"/>
      <c r="P1638" s="54"/>
      <c r="Q1638" s="54"/>
    </row>
    <row r="1639" spans="15:17" ht="21.75" customHeight="1" x14ac:dyDescent="0.45">
      <c r="O1639" s="54"/>
      <c r="P1639" s="54"/>
      <c r="Q1639" s="54"/>
    </row>
    <row r="1640" spans="15:17" ht="21.75" customHeight="1" x14ac:dyDescent="0.45">
      <c r="O1640" s="54"/>
      <c r="P1640" s="54"/>
      <c r="Q1640" s="54"/>
    </row>
    <row r="1641" spans="15:17" ht="21.75" customHeight="1" x14ac:dyDescent="0.45">
      <c r="O1641" s="54"/>
      <c r="P1641" s="54"/>
      <c r="Q1641" s="54"/>
    </row>
    <row r="1642" spans="15:17" ht="21.75" customHeight="1" x14ac:dyDescent="0.45">
      <c r="O1642" s="54"/>
      <c r="P1642" s="54"/>
      <c r="Q1642" s="54"/>
    </row>
    <row r="1643" spans="15:17" ht="21.75" customHeight="1" x14ac:dyDescent="0.45">
      <c r="O1643" s="54"/>
      <c r="P1643" s="54"/>
      <c r="Q1643" s="54"/>
    </row>
    <row r="1644" spans="15:17" ht="21.75" customHeight="1" x14ac:dyDescent="0.45">
      <c r="O1644" s="54"/>
      <c r="P1644" s="54"/>
      <c r="Q1644" s="54"/>
    </row>
    <row r="1645" spans="15:17" ht="21.75" customHeight="1" x14ac:dyDescent="0.45">
      <c r="O1645" s="54"/>
      <c r="P1645" s="54"/>
      <c r="Q1645" s="54"/>
    </row>
    <row r="1646" spans="15:17" ht="21.75" customHeight="1" x14ac:dyDescent="0.45">
      <c r="O1646" s="54"/>
      <c r="P1646" s="54"/>
      <c r="Q1646" s="54"/>
    </row>
    <row r="1647" spans="15:17" ht="21.75" customHeight="1" x14ac:dyDescent="0.45">
      <c r="O1647" s="54"/>
      <c r="P1647" s="54"/>
      <c r="Q1647" s="54"/>
    </row>
    <row r="1648" spans="15:17" ht="21.75" customHeight="1" x14ac:dyDescent="0.45">
      <c r="O1648" s="54"/>
      <c r="P1648" s="54"/>
      <c r="Q1648" s="54"/>
    </row>
    <row r="1649" spans="15:17" ht="21.75" customHeight="1" x14ac:dyDescent="0.45">
      <c r="O1649" s="54"/>
      <c r="P1649" s="54"/>
      <c r="Q1649" s="54"/>
    </row>
    <row r="1650" spans="15:17" ht="21.75" customHeight="1" x14ac:dyDescent="0.45">
      <c r="O1650" s="54"/>
      <c r="P1650" s="54"/>
      <c r="Q1650" s="54"/>
    </row>
    <row r="1651" spans="15:17" ht="21.75" customHeight="1" x14ac:dyDescent="0.45">
      <c r="O1651" s="54"/>
      <c r="P1651" s="54"/>
      <c r="Q1651" s="54"/>
    </row>
    <row r="1652" spans="15:17" ht="21.75" customHeight="1" x14ac:dyDescent="0.45">
      <c r="O1652" s="54"/>
      <c r="P1652" s="54"/>
      <c r="Q1652" s="54"/>
    </row>
    <row r="1653" spans="15:17" ht="21.75" customHeight="1" x14ac:dyDescent="0.45">
      <c r="O1653" s="54"/>
      <c r="P1653" s="54"/>
      <c r="Q1653" s="54"/>
    </row>
    <row r="1654" spans="15:17" ht="21.75" customHeight="1" x14ac:dyDescent="0.45">
      <c r="O1654" s="54"/>
      <c r="P1654" s="54"/>
      <c r="Q1654" s="54"/>
    </row>
    <row r="1655" spans="15:17" ht="21.75" customHeight="1" x14ac:dyDescent="0.45">
      <c r="O1655" s="54"/>
      <c r="P1655" s="54"/>
      <c r="Q1655" s="54"/>
    </row>
    <row r="1656" spans="15:17" ht="21.75" customHeight="1" x14ac:dyDescent="0.45">
      <c r="O1656" s="54"/>
      <c r="P1656" s="54"/>
      <c r="Q1656" s="54"/>
    </row>
    <row r="1657" spans="15:17" ht="21.75" customHeight="1" x14ac:dyDescent="0.45">
      <c r="O1657" s="54"/>
      <c r="P1657" s="54"/>
      <c r="Q1657" s="54"/>
    </row>
    <row r="1658" spans="15:17" ht="21.75" customHeight="1" x14ac:dyDescent="0.45">
      <c r="O1658" s="54"/>
      <c r="P1658" s="54"/>
      <c r="Q1658" s="54"/>
    </row>
    <row r="1659" spans="15:17" ht="21.75" customHeight="1" x14ac:dyDescent="0.45">
      <c r="O1659" s="54"/>
      <c r="P1659" s="54"/>
      <c r="Q1659" s="54"/>
    </row>
    <row r="1660" spans="15:17" ht="21.75" customHeight="1" x14ac:dyDescent="0.45">
      <c r="O1660" s="54"/>
      <c r="P1660" s="54"/>
      <c r="Q1660" s="54"/>
    </row>
    <row r="1661" spans="15:17" ht="21.75" customHeight="1" x14ac:dyDescent="0.45">
      <c r="O1661" s="54"/>
      <c r="P1661" s="54"/>
      <c r="Q1661" s="54"/>
    </row>
    <row r="1662" spans="15:17" ht="21.75" customHeight="1" x14ac:dyDescent="0.45">
      <c r="O1662" s="54"/>
      <c r="P1662" s="54"/>
      <c r="Q1662" s="54"/>
    </row>
    <row r="1663" spans="15:17" ht="21.75" customHeight="1" x14ac:dyDescent="0.45">
      <c r="O1663" s="54"/>
      <c r="P1663" s="54"/>
      <c r="Q1663" s="54"/>
    </row>
    <row r="1664" spans="15:17" ht="21.75" customHeight="1" x14ac:dyDescent="0.45">
      <c r="O1664" s="54"/>
      <c r="P1664" s="54"/>
      <c r="Q1664" s="54"/>
    </row>
    <row r="1665" spans="15:17" ht="21.75" customHeight="1" x14ac:dyDescent="0.45">
      <c r="O1665" s="54"/>
      <c r="P1665" s="54"/>
      <c r="Q1665" s="54"/>
    </row>
    <row r="1666" spans="15:17" ht="21.75" customHeight="1" x14ac:dyDescent="0.45">
      <c r="O1666" s="54"/>
      <c r="P1666" s="54"/>
      <c r="Q1666" s="54"/>
    </row>
    <row r="1667" spans="15:17" ht="21.75" customHeight="1" x14ac:dyDescent="0.45">
      <c r="O1667" s="54"/>
      <c r="P1667" s="54"/>
      <c r="Q1667" s="54"/>
    </row>
    <row r="1668" spans="15:17" ht="21.75" customHeight="1" x14ac:dyDescent="0.45">
      <c r="O1668" s="54"/>
      <c r="P1668" s="54"/>
      <c r="Q1668" s="54"/>
    </row>
    <row r="1669" spans="15:17" ht="21.75" customHeight="1" x14ac:dyDescent="0.45">
      <c r="O1669" s="54"/>
      <c r="P1669" s="54"/>
      <c r="Q1669" s="54"/>
    </row>
    <row r="1670" spans="15:17" ht="21.75" customHeight="1" x14ac:dyDescent="0.45">
      <c r="O1670" s="54"/>
      <c r="P1670" s="54"/>
      <c r="Q1670" s="54"/>
    </row>
    <row r="1671" spans="15:17" ht="21.75" customHeight="1" x14ac:dyDescent="0.45">
      <c r="O1671" s="54"/>
      <c r="P1671" s="54"/>
      <c r="Q1671" s="54"/>
    </row>
    <row r="1672" spans="15:17" ht="21.75" customHeight="1" x14ac:dyDescent="0.45">
      <c r="O1672" s="54"/>
      <c r="P1672" s="54"/>
      <c r="Q1672" s="54"/>
    </row>
    <row r="1673" spans="15:17" ht="21.75" customHeight="1" x14ac:dyDescent="0.45">
      <c r="O1673" s="54"/>
      <c r="P1673" s="54"/>
      <c r="Q1673" s="54"/>
    </row>
    <row r="1674" spans="15:17" ht="21.75" customHeight="1" x14ac:dyDescent="0.45">
      <c r="O1674" s="54"/>
      <c r="P1674" s="54"/>
      <c r="Q1674" s="54"/>
    </row>
    <row r="1675" spans="15:17" ht="21.75" customHeight="1" x14ac:dyDescent="0.45">
      <c r="O1675" s="54"/>
      <c r="P1675" s="54"/>
      <c r="Q1675" s="54"/>
    </row>
    <row r="1676" spans="15:17" ht="21.75" customHeight="1" x14ac:dyDescent="0.45">
      <c r="O1676" s="54"/>
      <c r="P1676" s="54"/>
      <c r="Q1676" s="54"/>
    </row>
    <row r="1677" spans="15:17" ht="21.75" customHeight="1" x14ac:dyDescent="0.45">
      <c r="O1677" s="54"/>
      <c r="P1677" s="54"/>
      <c r="Q1677" s="54"/>
    </row>
    <row r="1678" spans="15:17" ht="21.75" customHeight="1" x14ac:dyDescent="0.45">
      <c r="O1678" s="54"/>
      <c r="P1678" s="54"/>
      <c r="Q1678" s="54"/>
    </row>
    <row r="1679" spans="15:17" ht="21.75" customHeight="1" x14ac:dyDescent="0.45">
      <c r="O1679" s="54"/>
      <c r="P1679" s="54"/>
      <c r="Q1679" s="54"/>
    </row>
    <row r="1680" spans="15:17" ht="21.75" customHeight="1" x14ac:dyDescent="0.45">
      <c r="O1680" s="54"/>
      <c r="P1680" s="54"/>
      <c r="Q1680" s="54"/>
    </row>
    <row r="1681" spans="15:17" ht="21.75" customHeight="1" x14ac:dyDescent="0.45">
      <c r="O1681" s="54"/>
      <c r="P1681" s="54"/>
      <c r="Q1681" s="54"/>
    </row>
    <row r="1682" spans="15:17" ht="21.75" customHeight="1" x14ac:dyDescent="0.45">
      <c r="O1682" s="54"/>
      <c r="P1682" s="54"/>
      <c r="Q1682" s="54"/>
    </row>
    <row r="1683" spans="15:17" ht="21.75" customHeight="1" x14ac:dyDescent="0.45">
      <c r="O1683" s="54"/>
      <c r="P1683" s="54"/>
      <c r="Q1683" s="54"/>
    </row>
    <row r="1684" spans="15:17" ht="21.75" customHeight="1" x14ac:dyDescent="0.45">
      <c r="O1684" s="54"/>
      <c r="P1684" s="54"/>
      <c r="Q1684" s="54"/>
    </row>
    <row r="1685" spans="15:17" ht="21.75" customHeight="1" x14ac:dyDescent="0.45">
      <c r="O1685" s="54"/>
      <c r="P1685" s="54"/>
      <c r="Q1685" s="54"/>
    </row>
    <row r="1686" spans="15:17" ht="21.75" customHeight="1" x14ac:dyDescent="0.45">
      <c r="O1686" s="54"/>
      <c r="P1686" s="54"/>
      <c r="Q1686" s="54"/>
    </row>
    <row r="1687" spans="15:17" ht="21.75" customHeight="1" x14ac:dyDescent="0.45">
      <c r="O1687" s="54"/>
      <c r="P1687" s="54"/>
      <c r="Q1687" s="54"/>
    </row>
    <row r="1688" spans="15:17" ht="21.75" customHeight="1" x14ac:dyDescent="0.45">
      <c r="O1688" s="54"/>
      <c r="P1688" s="54"/>
      <c r="Q1688" s="54"/>
    </row>
    <row r="1689" spans="15:17" ht="21.75" customHeight="1" x14ac:dyDescent="0.45">
      <c r="O1689" s="54"/>
      <c r="P1689" s="54"/>
      <c r="Q1689" s="54"/>
    </row>
    <row r="1690" spans="15:17" ht="21.75" customHeight="1" x14ac:dyDescent="0.45">
      <c r="O1690" s="54"/>
      <c r="P1690" s="54"/>
      <c r="Q1690" s="54"/>
    </row>
    <row r="1691" spans="15:17" ht="21.75" customHeight="1" x14ac:dyDescent="0.45">
      <c r="O1691" s="54"/>
      <c r="P1691" s="54"/>
      <c r="Q1691" s="54"/>
    </row>
    <row r="1692" spans="15:17" ht="21.75" customHeight="1" x14ac:dyDescent="0.45">
      <c r="O1692" s="54"/>
      <c r="P1692" s="54"/>
      <c r="Q1692" s="54"/>
    </row>
    <row r="1693" spans="15:17" ht="21.75" customHeight="1" x14ac:dyDescent="0.45">
      <c r="O1693" s="54"/>
      <c r="P1693" s="54"/>
      <c r="Q1693" s="54"/>
    </row>
    <row r="1694" spans="15:17" ht="21.75" customHeight="1" x14ac:dyDescent="0.45">
      <c r="O1694" s="54"/>
      <c r="P1694" s="54"/>
      <c r="Q1694" s="54"/>
    </row>
    <row r="1695" spans="15:17" ht="21.75" customHeight="1" x14ac:dyDescent="0.45">
      <c r="O1695" s="54"/>
      <c r="P1695" s="54"/>
      <c r="Q1695" s="54"/>
    </row>
    <row r="1696" spans="15:17" ht="21.75" customHeight="1" x14ac:dyDescent="0.45">
      <c r="O1696" s="54"/>
      <c r="P1696" s="54"/>
      <c r="Q1696" s="54"/>
    </row>
    <row r="1697" spans="15:17" ht="21.75" customHeight="1" x14ac:dyDescent="0.45">
      <c r="O1697" s="54"/>
      <c r="P1697" s="54"/>
      <c r="Q1697" s="54"/>
    </row>
    <row r="1698" spans="15:17" ht="21.75" customHeight="1" x14ac:dyDescent="0.45">
      <c r="O1698" s="54"/>
      <c r="P1698" s="54"/>
      <c r="Q1698" s="54"/>
    </row>
    <row r="1699" spans="15:17" ht="21.75" customHeight="1" x14ac:dyDescent="0.45">
      <c r="O1699" s="54"/>
      <c r="P1699" s="54"/>
      <c r="Q1699" s="54"/>
    </row>
    <row r="1700" spans="15:17" ht="21.75" customHeight="1" x14ac:dyDescent="0.45">
      <c r="O1700" s="54"/>
      <c r="P1700" s="54"/>
      <c r="Q1700" s="54"/>
    </row>
    <row r="1701" spans="15:17" ht="21.75" customHeight="1" x14ac:dyDescent="0.45">
      <c r="O1701" s="54"/>
      <c r="P1701" s="54"/>
      <c r="Q1701" s="54"/>
    </row>
    <row r="1702" spans="15:17" ht="21.75" customHeight="1" x14ac:dyDescent="0.45">
      <c r="O1702" s="54"/>
      <c r="P1702" s="54"/>
      <c r="Q1702" s="54"/>
    </row>
    <row r="1703" spans="15:17" ht="21.75" customHeight="1" x14ac:dyDescent="0.45">
      <c r="O1703" s="54"/>
      <c r="P1703" s="54"/>
      <c r="Q1703" s="54"/>
    </row>
    <row r="1704" spans="15:17" ht="21.75" customHeight="1" x14ac:dyDescent="0.45">
      <c r="O1704" s="54"/>
      <c r="P1704" s="54"/>
      <c r="Q1704" s="54"/>
    </row>
    <row r="1705" spans="15:17" ht="21.75" customHeight="1" x14ac:dyDescent="0.45">
      <c r="O1705" s="54"/>
      <c r="P1705" s="54"/>
      <c r="Q1705" s="54"/>
    </row>
    <row r="1706" spans="15:17" ht="21.75" customHeight="1" x14ac:dyDescent="0.45">
      <c r="O1706" s="54"/>
      <c r="P1706" s="54"/>
      <c r="Q1706" s="54"/>
    </row>
    <row r="1707" spans="15:17" ht="21.75" customHeight="1" x14ac:dyDescent="0.45">
      <c r="O1707" s="54"/>
      <c r="P1707" s="54"/>
      <c r="Q1707" s="54"/>
    </row>
    <row r="1708" spans="15:17" ht="21.75" customHeight="1" x14ac:dyDescent="0.45">
      <c r="O1708" s="54"/>
      <c r="P1708" s="54"/>
      <c r="Q1708" s="54"/>
    </row>
    <row r="1709" spans="15:17" ht="21.75" customHeight="1" x14ac:dyDescent="0.45">
      <c r="O1709" s="54"/>
      <c r="P1709" s="54"/>
      <c r="Q1709" s="54"/>
    </row>
    <row r="1710" spans="15:17" ht="21.75" customHeight="1" x14ac:dyDescent="0.45">
      <c r="O1710" s="54"/>
      <c r="P1710" s="54"/>
      <c r="Q1710" s="54"/>
    </row>
    <row r="1711" spans="15:17" ht="21.75" customHeight="1" x14ac:dyDescent="0.45">
      <c r="O1711" s="54"/>
      <c r="P1711" s="54"/>
      <c r="Q1711" s="54"/>
    </row>
    <row r="1712" spans="15:17" ht="21.75" customHeight="1" x14ac:dyDescent="0.45">
      <c r="O1712" s="54"/>
      <c r="P1712" s="54"/>
      <c r="Q1712" s="54"/>
    </row>
    <row r="1713" spans="15:17" ht="21.75" customHeight="1" x14ac:dyDescent="0.45">
      <c r="O1713" s="54"/>
      <c r="P1713" s="54"/>
      <c r="Q1713" s="54"/>
    </row>
    <row r="1714" spans="15:17" ht="21.75" customHeight="1" x14ac:dyDescent="0.45">
      <c r="O1714" s="54"/>
      <c r="P1714" s="54"/>
      <c r="Q1714" s="54"/>
    </row>
    <row r="1715" spans="15:17" ht="21.75" customHeight="1" x14ac:dyDescent="0.45">
      <c r="O1715" s="54"/>
      <c r="P1715" s="54"/>
      <c r="Q1715" s="54"/>
    </row>
    <row r="1716" spans="15:17" ht="21.75" customHeight="1" x14ac:dyDescent="0.45">
      <c r="O1716" s="54"/>
      <c r="P1716" s="54"/>
      <c r="Q1716" s="54"/>
    </row>
    <row r="1717" spans="15:17" ht="21.75" customHeight="1" x14ac:dyDescent="0.45">
      <c r="O1717" s="54"/>
      <c r="P1717" s="54"/>
      <c r="Q1717" s="54"/>
    </row>
    <row r="1718" spans="15:17" ht="21.75" customHeight="1" x14ac:dyDescent="0.45">
      <c r="O1718" s="54"/>
      <c r="P1718" s="54"/>
      <c r="Q1718" s="54"/>
    </row>
    <row r="1719" spans="15:17" ht="21.75" customHeight="1" x14ac:dyDescent="0.45">
      <c r="O1719" s="54"/>
      <c r="P1719" s="54"/>
      <c r="Q1719" s="54"/>
    </row>
    <row r="1720" spans="15:17" ht="21.75" customHeight="1" x14ac:dyDescent="0.45">
      <c r="O1720" s="54"/>
      <c r="P1720" s="54"/>
      <c r="Q1720" s="54"/>
    </row>
    <row r="1721" spans="15:17" ht="21.75" customHeight="1" x14ac:dyDescent="0.45">
      <c r="O1721" s="54"/>
      <c r="P1721" s="54"/>
      <c r="Q1721" s="54"/>
    </row>
    <row r="1722" spans="15:17" ht="21.75" customHeight="1" x14ac:dyDescent="0.45">
      <c r="O1722" s="54"/>
      <c r="P1722" s="54"/>
      <c r="Q1722" s="54"/>
    </row>
    <row r="1723" spans="15:17" ht="21.75" customHeight="1" x14ac:dyDescent="0.45">
      <c r="O1723" s="54"/>
      <c r="P1723" s="54"/>
      <c r="Q1723" s="54"/>
    </row>
    <row r="1724" spans="15:17" ht="21.75" customHeight="1" x14ac:dyDescent="0.45">
      <c r="O1724" s="54"/>
      <c r="P1724" s="54"/>
      <c r="Q1724" s="54"/>
    </row>
    <row r="1725" spans="15:17" ht="21.75" customHeight="1" x14ac:dyDescent="0.45">
      <c r="O1725" s="54"/>
      <c r="P1725" s="54"/>
      <c r="Q1725" s="54"/>
    </row>
    <row r="1726" spans="15:17" ht="21.75" customHeight="1" x14ac:dyDescent="0.45">
      <c r="O1726" s="54"/>
      <c r="P1726" s="54"/>
      <c r="Q1726" s="54"/>
    </row>
    <row r="1727" spans="15:17" ht="21.75" customHeight="1" x14ac:dyDescent="0.45">
      <c r="O1727" s="54"/>
      <c r="P1727" s="54"/>
      <c r="Q1727" s="54"/>
    </row>
    <row r="1728" spans="15:17" ht="21.75" customHeight="1" x14ac:dyDescent="0.45">
      <c r="O1728" s="54"/>
      <c r="P1728" s="54"/>
      <c r="Q1728" s="54"/>
    </row>
    <row r="1729" spans="15:17" ht="21.75" customHeight="1" x14ac:dyDescent="0.45">
      <c r="O1729" s="54"/>
      <c r="P1729" s="54"/>
      <c r="Q1729" s="54"/>
    </row>
    <row r="1730" spans="15:17" ht="21.75" customHeight="1" x14ac:dyDescent="0.45">
      <c r="O1730" s="54"/>
      <c r="P1730" s="54"/>
      <c r="Q1730" s="54"/>
    </row>
    <row r="1731" spans="15:17" ht="21.75" customHeight="1" x14ac:dyDescent="0.45">
      <c r="O1731" s="54"/>
      <c r="P1731" s="54"/>
      <c r="Q1731" s="54"/>
    </row>
    <row r="1732" spans="15:17" ht="21.75" customHeight="1" x14ac:dyDescent="0.45">
      <c r="O1732" s="54"/>
      <c r="P1732" s="54"/>
      <c r="Q1732" s="54"/>
    </row>
    <row r="1733" spans="15:17" ht="21.75" customHeight="1" x14ac:dyDescent="0.45">
      <c r="O1733" s="54"/>
      <c r="P1733" s="54"/>
      <c r="Q1733" s="54"/>
    </row>
    <row r="1734" spans="15:17" ht="21.75" customHeight="1" x14ac:dyDescent="0.45">
      <c r="O1734" s="54"/>
      <c r="P1734" s="54"/>
      <c r="Q1734" s="54"/>
    </row>
    <row r="1735" spans="15:17" ht="21.75" customHeight="1" x14ac:dyDescent="0.45">
      <c r="O1735" s="54"/>
      <c r="P1735" s="54"/>
      <c r="Q1735" s="54"/>
    </row>
    <row r="1736" spans="15:17" ht="21.75" customHeight="1" x14ac:dyDescent="0.45">
      <c r="O1736" s="54"/>
      <c r="P1736" s="54"/>
      <c r="Q1736" s="54"/>
    </row>
    <row r="1737" spans="15:17" ht="21.75" customHeight="1" x14ac:dyDescent="0.45">
      <c r="O1737" s="54"/>
      <c r="P1737" s="54"/>
      <c r="Q1737" s="54"/>
    </row>
    <row r="1738" spans="15:17" ht="21.75" customHeight="1" x14ac:dyDescent="0.45">
      <c r="O1738" s="54"/>
      <c r="P1738" s="54"/>
      <c r="Q1738" s="54"/>
    </row>
    <row r="1739" spans="15:17" ht="21.75" customHeight="1" x14ac:dyDescent="0.45">
      <c r="O1739" s="54"/>
      <c r="P1739" s="54"/>
      <c r="Q1739" s="54"/>
    </row>
    <row r="1740" spans="15:17" ht="21.75" customHeight="1" x14ac:dyDescent="0.45">
      <c r="O1740" s="54"/>
      <c r="P1740" s="54"/>
      <c r="Q1740" s="54"/>
    </row>
    <row r="1741" spans="15:17" ht="21.75" customHeight="1" x14ac:dyDescent="0.45">
      <c r="O1741" s="54"/>
      <c r="P1741" s="54"/>
      <c r="Q1741" s="54"/>
    </row>
    <row r="1742" spans="15:17" ht="21.75" customHeight="1" x14ac:dyDescent="0.45">
      <c r="O1742" s="54"/>
      <c r="P1742" s="54"/>
      <c r="Q1742" s="54"/>
    </row>
    <row r="1743" spans="15:17" ht="21.75" customHeight="1" x14ac:dyDescent="0.45">
      <c r="O1743" s="54"/>
      <c r="P1743" s="54"/>
      <c r="Q1743" s="54"/>
    </row>
    <row r="1744" spans="15:17" ht="21.75" customHeight="1" x14ac:dyDescent="0.45">
      <c r="O1744" s="54"/>
      <c r="P1744" s="54"/>
      <c r="Q1744" s="54"/>
    </row>
    <row r="1745" spans="15:17" ht="21.75" customHeight="1" x14ac:dyDescent="0.45">
      <c r="O1745" s="54"/>
      <c r="P1745" s="54"/>
      <c r="Q1745" s="54"/>
    </row>
    <row r="1746" spans="15:17" ht="21.75" customHeight="1" x14ac:dyDescent="0.45">
      <c r="O1746" s="54"/>
      <c r="P1746" s="54"/>
      <c r="Q1746" s="54"/>
    </row>
    <row r="1747" spans="15:17" ht="21.75" customHeight="1" x14ac:dyDescent="0.45">
      <c r="O1747" s="54"/>
      <c r="P1747" s="54"/>
      <c r="Q1747" s="54"/>
    </row>
    <row r="1748" spans="15:17" ht="21.75" customHeight="1" x14ac:dyDescent="0.45">
      <c r="O1748" s="54"/>
      <c r="P1748" s="54"/>
      <c r="Q1748" s="54"/>
    </row>
    <row r="1749" spans="15:17" ht="21.75" customHeight="1" x14ac:dyDescent="0.45">
      <c r="O1749" s="54"/>
      <c r="P1749" s="54"/>
      <c r="Q1749" s="54"/>
    </row>
    <row r="1750" spans="15:17" ht="21.75" customHeight="1" x14ac:dyDescent="0.45">
      <c r="O1750" s="54"/>
      <c r="P1750" s="54"/>
      <c r="Q1750" s="54"/>
    </row>
    <row r="1751" spans="15:17" ht="21.75" customHeight="1" x14ac:dyDescent="0.45">
      <c r="O1751" s="54"/>
      <c r="P1751" s="54"/>
      <c r="Q1751" s="54"/>
    </row>
    <row r="1752" spans="15:17" ht="21.75" customHeight="1" x14ac:dyDescent="0.45">
      <c r="O1752" s="54"/>
      <c r="P1752" s="54"/>
      <c r="Q1752" s="54"/>
    </row>
  </sheetData>
  <autoFilter ref="A2:AQ249" xr:uid="{E4C60DC4-1983-4DC8-BA03-80156AB48A39}"/>
  <mergeCells count="10">
    <mergeCell ref="A1:D1"/>
    <mergeCell ref="E1:F1"/>
    <mergeCell ref="H1:I1"/>
    <mergeCell ref="J1:K1"/>
    <mergeCell ref="L1:N1"/>
    <mergeCell ref="O1:T1"/>
    <mergeCell ref="U1:Z1"/>
    <mergeCell ref="AA1:AG1"/>
    <mergeCell ref="AH1:AL1"/>
    <mergeCell ref="AM1:AQ1"/>
  </mergeCells>
  <phoneticPr fontId="34" type="noConversion"/>
  <conditionalFormatting sqref="J1:J1048576">
    <cfRule type="duplicateValues" dxfId="15" priority="1"/>
  </conditionalFormatting>
  <conditionalFormatting sqref="J3:J249">
    <cfRule type="duplicateValues" dxfId="14" priority="406"/>
  </conditionalFormatting>
  <conditionalFormatting sqref="L3:N249 L250:L1048576">
    <cfRule type="expression" dxfId="13" priority="6">
      <formula>LEN(L3)&gt;40</formula>
    </cfRule>
  </conditionalFormatting>
  <conditionalFormatting sqref="O3:T249 O250:Q1752 R250:T1048576">
    <cfRule type="expression" dxfId="12" priority="4">
      <formula>LEN(O3)&gt;22</formula>
    </cfRule>
  </conditionalFormatting>
  <conditionalFormatting sqref="X3:Z1048576">
    <cfRule type="expression" dxfId="11" priority="2">
      <formula>LEN(X3)&gt;28</formula>
    </cfRule>
  </conditionalFormatting>
  <dataValidations xWindow="2416" yWindow="326" count="16">
    <dataValidation type="list" allowBlank="1" sqref="F250:F1048576" xr:uid="{00000000-0002-0000-0100-000002000000}">
      <formula1>RSC_atxwarengruppesap__de_DE</formula1>
    </dataValidation>
    <dataValidation type="list" allowBlank="1" showInputMessage="1" showErrorMessage="1" promptTitle="Information" prompt="Select value from dropdown" sqref="AM250:AM1048576 AP250:AP1048576 AH250:AK1048576 AO3:AO1048576 AR3:AR1048576" xr:uid="{00000000-0002-0000-0100-00000B000000}">
      <formula1>"TRUE,FALSE"</formula1>
    </dataValidation>
    <dataValidation type="list" allowBlank="1" showInputMessage="1" showErrorMessage="1" promptTitle="Information" prompt="Select value from dropdown" sqref="AL250:AL1048576" xr:uid="{00000000-0002-0000-0100-000028000000}">
      <formula1>RSC__refxshopinshop</formula1>
    </dataValidation>
    <dataValidation type="list" allowBlank="1" showInputMessage="1" promptTitle="Information" prompt="Select value from dropdown" sqref="AN250:AN1048576" xr:uid="{00000000-0002-0000-0100-000029000000}">
      <formula1>RSC__refxgtintyperegioartikel</formula1>
    </dataValidation>
    <dataValidation type="list" allowBlank="1" showInputMessage="1" showErrorMessage="1" promptTitle="Information" prompt="Select value from dropdown" sqref="AF250:AF1048576 AE3:AE1048576" xr:uid="{00000000-0002-0000-0100-000022000000}">
      <formula1>RSC_de_DE_refxtaxclass</formula1>
    </dataValidation>
    <dataValidation allowBlank="1" sqref="F3:F249" xr:uid="{C4A72171-FC4A-4A32-9286-771D015CB924}"/>
    <dataValidation allowBlank="1" showInputMessage="1" promptTitle="Information" prompt="Select value from dropdown" sqref="AN3:AN249" xr:uid="{ABBF123A-743C-4641-B21D-C38F5C411B13}"/>
    <dataValidation allowBlank="1" showInputMessage="1" showErrorMessage="1" promptTitle="Information" prompt="Select value from dropdown" sqref="AC1:AC1048576 AP3:AP249" xr:uid="{1A424533-B9FB-4B28-95E8-5223C67491D0}"/>
    <dataValidation type="list" allowBlank="1" showInputMessage="1" showErrorMessage="1" promptTitle="Information" prompt="Select value from dropdown" sqref="A3:A1048576" xr:uid="{00000000-0002-0000-0100-000000000000}">
      <formula1>"DELETE"</formula1>
    </dataValidation>
    <dataValidation type="list" allowBlank="1" showInputMessage="1" showErrorMessage="1" promptTitle="Information" prompt="Select value from dropdown" sqref="B3:B1048576" xr:uid="{00000000-0002-0000-0100-000001000000}">
      <formula1>RSC_ENTITY_NAME</formula1>
    </dataValidation>
    <dataValidation type="list" allowBlank="1" showInputMessage="1" showErrorMessage="1" promptTitle="Information" prompt="Select value from dropdown" sqref="E3:E1048576" xr:uid="{00000000-0002-0000-0100-000010000000}">
      <formula1>RSC__refxartikeltypsap</formula1>
    </dataValidation>
    <dataValidation type="list" allowBlank="1" showInputMessage="1" showErrorMessage="1" promptTitle="Information" prompt="Select value from dropdown" sqref="H3:H1048576" xr:uid="{00000000-0002-0000-0100-000013000000}">
      <formula1>RSC_de_DE_refxartikelartsap</formula1>
    </dataValidation>
    <dataValidation type="list" allowBlank="1" showInputMessage="1" showErrorMessage="1" promptTitle="Information" prompt="Select value from dropdown" sqref="I3:I1048576" xr:uid="{00000000-0002-0000-0100-000016000000}">
      <formula1>RSC_de_DE_refxsaisontypsap</formula1>
    </dataValidation>
    <dataValidation type="list" allowBlank="1" showInputMessage="1" showErrorMessage="1" promptTitle="Information" prompt="Select value from dropdown" sqref="AB3:AB1048576" xr:uid="{00000000-0002-0000-0100-000019000000}">
      <formula1>RSC_de_DE_refxmengeneinheit</formula1>
    </dataValidation>
    <dataValidation type="list" allowBlank="1" showInputMessage="1" showErrorMessage="1" promptTitle="Information" prompt="Select value from dropdown" sqref="AG3:AG1048576" xr:uid="{00000000-0002-0000-0100-000025000000}">
      <formula1>RSC_de_DE_refxaltersbegrtyp</formula1>
    </dataValidation>
    <dataValidation type="list" allowBlank="1" showInputMessage="1" showErrorMessage="1" promptTitle="Information" prompt="Select value from dropdown" sqref="AQ3:AQ1048576" xr:uid="{00000000-0002-0000-0100-00002A000000}">
      <formula1>RSC__refxsystemsap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xWindow="2416" yWindow="326" count="1">
        <x14:dataValidation type="list" allowBlank="1" showErrorMessage="1" xr:uid="{00000000-0002-0000-0100-00001F000000}">
          <x14:formula1>
            <xm:f>OFFSET(dedea_axba2387!$A$1,1,IF(OR(ISBLANK($H250),$H250="[DELETE]",$H250="[NULL]"),MATCH("[EMPTY]",dedea_axba2387!$A$1:$K$1,0),MATCH($H250,dedea_axba2387!$A$1:$K$1,0))-1,32768,1)</xm:f>
          </x14:formula1>
          <xm:sqref>AD250:AD1048576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88951-E8B4-401D-B980-3152BED71B8F}">
  <sheetPr codeName="Sheet2"/>
  <dimension ref="A1:AJ248"/>
  <sheetViews>
    <sheetView topLeftCell="P1" zoomScale="80" zoomScaleNormal="80" workbookViewId="0">
      <selection activeCell="T204" sqref="T204"/>
    </sheetView>
  </sheetViews>
  <sheetFormatPr defaultColWidth="11.3984375" defaultRowHeight="14.25" x14ac:dyDescent="0.45"/>
  <cols>
    <col min="1" max="1" width="5.1328125" customWidth="1"/>
    <col min="2" max="2" width="31" style="81" customWidth="1"/>
    <col min="3" max="3" width="7.73046875" customWidth="1"/>
    <col min="4" max="4" width="7.1328125" customWidth="1"/>
    <col min="5" max="5" width="28.73046875" customWidth="1"/>
    <col min="6" max="6" width="27.33203125" bestFit="1" customWidth="1"/>
    <col min="7" max="7" width="20.73046875" customWidth="1"/>
    <col min="8" max="8" width="11.3984375" customWidth="1"/>
    <col min="9" max="9" width="27.73046875" bestFit="1" customWidth="1"/>
    <col min="10" max="10" width="24" bestFit="1" customWidth="1"/>
    <col min="11" max="11" width="23.3984375" customWidth="1"/>
    <col min="12" max="12" width="13.86328125" bestFit="1" customWidth="1"/>
    <col min="13" max="13" width="28.3984375" bestFit="1" customWidth="1"/>
    <col min="14" max="15" width="24" bestFit="1" customWidth="1"/>
    <col min="16" max="16" width="11.3984375" customWidth="1"/>
    <col min="17" max="17" width="26.3984375" bestFit="1" customWidth="1"/>
    <col min="18" max="18" width="11.3984375" style="38" customWidth="1"/>
    <col min="19" max="20" width="17.265625" customWidth="1"/>
    <col min="21" max="21" width="19.59765625" customWidth="1"/>
    <col min="22" max="22" width="31.1328125" customWidth="1"/>
    <col min="23" max="23" width="26.265625" customWidth="1"/>
    <col min="24" max="27" width="22.86328125" customWidth="1"/>
    <col min="28" max="28" width="14.86328125" customWidth="1"/>
    <col min="29" max="29" width="14.73046875" customWidth="1"/>
    <col min="30" max="30" width="18.86328125" customWidth="1"/>
    <col min="31" max="31" width="11.3984375" customWidth="1"/>
    <col min="32" max="32" width="8.59765625" customWidth="1"/>
    <col min="33" max="33" width="13.59765625" style="52" customWidth="1"/>
    <col min="35" max="35" width="22" style="52" customWidth="1"/>
    <col min="36" max="36" width="16.86328125" customWidth="1"/>
  </cols>
  <sheetData>
    <row r="1" spans="1:36" ht="78.75" x14ac:dyDescent="0.45">
      <c r="A1" s="39" t="s">
        <v>220</v>
      </c>
      <c r="B1" s="81" t="s">
        <v>221</v>
      </c>
      <c r="C1" s="40" t="s">
        <v>222</v>
      </c>
      <c r="D1" s="40" t="s">
        <v>223</v>
      </c>
      <c r="E1" s="41" t="s">
        <v>224</v>
      </c>
      <c r="F1" s="40" t="s">
        <v>225</v>
      </c>
      <c r="G1" s="40" t="s">
        <v>226</v>
      </c>
      <c r="H1" s="40" t="s">
        <v>227</v>
      </c>
      <c r="I1" s="40" t="s">
        <v>228</v>
      </c>
      <c r="J1" s="40" t="s">
        <v>229</v>
      </c>
      <c r="K1" s="40" t="s">
        <v>230</v>
      </c>
      <c r="L1" s="40" t="s">
        <v>231</v>
      </c>
      <c r="M1" s="40" t="s">
        <v>232</v>
      </c>
      <c r="N1" s="40" t="s">
        <v>233</v>
      </c>
      <c r="O1" s="40" t="s">
        <v>234</v>
      </c>
      <c r="P1" s="40" t="s">
        <v>235</v>
      </c>
      <c r="Q1" s="40" t="s">
        <v>236</v>
      </c>
      <c r="R1" s="42" t="s">
        <v>57</v>
      </c>
      <c r="S1" s="40" t="s">
        <v>237</v>
      </c>
      <c r="T1" s="40" t="s">
        <v>238</v>
      </c>
      <c r="U1" s="40" t="s">
        <v>239</v>
      </c>
      <c r="V1" s="40" t="s">
        <v>240</v>
      </c>
      <c r="W1" s="40" t="s">
        <v>241</v>
      </c>
      <c r="X1" s="40" t="s">
        <v>242</v>
      </c>
      <c r="Y1" s="40" t="s">
        <v>1216</v>
      </c>
      <c r="Z1" s="40" t="s">
        <v>1217</v>
      </c>
      <c r="AA1" s="40" t="s">
        <v>1218</v>
      </c>
      <c r="AB1" s="40" t="s">
        <v>243</v>
      </c>
      <c r="AC1" s="40" t="s">
        <v>244</v>
      </c>
      <c r="AD1" s="40" t="s">
        <v>245</v>
      </c>
      <c r="AE1" s="40" t="s">
        <v>246</v>
      </c>
      <c r="AF1" s="40" t="s">
        <v>247</v>
      </c>
      <c r="AG1" s="40" t="s">
        <v>248</v>
      </c>
      <c r="AH1" s="40" t="s">
        <v>249</v>
      </c>
      <c r="AI1" s="40" t="s">
        <v>250</v>
      </c>
      <c r="AJ1" s="40" t="s">
        <v>251</v>
      </c>
    </row>
    <row r="2" spans="1:36" x14ac:dyDescent="0.45">
      <c r="A2" s="43">
        <v>1</v>
      </c>
      <c r="C2" s="44" t="s">
        <v>252</v>
      </c>
      <c r="D2" s="44" t="s">
        <v>84</v>
      </c>
      <c r="E2" s="45"/>
      <c r="F2" s="44" t="s">
        <v>253</v>
      </c>
      <c r="G2" s="44" t="s">
        <v>254</v>
      </c>
      <c r="H2" s="44" t="s">
        <v>255</v>
      </c>
      <c r="I2" s="44" t="s">
        <v>256</v>
      </c>
      <c r="J2" s="44" t="s">
        <v>253</v>
      </c>
      <c r="K2" s="44" t="s">
        <v>257</v>
      </c>
      <c r="L2" s="44" t="s">
        <v>255</v>
      </c>
      <c r="M2" s="44" t="s">
        <v>256</v>
      </c>
      <c r="N2" s="44" t="s">
        <v>253</v>
      </c>
      <c r="O2" s="44" t="s">
        <v>258</v>
      </c>
      <c r="P2" s="44" t="s">
        <v>255</v>
      </c>
      <c r="Q2" s="44" t="s">
        <v>256</v>
      </c>
      <c r="R2" s="46">
        <v>0.25</v>
      </c>
      <c r="S2" s="44">
        <v>100</v>
      </c>
      <c r="T2" s="44" t="s">
        <v>130</v>
      </c>
      <c r="U2" s="44" t="s">
        <v>169</v>
      </c>
      <c r="V2" s="44" t="s">
        <v>259</v>
      </c>
      <c r="W2" s="44" t="s">
        <v>260</v>
      </c>
      <c r="X2" s="44" t="s">
        <v>261</v>
      </c>
      <c r="Y2" s="44"/>
      <c r="Z2" s="44"/>
      <c r="AA2" s="44"/>
      <c r="AB2" s="44" t="s">
        <v>262</v>
      </c>
      <c r="AC2" s="44" t="s">
        <v>262</v>
      </c>
      <c r="AD2" s="44" t="s">
        <v>262</v>
      </c>
      <c r="AE2" s="44" t="s">
        <v>262</v>
      </c>
      <c r="AF2" s="44" t="s">
        <v>263</v>
      </c>
      <c r="AG2" s="44" t="s">
        <v>263</v>
      </c>
      <c r="AH2" s="44" t="s">
        <v>262</v>
      </c>
      <c r="AI2" s="44">
        <v>0.05</v>
      </c>
      <c r="AJ2" s="47" t="s">
        <v>263</v>
      </c>
    </row>
    <row r="3" spans="1:36" x14ac:dyDescent="0.45">
      <c r="A3" s="43">
        <v>2</v>
      </c>
      <c r="C3" s="44" t="s">
        <v>252</v>
      </c>
      <c r="D3" s="44" t="s">
        <v>84</v>
      </c>
      <c r="E3" s="45"/>
      <c r="F3" s="44" t="s">
        <v>264</v>
      </c>
      <c r="G3" s="44" t="s">
        <v>254</v>
      </c>
      <c r="H3" s="44" t="s">
        <v>255</v>
      </c>
      <c r="I3" s="44" t="s">
        <v>265</v>
      </c>
      <c r="J3" s="44" t="s">
        <v>1343</v>
      </c>
      <c r="K3" s="44" t="s">
        <v>257</v>
      </c>
      <c r="L3" s="44" t="s">
        <v>255</v>
      </c>
      <c r="M3" s="44" t="s">
        <v>266</v>
      </c>
      <c r="N3" s="44" t="s">
        <v>1344</v>
      </c>
      <c r="O3" s="44" t="s">
        <v>258</v>
      </c>
      <c r="P3" s="44" t="s">
        <v>255</v>
      </c>
      <c r="Q3" s="44" t="s">
        <v>267</v>
      </c>
      <c r="R3" s="46">
        <v>0.25</v>
      </c>
      <c r="S3" s="44">
        <v>100</v>
      </c>
      <c r="T3" s="44" t="s">
        <v>130</v>
      </c>
      <c r="U3" s="44" t="s">
        <v>169</v>
      </c>
      <c r="V3" s="44" t="s">
        <v>259</v>
      </c>
      <c r="W3" s="44" t="s">
        <v>260</v>
      </c>
      <c r="X3" s="44" t="s">
        <v>261</v>
      </c>
      <c r="Y3" s="44"/>
      <c r="Z3" s="44"/>
      <c r="AA3" s="44"/>
      <c r="AB3" s="44" t="s">
        <v>262</v>
      </c>
      <c r="AC3" s="44" t="s">
        <v>262</v>
      </c>
      <c r="AD3" s="44" t="s">
        <v>262</v>
      </c>
      <c r="AE3" s="44" t="s">
        <v>262</v>
      </c>
      <c r="AF3" s="44" t="s">
        <v>263</v>
      </c>
      <c r="AG3" s="44" t="s">
        <v>263</v>
      </c>
      <c r="AH3" s="44" t="s">
        <v>262</v>
      </c>
      <c r="AI3" s="44">
        <v>0.05</v>
      </c>
      <c r="AJ3" s="47" t="s">
        <v>263</v>
      </c>
    </row>
    <row r="4" spans="1:36" x14ac:dyDescent="0.45">
      <c r="A4" s="43">
        <v>3</v>
      </c>
      <c r="C4" s="44" t="s">
        <v>252</v>
      </c>
      <c r="D4" s="44" t="s">
        <v>84</v>
      </c>
      <c r="E4" s="45"/>
      <c r="F4" s="44" t="s">
        <v>264</v>
      </c>
      <c r="G4" s="44" t="s">
        <v>254</v>
      </c>
      <c r="H4" s="44" t="s">
        <v>268</v>
      </c>
      <c r="I4" s="44" t="s">
        <v>269</v>
      </c>
      <c r="J4" s="44" t="s">
        <v>1343</v>
      </c>
      <c r="K4" s="44" t="s">
        <v>257</v>
      </c>
      <c r="L4" s="44" t="s">
        <v>268</v>
      </c>
      <c r="M4" s="44" t="s">
        <v>270</v>
      </c>
      <c r="N4" s="44" t="s">
        <v>1344</v>
      </c>
      <c r="O4" s="44" t="s">
        <v>258</v>
      </c>
      <c r="P4" s="44" t="s">
        <v>268</v>
      </c>
      <c r="Q4" s="44" t="s">
        <v>271</v>
      </c>
      <c r="R4" s="46">
        <v>0.5</v>
      </c>
      <c r="S4" s="44">
        <v>100</v>
      </c>
      <c r="T4" s="44" t="s">
        <v>130</v>
      </c>
      <c r="U4" s="44" t="s">
        <v>169</v>
      </c>
      <c r="V4" s="44" t="s">
        <v>259</v>
      </c>
      <c r="W4" s="44" t="s">
        <v>260</v>
      </c>
      <c r="X4" s="44" t="s">
        <v>261</v>
      </c>
      <c r="Y4" s="44"/>
      <c r="Z4" s="44"/>
      <c r="AA4" s="44"/>
      <c r="AB4" s="44" t="s">
        <v>262</v>
      </c>
      <c r="AC4" s="44" t="s">
        <v>262</v>
      </c>
      <c r="AD4" s="44" t="s">
        <v>262</v>
      </c>
      <c r="AE4" s="44" t="s">
        <v>262</v>
      </c>
      <c r="AF4" s="44" t="s">
        <v>263</v>
      </c>
      <c r="AG4" s="44" t="s">
        <v>263</v>
      </c>
      <c r="AH4" s="44" t="s">
        <v>262</v>
      </c>
      <c r="AI4" s="44">
        <v>0.05</v>
      </c>
      <c r="AJ4" s="47" t="s">
        <v>263</v>
      </c>
    </row>
    <row r="5" spans="1:36" x14ac:dyDescent="0.45">
      <c r="A5" s="43">
        <v>4</v>
      </c>
      <c r="C5" s="44" t="s">
        <v>252</v>
      </c>
      <c r="D5" s="44" t="s">
        <v>84</v>
      </c>
      <c r="E5" s="45"/>
      <c r="F5" s="44" t="s">
        <v>272</v>
      </c>
      <c r="G5" s="44" t="s">
        <v>254</v>
      </c>
      <c r="H5" s="44" t="s">
        <v>273</v>
      </c>
      <c r="I5" s="44" t="s">
        <v>272</v>
      </c>
      <c r="J5" s="44" t="s">
        <v>1345</v>
      </c>
      <c r="K5" s="44" t="s">
        <v>257</v>
      </c>
      <c r="L5" s="44" t="s">
        <v>274</v>
      </c>
      <c r="M5" s="44" t="s">
        <v>1345</v>
      </c>
      <c r="N5" s="44" t="s">
        <v>272</v>
      </c>
      <c r="O5" s="44" t="s">
        <v>258</v>
      </c>
      <c r="P5" s="44" t="s">
        <v>275</v>
      </c>
      <c r="Q5" s="44" t="s">
        <v>272</v>
      </c>
      <c r="R5" s="46">
        <v>1</v>
      </c>
      <c r="S5" s="44">
        <v>1</v>
      </c>
      <c r="T5" s="44" t="s">
        <v>137</v>
      </c>
      <c r="U5" s="44" t="s">
        <v>169</v>
      </c>
      <c r="V5" s="44" t="s">
        <v>259</v>
      </c>
      <c r="W5" s="44" t="s">
        <v>260</v>
      </c>
      <c r="X5" s="44" t="s">
        <v>261</v>
      </c>
      <c r="Y5" s="44"/>
      <c r="Z5" s="44"/>
      <c r="AA5" s="44"/>
      <c r="AB5" s="44" t="s">
        <v>262</v>
      </c>
      <c r="AC5" s="44" t="s">
        <v>262</v>
      </c>
      <c r="AD5" s="44" t="s">
        <v>262</v>
      </c>
      <c r="AE5" s="44" t="s">
        <v>262</v>
      </c>
      <c r="AF5" s="44" t="s">
        <v>263</v>
      </c>
      <c r="AG5" s="44" t="s">
        <v>263</v>
      </c>
      <c r="AH5" s="44" t="s">
        <v>262</v>
      </c>
      <c r="AI5" s="44">
        <v>0.05</v>
      </c>
      <c r="AJ5" s="47" t="s">
        <v>263</v>
      </c>
    </row>
    <row r="6" spans="1:36" x14ac:dyDescent="0.45">
      <c r="A6" s="43">
        <v>5</v>
      </c>
      <c r="C6" s="44" t="s">
        <v>252</v>
      </c>
      <c r="D6" s="44" t="s">
        <v>84</v>
      </c>
      <c r="E6" s="45"/>
      <c r="F6" s="44" t="s">
        <v>276</v>
      </c>
      <c r="G6" s="44" t="s">
        <v>254</v>
      </c>
      <c r="H6" s="44" t="s">
        <v>273</v>
      </c>
      <c r="I6" s="44" t="s">
        <v>276</v>
      </c>
      <c r="J6" s="44" t="s">
        <v>276</v>
      </c>
      <c r="K6" s="44" t="s">
        <v>257</v>
      </c>
      <c r="L6" s="44" t="s">
        <v>274</v>
      </c>
      <c r="M6" s="44" t="s">
        <v>276</v>
      </c>
      <c r="N6" s="44" t="s">
        <v>276</v>
      </c>
      <c r="O6" s="44" t="s">
        <v>258</v>
      </c>
      <c r="P6" s="44" t="s">
        <v>275</v>
      </c>
      <c r="Q6" s="44" t="s">
        <v>276</v>
      </c>
      <c r="R6" s="46">
        <v>1</v>
      </c>
      <c r="S6" s="44">
        <v>1</v>
      </c>
      <c r="T6" s="44" t="s">
        <v>137</v>
      </c>
      <c r="U6" s="44" t="s">
        <v>169</v>
      </c>
      <c r="V6" s="44" t="s">
        <v>259</v>
      </c>
      <c r="W6" s="44" t="s">
        <v>260</v>
      </c>
      <c r="X6" s="44" t="s">
        <v>261</v>
      </c>
      <c r="Y6" s="44"/>
      <c r="Z6" s="44"/>
      <c r="AA6" s="44"/>
      <c r="AB6" s="44" t="s">
        <v>262</v>
      </c>
      <c r="AC6" s="44" t="s">
        <v>262</v>
      </c>
      <c r="AD6" s="44" t="s">
        <v>262</v>
      </c>
      <c r="AE6" s="44" t="s">
        <v>262</v>
      </c>
      <c r="AF6" s="44" t="s">
        <v>263</v>
      </c>
      <c r="AG6" s="44" t="s">
        <v>263</v>
      </c>
      <c r="AH6" s="44" t="s">
        <v>262</v>
      </c>
      <c r="AI6" s="44">
        <v>0.05</v>
      </c>
      <c r="AJ6" s="47" t="s">
        <v>263</v>
      </c>
    </row>
    <row r="7" spans="1:36" x14ac:dyDescent="0.45">
      <c r="A7" s="43">
        <v>6</v>
      </c>
      <c r="C7" s="44" t="s">
        <v>252</v>
      </c>
      <c r="D7" s="44" t="s">
        <v>84</v>
      </c>
      <c r="E7" s="45"/>
      <c r="F7" s="44" t="s">
        <v>277</v>
      </c>
      <c r="G7" s="44" t="s">
        <v>254</v>
      </c>
      <c r="H7" s="44" t="s">
        <v>273</v>
      </c>
      <c r="I7" s="44" t="s">
        <v>277</v>
      </c>
      <c r="J7" s="44" t="s">
        <v>277</v>
      </c>
      <c r="K7" s="44" t="s">
        <v>257</v>
      </c>
      <c r="L7" s="44" t="s">
        <v>274</v>
      </c>
      <c r="M7" s="44" t="s">
        <v>277</v>
      </c>
      <c r="N7" s="44" t="s">
        <v>277</v>
      </c>
      <c r="O7" s="44" t="s">
        <v>258</v>
      </c>
      <c r="P7" s="44" t="s">
        <v>275</v>
      </c>
      <c r="Q7" s="44" t="s">
        <v>277</v>
      </c>
      <c r="R7" s="46">
        <v>1</v>
      </c>
      <c r="S7" s="44">
        <v>1</v>
      </c>
      <c r="T7" s="44" t="s">
        <v>137</v>
      </c>
      <c r="U7" s="44" t="s">
        <v>169</v>
      </c>
      <c r="V7" s="44" t="s">
        <v>259</v>
      </c>
      <c r="W7" s="44" t="s">
        <v>260</v>
      </c>
      <c r="X7" s="44" t="s">
        <v>261</v>
      </c>
      <c r="Y7" s="44"/>
      <c r="Z7" s="44"/>
      <c r="AA7" s="44"/>
      <c r="AB7" s="44" t="s">
        <v>262</v>
      </c>
      <c r="AC7" s="44" t="s">
        <v>262</v>
      </c>
      <c r="AD7" s="44" t="s">
        <v>262</v>
      </c>
      <c r="AE7" s="44" t="s">
        <v>262</v>
      </c>
      <c r="AF7" s="44" t="s">
        <v>263</v>
      </c>
      <c r="AG7" s="44" t="s">
        <v>263</v>
      </c>
      <c r="AH7" s="44" t="s">
        <v>262</v>
      </c>
      <c r="AI7" s="44">
        <v>0.05</v>
      </c>
      <c r="AJ7" s="47" t="s">
        <v>263</v>
      </c>
    </row>
    <row r="8" spans="1:36" x14ac:dyDescent="0.45">
      <c r="A8" s="43">
        <v>7</v>
      </c>
      <c r="C8" s="44" t="s">
        <v>252</v>
      </c>
      <c r="D8" s="44" t="s">
        <v>84</v>
      </c>
      <c r="E8" s="45"/>
      <c r="F8" s="44" t="s">
        <v>278</v>
      </c>
      <c r="G8" s="44" t="s">
        <v>254</v>
      </c>
      <c r="H8" s="44" t="s">
        <v>273</v>
      </c>
      <c r="I8" s="44" t="s">
        <v>278</v>
      </c>
      <c r="J8" s="44" t="s">
        <v>1346</v>
      </c>
      <c r="K8" s="44" t="s">
        <v>257</v>
      </c>
      <c r="L8" s="44" t="s">
        <v>274</v>
      </c>
      <c r="M8" s="44" t="s">
        <v>1346</v>
      </c>
      <c r="N8" s="44" t="s">
        <v>279</v>
      </c>
      <c r="O8" s="44" t="s">
        <v>258</v>
      </c>
      <c r="P8" s="44" t="s">
        <v>275</v>
      </c>
      <c r="Q8" s="44" t="s">
        <v>279</v>
      </c>
      <c r="R8" s="46">
        <v>1</v>
      </c>
      <c r="S8" s="44">
        <v>1</v>
      </c>
      <c r="T8" s="44" t="s">
        <v>137</v>
      </c>
      <c r="U8" s="44" t="s">
        <v>169</v>
      </c>
      <c r="V8" s="44" t="s">
        <v>259</v>
      </c>
      <c r="W8" s="44" t="s">
        <v>260</v>
      </c>
      <c r="X8" s="44" t="s">
        <v>261</v>
      </c>
      <c r="Y8" s="44"/>
      <c r="Z8" s="44"/>
      <c r="AA8" s="44"/>
      <c r="AB8" s="44" t="s">
        <v>262</v>
      </c>
      <c r="AC8" s="44" t="s">
        <v>262</v>
      </c>
      <c r="AD8" s="44" t="s">
        <v>262</v>
      </c>
      <c r="AE8" s="44" t="s">
        <v>262</v>
      </c>
      <c r="AF8" s="44" t="s">
        <v>263</v>
      </c>
      <c r="AG8" s="44" t="s">
        <v>263</v>
      </c>
      <c r="AH8" s="44" t="s">
        <v>262</v>
      </c>
      <c r="AI8" s="44">
        <v>0</v>
      </c>
      <c r="AJ8" s="47" t="s">
        <v>263</v>
      </c>
    </row>
    <row r="9" spans="1:36" x14ac:dyDescent="0.45">
      <c r="A9" s="43">
        <v>8</v>
      </c>
      <c r="C9" s="44" t="s">
        <v>252</v>
      </c>
      <c r="D9" s="44" t="s">
        <v>84</v>
      </c>
      <c r="E9" s="45"/>
      <c r="F9" s="44" t="s">
        <v>280</v>
      </c>
      <c r="G9" s="44" t="s">
        <v>254</v>
      </c>
      <c r="H9" s="44" t="s">
        <v>273</v>
      </c>
      <c r="I9" s="44" t="s">
        <v>280</v>
      </c>
      <c r="J9" s="44" t="s">
        <v>281</v>
      </c>
      <c r="K9" s="44" t="s">
        <v>257</v>
      </c>
      <c r="L9" s="44" t="s">
        <v>274</v>
      </c>
      <c r="M9" s="44" t="s">
        <v>281</v>
      </c>
      <c r="N9" s="44" t="s">
        <v>282</v>
      </c>
      <c r="O9" s="44" t="s">
        <v>258</v>
      </c>
      <c r="P9" s="44" t="s">
        <v>275</v>
      </c>
      <c r="Q9" s="44" t="s">
        <v>282</v>
      </c>
      <c r="R9" s="46">
        <v>1</v>
      </c>
      <c r="S9" s="44">
        <v>1</v>
      </c>
      <c r="T9" s="44" t="s">
        <v>137</v>
      </c>
      <c r="U9" s="44" t="s">
        <v>169</v>
      </c>
      <c r="V9" s="44" t="s">
        <v>259</v>
      </c>
      <c r="W9" s="44" t="s">
        <v>260</v>
      </c>
      <c r="X9" s="44" t="s">
        <v>261</v>
      </c>
      <c r="Y9" s="44"/>
      <c r="Z9" s="44"/>
      <c r="AA9" s="44"/>
      <c r="AB9" s="44" t="s">
        <v>262</v>
      </c>
      <c r="AC9" s="44" t="s">
        <v>262</v>
      </c>
      <c r="AD9" s="44" t="s">
        <v>262</v>
      </c>
      <c r="AE9" s="44" t="s">
        <v>262</v>
      </c>
      <c r="AF9" s="44" t="s">
        <v>263</v>
      </c>
      <c r="AG9" s="44" t="s">
        <v>263</v>
      </c>
      <c r="AH9" s="44" t="s">
        <v>262</v>
      </c>
      <c r="AI9" s="44">
        <v>0</v>
      </c>
      <c r="AJ9" s="47" t="s">
        <v>263</v>
      </c>
    </row>
    <row r="10" spans="1:36" x14ac:dyDescent="0.45">
      <c r="A10" s="43">
        <v>9</v>
      </c>
      <c r="C10" s="44" t="s">
        <v>252</v>
      </c>
      <c r="D10" s="44" t="s">
        <v>84</v>
      </c>
      <c r="E10" s="45"/>
      <c r="F10" s="44" t="s">
        <v>283</v>
      </c>
      <c r="G10" s="44" t="s">
        <v>254</v>
      </c>
      <c r="H10" s="44" t="s">
        <v>273</v>
      </c>
      <c r="I10" s="44" t="s">
        <v>283</v>
      </c>
      <c r="J10" s="44" t="s">
        <v>284</v>
      </c>
      <c r="K10" s="44" t="s">
        <v>257</v>
      </c>
      <c r="L10" s="44" t="s">
        <v>274</v>
      </c>
      <c r="M10" s="44" t="s">
        <v>284</v>
      </c>
      <c r="N10" s="44" t="s">
        <v>285</v>
      </c>
      <c r="O10" s="44" t="s">
        <v>258</v>
      </c>
      <c r="P10" s="44" t="s">
        <v>275</v>
      </c>
      <c r="Q10" s="44" t="s">
        <v>285</v>
      </c>
      <c r="R10" s="46">
        <v>1</v>
      </c>
      <c r="S10" s="44">
        <v>1</v>
      </c>
      <c r="T10" s="44" t="s">
        <v>137</v>
      </c>
      <c r="U10" s="44" t="s">
        <v>169</v>
      </c>
      <c r="V10" s="44" t="s">
        <v>259</v>
      </c>
      <c r="W10" s="44" t="s">
        <v>260</v>
      </c>
      <c r="X10" s="44" t="s">
        <v>261</v>
      </c>
      <c r="Y10" s="44"/>
      <c r="Z10" s="44"/>
      <c r="AA10" s="44"/>
      <c r="AB10" s="44" t="s">
        <v>262</v>
      </c>
      <c r="AC10" s="44" t="s">
        <v>262</v>
      </c>
      <c r="AD10" s="44" t="s">
        <v>262</v>
      </c>
      <c r="AE10" s="44" t="s">
        <v>262</v>
      </c>
      <c r="AF10" s="44" t="s">
        <v>263</v>
      </c>
      <c r="AG10" s="44" t="s">
        <v>263</v>
      </c>
      <c r="AH10" s="44" t="s">
        <v>262</v>
      </c>
      <c r="AI10" s="44">
        <v>0</v>
      </c>
      <c r="AJ10" s="47" t="s">
        <v>263</v>
      </c>
    </row>
    <row r="11" spans="1:36" x14ac:dyDescent="0.45">
      <c r="A11" s="43">
        <v>10</v>
      </c>
      <c r="C11" s="44" t="s">
        <v>252</v>
      </c>
      <c r="D11" s="44" t="s">
        <v>84</v>
      </c>
      <c r="E11" s="45"/>
      <c r="F11" s="44" t="s">
        <v>1347</v>
      </c>
      <c r="G11" s="44" t="s">
        <v>254</v>
      </c>
      <c r="H11" s="44" t="s">
        <v>273</v>
      </c>
      <c r="I11" s="44" t="s">
        <v>1347</v>
      </c>
      <c r="J11" s="44" t="s">
        <v>1347</v>
      </c>
      <c r="K11" s="44" t="s">
        <v>257</v>
      </c>
      <c r="L11" s="44" t="s">
        <v>274</v>
      </c>
      <c r="M11" s="44" t="s">
        <v>1347</v>
      </c>
      <c r="N11" s="44" t="s">
        <v>1347</v>
      </c>
      <c r="O11" s="44" t="s">
        <v>258</v>
      </c>
      <c r="P11" s="44" t="s">
        <v>275</v>
      </c>
      <c r="Q11" s="44" t="s">
        <v>1347</v>
      </c>
      <c r="R11" s="46">
        <v>1</v>
      </c>
      <c r="S11" s="44">
        <v>1</v>
      </c>
      <c r="T11" s="44" t="s">
        <v>137</v>
      </c>
      <c r="U11" s="44" t="s">
        <v>169</v>
      </c>
      <c r="V11" s="44" t="s">
        <v>259</v>
      </c>
      <c r="W11" s="44" t="s">
        <v>260</v>
      </c>
      <c r="X11" s="44" t="s">
        <v>261</v>
      </c>
      <c r="Y11" s="44"/>
      <c r="Z11" s="44"/>
      <c r="AA11" s="44"/>
      <c r="AB11" s="44" t="s">
        <v>262</v>
      </c>
      <c r="AC11" s="44" t="s">
        <v>262</v>
      </c>
      <c r="AD11" s="44" t="s">
        <v>262</v>
      </c>
      <c r="AE11" s="44" t="s">
        <v>262</v>
      </c>
      <c r="AF11" s="44" t="s">
        <v>263</v>
      </c>
      <c r="AG11" s="44" t="s">
        <v>263</v>
      </c>
      <c r="AH11" s="44" t="s">
        <v>262</v>
      </c>
      <c r="AI11" s="44">
        <v>0.05</v>
      </c>
      <c r="AJ11" s="47" t="s">
        <v>263</v>
      </c>
    </row>
    <row r="12" spans="1:36" x14ac:dyDescent="0.45">
      <c r="A12" s="43">
        <v>11</v>
      </c>
      <c r="C12" s="44" t="s">
        <v>252</v>
      </c>
      <c r="D12" s="44" t="s">
        <v>84</v>
      </c>
      <c r="E12" s="45"/>
      <c r="F12" s="44" t="s">
        <v>1348</v>
      </c>
      <c r="G12" s="44" t="s">
        <v>254</v>
      </c>
      <c r="H12" s="44" t="s">
        <v>273</v>
      </c>
      <c r="I12" s="44" t="s">
        <v>1348</v>
      </c>
      <c r="J12" s="44" t="s">
        <v>1349</v>
      </c>
      <c r="K12" s="44" t="s">
        <v>257</v>
      </c>
      <c r="L12" s="44" t="s">
        <v>274</v>
      </c>
      <c r="M12" s="44" t="s">
        <v>1349</v>
      </c>
      <c r="N12" s="44" t="s">
        <v>286</v>
      </c>
      <c r="O12" s="44" t="s">
        <v>258</v>
      </c>
      <c r="P12" s="44" t="s">
        <v>275</v>
      </c>
      <c r="Q12" s="44" t="s">
        <v>286</v>
      </c>
      <c r="R12" s="46">
        <v>1</v>
      </c>
      <c r="S12" s="44">
        <v>1</v>
      </c>
      <c r="T12" s="44" t="s">
        <v>137</v>
      </c>
      <c r="U12" s="44" t="s">
        <v>169</v>
      </c>
      <c r="V12" s="44" t="s">
        <v>259</v>
      </c>
      <c r="W12" s="44" t="s">
        <v>260</v>
      </c>
      <c r="X12" s="44" t="s">
        <v>261</v>
      </c>
      <c r="Y12" s="44"/>
      <c r="Z12" s="44"/>
      <c r="AA12" s="44"/>
      <c r="AB12" s="44" t="s">
        <v>262</v>
      </c>
      <c r="AC12" s="44" t="s">
        <v>262</v>
      </c>
      <c r="AD12" s="44" t="s">
        <v>262</v>
      </c>
      <c r="AE12" s="44" t="s">
        <v>262</v>
      </c>
      <c r="AF12" s="44" t="s">
        <v>263</v>
      </c>
      <c r="AG12" s="44" t="s">
        <v>263</v>
      </c>
      <c r="AH12" s="44" t="s">
        <v>262</v>
      </c>
      <c r="AI12" s="44">
        <v>0.05</v>
      </c>
      <c r="AJ12" s="47" t="s">
        <v>263</v>
      </c>
    </row>
    <row r="13" spans="1:36" x14ac:dyDescent="0.45">
      <c r="A13" s="43">
        <v>12</v>
      </c>
      <c r="C13" s="44" t="s">
        <v>252</v>
      </c>
      <c r="D13" s="44" t="s">
        <v>84</v>
      </c>
      <c r="E13" s="45"/>
      <c r="F13" s="44" t="s">
        <v>1350</v>
      </c>
      <c r="G13" s="44" t="s">
        <v>254</v>
      </c>
      <c r="H13" s="44" t="s">
        <v>287</v>
      </c>
      <c r="I13" s="44" t="s">
        <v>288</v>
      </c>
      <c r="J13" s="44" t="s">
        <v>1351</v>
      </c>
      <c r="K13" s="44" t="s">
        <v>257</v>
      </c>
      <c r="L13" s="44" t="s">
        <v>287</v>
      </c>
      <c r="M13" s="44" t="s">
        <v>289</v>
      </c>
      <c r="N13" s="44" t="s">
        <v>1352</v>
      </c>
      <c r="O13" s="44" t="s">
        <v>258</v>
      </c>
      <c r="P13" s="44" t="s">
        <v>287</v>
      </c>
      <c r="Q13" s="44" t="s">
        <v>290</v>
      </c>
      <c r="R13" s="46">
        <v>0.3</v>
      </c>
      <c r="S13" s="44">
        <v>100</v>
      </c>
      <c r="T13" s="44" t="s">
        <v>130</v>
      </c>
      <c r="U13" s="44" t="s">
        <v>169</v>
      </c>
      <c r="V13" s="44" t="s">
        <v>259</v>
      </c>
      <c r="W13" s="44" t="s">
        <v>260</v>
      </c>
      <c r="X13" s="44" t="s">
        <v>261</v>
      </c>
      <c r="Y13" s="44"/>
      <c r="Z13" s="44"/>
      <c r="AA13" s="44"/>
      <c r="AB13" s="44" t="s">
        <v>262</v>
      </c>
      <c r="AC13" s="44" t="s">
        <v>262</v>
      </c>
      <c r="AD13" s="44" t="s">
        <v>262</v>
      </c>
      <c r="AE13" s="44" t="s">
        <v>262</v>
      </c>
      <c r="AF13" s="44" t="s">
        <v>263</v>
      </c>
      <c r="AG13" s="44" t="s">
        <v>263</v>
      </c>
      <c r="AH13" s="44" t="s">
        <v>262</v>
      </c>
      <c r="AI13" s="44">
        <v>0.05</v>
      </c>
      <c r="AJ13" s="47" t="s">
        <v>263</v>
      </c>
    </row>
    <row r="14" spans="1:36" x14ac:dyDescent="0.45">
      <c r="A14" s="43">
        <v>13</v>
      </c>
      <c r="C14" s="44" t="s">
        <v>252</v>
      </c>
      <c r="D14" s="44" t="s">
        <v>84</v>
      </c>
      <c r="E14" s="45"/>
      <c r="F14" s="44" t="s">
        <v>1350</v>
      </c>
      <c r="G14" s="44" t="s">
        <v>254</v>
      </c>
      <c r="H14" s="44" t="s">
        <v>268</v>
      </c>
      <c r="I14" s="44" t="s">
        <v>291</v>
      </c>
      <c r="J14" s="44" t="s">
        <v>1351</v>
      </c>
      <c r="K14" s="44" t="s">
        <v>257</v>
      </c>
      <c r="L14" s="44" t="s">
        <v>268</v>
      </c>
      <c r="M14" s="44" t="s">
        <v>292</v>
      </c>
      <c r="N14" s="44" t="s">
        <v>1352</v>
      </c>
      <c r="O14" s="44" t="s">
        <v>258</v>
      </c>
      <c r="P14" s="44" t="s">
        <v>268</v>
      </c>
      <c r="Q14" s="44" t="s">
        <v>293</v>
      </c>
      <c r="R14" s="46">
        <v>0.5</v>
      </c>
      <c r="S14" s="44">
        <v>100</v>
      </c>
      <c r="T14" s="44" t="s">
        <v>130</v>
      </c>
      <c r="U14" s="44" t="s">
        <v>169</v>
      </c>
      <c r="V14" s="44" t="s">
        <v>259</v>
      </c>
      <c r="W14" s="44" t="s">
        <v>260</v>
      </c>
      <c r="X14" s="44" t="s">
        <v>261</v>
      </c>
      <c r="Y14" s="44"/>
      <c r="Z14" s="44"/>
      <c r="AA14" s="44"/>
      <c r="AB14" s="44" t="s">
        <v>262</v>
      </c>
      <c r="AC14" s="44" t="s">
        <v>262</v>
      </c>
      <c r="AD14" s="44" t="s">
        <v>262</v>
      </c>
      <c r="AE14" s="44" t="s">
        <v>262</v>
      </c>
      <c r="AF14" s="44" t="s">
        <v>263</v>
      </c>
      <c r="AG14" s="44" t="s">
        <v>263</v>
      </c>
      <c r="AH14" s="44" t="s">
        <v>262</v>
      </c>
      <c r="AI14" s="44">
        <v>0.05</v>
      </c>
      <c r="AJ14" s="47" t="s">
        <v>263</v>
      </c>
    </row>
    <row r="15" spans="1:36" x14ac:dyDescent="0.45">
      <c r="A15" s="43">
        <v>14</v>
      </c>
      <c r="C15" s="44" t="s">
        <v>252</v>
      </c>
      <c r="D15" s="44" t="s">
        <v>84</v>
      </c>
      <c r="E15" s="45"/>
      <c r="F15" s="44" t="s">
        <v>1350</v>
      </c>
      <c r="G15" s="44" t="s">
        <v>254</v>
      </c>
      <c r="H15" s="44" t="s">
        <v>294</v>
      </c>
      <c r="I15" s="44" t="s">
        <v>295</v>
      </c>
      <c r="J15" s="44" t="s">
        <v>1351</v>
      </c>
      <c r="K15" s="44" t="s">
        <v>257</v>
      </c>
      <c r="L15" s="44" t="s">
        <v>294</v>
      </c>
      <c r="M15" s="44" t="s">
        <v>296</v>
      </c>
      <c r="N15" s="44" t="s">
        <v>1352</v>
      </c>
      <c r="O15" s="44" t="s">
        <v>258</v>
      </c>
      <c r="P15" s="44" t="s">
        <v>294</v>
      </c>
      <c r="Q15" s="44" t="s">
        <v>297</v>
      </c>
      <c r="R15" s="46">
        <v>0.7</v>
      </c>
      <c r="S15" s="44">
        <v>100</v>
      </c>
      <c r="T15" s="44" t="s">
        <v>130</v>
      </c>
      <c r="U15" s="44" t="s">
        <v>169</v>
      </c>
      <c r="V15" s="44" t="s">
        <v>259</v>
      </c>
      <c r="W15" s="44" t="s">
        <v>260</v>
      </c>
      <c r="X15" s="44" t="s">
        <v>261</v>
      </c>
      <c r="Y15" s="44"/>
      <c r="Z15" s="44"/>
      <c r="AA15" s="44"/>
      <c r="AB15" s="44" t="s">
        <v>262</v>
      </c>
      <c r="AC15" s="44" t="s">
        <v>262</v>
      </c>
      <c r="AD15" s="44" t="s">
        <v>262</v>
      </c>
      <c r="AE15" s="44" t="s">
        <v>262</v>
      </c>
      <c r="AF15" s="44" t="s">
        <v>263</v>
      </c>
      <c r="AG15" s="44" t="s">
        <v>263</v>
      </c>
      <c r="AH15" s="44" t="s">
        <v>262</v>
      </c>
      <c r="AI15" s="44">
        <v>0.05</v>
      </c>
      <c r="AJ15" s="47" t="s">
        <v>263</v>
      </c>
    </row>
    <row r="16" spans="1:36" x14ac:dyDescent="0.45">
      <c r="A16" s="43">
        <v>15</v>
      </c>
      <c r="C16" s="44" t="s">
        <v>252</v>
      </c>
      <c r="D16" s="44" t="s">
        <v>84</v>
      </c>
      <c r="E16" s="45"/>
      <c r="F16" s="44" t="s">
        <v>298</v>
      </c>
      <c r="G16" s="44" t="s">
        <v>254</v>
      </c>
      <c r="H16" s="44" t="s">
        <v>273</v>
      </c>
      <c r="I16" s="44" t="s">
        <v>298</v>
      </c>
      <c r="J16" s="44" t="s">
        <v>298</v>
      </c>
      <c r="K16" s="44" t="s">
        <v>257</v>
      </c>
      <c r="L16" s="44" t="s">
        <v>274</v>
      </c>
      <c r="M16" s="44" t="s">
        <v>298</v>
      </c>
      <c r="N16" s="44" t="s">
        <v>298</v>
      </c>
      <c r="O16" s="44" t="s">
        <v>258</v>
      </c>
      <c r="P16" s="44" t="s">
        <v>275</v>
      </c>
      <c r="Q16" s="44" t="s">
        <v>298</v>
      </c>
      <c r="R16" s="46">
        <v>1</v>
      </c>
      <c r="S16" s="44">
        <v>1</v>
      </c>
      <c r="T16" s="44" t="s">
        <v>137</v>
      </c>
      <c r="U16" s="44" t="s">
        <v>169</v>
      </c>
      <c r="V16" s="44" t="s">
        <v>259</v>
      </c>
      <c r="W16" s="44" t="s">
        <v>260</v>
      </c>
      <c r="X16" s="44" t="s">
        <v>261</v>
      </c>
      <c r="Y16" s="44"/>
      <c r="Z16" s="44"/>
      <c r="AA16" s="44"/>
      <c r="AB16" s="44" t="s">
        <v>262</v>
      </c>
      <c r="AC16" s="44" t="s">
        <v>262</v>
      </c>
      <c r="AD16" s="44" t="s">
        <v>262</v>
      </c>
      <c r="AE16" s="44" t="s">
        <v>262</v>
      </c>
      <c r="AF16" s="44" t="s">
        <v>263</v>
      </c>
      <c r="AG16" s="44" t="s">
        <v>263</v>
      </c>
      <c r="AH16" s="44" t="s">
        <v>262</v>
      </c>
      <c r="AI16" s="44">
        <v>0.05</v>
      </c>
      <c r="AJ16" s="47" t="s">
        <v>263</v>
      </c>
    </row>
    <row r="17" spans="1:36" x14ac:dyDescent="0.45">
      <c r="A17" s="43">
        <v>16</v>
      </c>
      <c r="C17" s="44" t="s">
        <v>252</v>
      </c>
      <c r="D17" s="44" t="s">
        <v>84</v>
      </c>
      <c r="E17" s="45"/>
      <c r="F17" s="44" t="s">
        <v>299</v>
      </c>
      <c r="G17" s="44" t="s">
        <v>254</v>
      </c>
      <c r="H17" s="44" t="s">
        <v>273</v>
      </c>
      <c r="I17" s="44" t="s">
        <v>299</v>
      </c>
      <c r="J17" s="44" t="s">
        <v>299</v>
      </c>
      <c r="K17" s="44" t="s">
        <v>257</v>
      </c>
      <c r="L17" s="44" t="s">
        <v>274</v>
      </c>
      <c r="M17" s="44" t="s">
        <v>299</v>
      </c>
      <c r="N17" s="44" t="s">
        <v>299</v>
      </c>
      <c r="O17" s="44" t="s">
        <v>258</v>
      </c>
      <c r="P17" s="44" t="s">
        <v>275</v>
      </c>
      <c r="Q17" s="44" t="s">
        <v>299</v>
      </c>
      <c r="R17" s="46">
        <v>1</v>
      </c>
      <c r="S17" s="44">
        <v>1</v>
      </c>
      <c r="T17" s="44" t="s">
        <v>137</v>
      </c>
      <c r="U17" s="44" t="s">
        <v>169</v>
      </c>
      <c r="V17" s="44" t="s">
        <v>259</v>
      </c>
      <c r="W17" s="44" t="s">
        <v>260</v>
      </c>
      <c r="X17" s="44" t="s">
        <v>261</v>
      </c>
      <c r="Y17" s="44"/>
      <c r="Z17" s="44"/>
      <c r="AA17" s="44"/>
      <c r="AB17" s="44" t="s">
        <v>262</v>
      </c>
      <c r="AC17" s="44" t="s">
        <v>262</v>
      </c>
      <c r="AD17" s="44" t="s">
        <v>262</v>
      </c>
      <c r="AE17" s="44" t="s">
        <v>262</v>
      </c>
      <c r="AF17" s="44" t="s">
        <v>263</v>
      </c>
      <c r="AG17" s="44" t="s">
        <v>263</v>
      </c>
      <c r="AH17" s="44" t="s">
        <v>262</v>
      </c>
      <c r="AI17" s="44">
        <v>0.05</v>
      </c>
      <c r="AJ17" s="47" t="s">
        <v>263</v>
      </c>
    </row>
    <row r="18" spans="1:36" x14ac:dyDescent="0.45">
      <c r="A18" s="43">
        <v>17</v>
      </c>
      <c r="C18" s="44" t="s">
        <v>252</v>
      </c>
      <c r="D18" s="44" t="s">
        <v>84</v>
      </c>
      <c r="E18" s="45"/>
      <c r="F18" s="44" t="s">
        <v>300</v>
      </c>
      <c r="G18" s="44" t="s">
        <v>254</v>
      </c>
      <c r="H18" s="44" t="s">
        <v>273</v>
      </c>
      <c r="I18" s="44" t="s">
        <v>300</v>
      </c>
      <c r="J18" s="44" t="s">
        <v>300</v>
      </c>
      <c r="K18" s="44" t="s">
        <v>257</v>
      </c>
      <c r="L18" s="44" t="s">
        <v>274</v>
      </c>
      <c r="M18" s="44" t="s">
        <v>300</v>
      </c>
      <c r="N18" s="44" t="s">
        <v>300</v>
      </c>
      <c r="O18" s="44" t="s">
        <v>258</v>
      </c>
      <c r="P18" s="44" t="s">
        <v>275</v>
      </c>
      <c r="Q18" s="44" t="s">
        <v>300</v>
      </c>
      <c r="R18" s="46">
        <v>1</v>
      </c>
      <c r="S18" s="44">
        <v>1</v>
      </c>
      <c r="T18" s="44" t="s">
        <v>137</v>
      </c>
      <c r="U18" s="44" t="s">
        <v>169</v>
      </c>
      <c r="V18" s="44" t="s">
        <v>259</v>
      </c>
      <c r="W18" s="44" t="s">
        <v>260</v>
      </c>
      <c r="X18" s="44" t="s">
        <v>261</v>
      </c>
      <c r="Y18" s="44"/>
      <c r="Z18" s="44"/>
      <c r="AA18" s="44"/>
      <c r="AB18" s="44" t="s">
        <v>262</v>
      </c>
      <c r="AC18" s="44" t="s">
        <v>262</v>
      </c>
      <c r="AD18" s="44" t="s">
        <v>262</v>
      </c>
      <c r="AE18" s="44" t="s">
        <v>262</v>
      </c>
      <c r="AF18" s="44" t="s">
        <v>263</v>
      </c>
      <c r="AG18" s="44" t="s">
        <v>263</v>
      </c>
      <c r="AH18" s="44" t="s">
        <v>262</v>
      </c>
      <c r="AI18" s="44">
        <v>0.05</v>
      </c>
      <c r="AJ18" s="47" t="s">
        <v>263</v>
      </c>
    </row>
    <row r="19" spans="1:36" x14ac:dyDescent="0.45">
      <c r="A19" s="43">
        <v>18</v>
      </c>
      <c r="C19" s="44" t="s">
        <v>252</v>
      </c>
      <c r="D19" s="44" t="s">
        <v>84</v>
      </c>
      <c r="E19" s="45"/>
      <c r="F19" s="44" t="s">
        <v>372</v>
      </c>
      <c r="G19" s="44" t="s">
        <v>254</v>
      </c>
      <c r="H19" s="44" t="s">
        <v>273</v>
      </c>
      <c r="I19" s="44" t="s">
        <v>372</v>
      </c>
      <c r="J19" s="44" t="s">
        <v>373</v>
      </c>
      <c r="K19" s="44" t="s">
        <v>257</v>
      </c>
      <c r="L19" s="44" t="s">
        <v>274</v>
      </c>
      <c r="M19" s="44" t="s">
        <v>373</v>
      </c>
      <c r="N19" s="44" t="s">
        <v>374</v>
      </c>
      <c r="O19" s="44" t="s">
        <v>258</v>
      </c>
      <c r="P19" s="44" t="s">
        <v>275</v>
      </c>
      <c r="Q19" s="44" t="s">
        <v>374</v>
      </c>
      <c r="R19" s="46">
        <v>1</v>
      </c>
      <c r="S19" s="44">
        <v>1</v>
      </c>
      <c r="T19" s="44" t="s">
        <v>137</v>
      </c>
      <c r="U19" s="44" t="s">
        <v>169</v>
      </c>
      <c r="V19" s="44" t="s">
        <v>259</v>
      </c>
      <c r="W19" s="44" t="s">
        <v>375</v>
      </c>
      <c r="X19" s="44" t="s">
        <v>376</v>
      </c>
      <c r="Y19" s="44"/>
      <c r="Z19" s="44"/>
      <c r="AA19" s="44"/>
      <c r="AB19" s="44" t="s">
        <v>262</v>
      </c>
      <c r="AC19" s="44" t="s">
        <v>262</v>
      </c>
      <c r="AD19" s="44" t="s">
        <v>262</v>
      </c>
      <c r="AE19" s="44" t="s">
        <v>262</v>
      </c>
      <c r="AF19" s="44" t="s">
        <v>263</v>
      </c>
      <c r="AG19" s="44" t="s">
        <v>263</v>
      </c>
      <c r="AH19" s="44" t="s">
        <v>262</v>
      </c>
      <c r="AI19" s="44">
        <v>0</v>
      </c>
      <c r="AJ19" s="47" t="s">
        <v>263</v>
      </c>
    </row>
    <row r="20" spans="1:36" x14ac:dyDescent="0.45">
      <c r="A20" s="43">
        <v>19</v>
      </c>
      <c r="C20" s="44" t="s">
        <v>252</v>
      </c>
      <c r="D20" s="44" t="s">
        <v>84</v>
      </c>
      <c r="E20" s="45"/>
      <c r="F20" s="44" t="s">
        <v>378</v>
      </c>
      <c r="G20" s="44" t="s">
        <v>254</v>
      </c>
      <c r="H20" s="44" t="s">
        <v>273</v>
      </c>
      <c r="I20" s="44" t="s">
        <v>378</v>
      </c>
      <c r="J20" s="44" t="s">
        <v>379</v>
      </c>
      <c r="K20" s="44" t="s">
        <v>257</v>
      </c>
      <c r="L20" s="44" t="s">
        <v>274</v>
      </c>
      <c r="M20" s="44" t="s">
        <v>379</v>
      </c>
      <c r="N20" s="44" t="s">
        <v>380</v>
      </c>
      <c r="O20" s="44" t="s">
        <v>258</v>
      </c>
      <c r="P20" s="44" t="s">
        <v>275</v>
      </c>
      <c r="Q20" s="44" t="s">
        <v>380</v>
      </c>
      <c r="R20" s="46">
        <v>1</v>
      </c>
      <c r="S20" s="44">
        <v>1</v>
      </c>
      <c r="T20" s="44" t="s">
        <v>137</v>
      </c>
      <c r="U20" s="44" t="s">
        <v>169</v>
      </c>
      <c r="V20" s="44" t="s">
        <v>259</v>
      </c>
      <c r="W20" s="44" t="s">
        <v>375</v>
      </c>
      <c r="X20" s="44" t="s">
        <v>381</v>
      </c>
      <c r="Y20" s="44"/>
      <c r="Z20" s="44"/>
      <c r="AA20" s="44"/>
      <c r="AB20" s="44" t="s">
        <v>262</v>
      </c>
      <c r="AC20" s="44" t="s">
        <v>262</v>
      </c>
      <c r="AD20" s="44" t="s">
        <v>262</v>
      </c>
      <c r="AE20" s="44" t="s">
        <v>262</v>
      </c>
      <c r="AF20" s="44" t="s">
        <v>263</v>
      </c>
      <c r="AG20" s="44" t="s">
        <v>263</v>
      </c>
      <c r="AH20" s="44" t="s">
        <v>262</v>
      </c>
      <c r="AI20" s="44">
        <v>0</v>
      </c>
      <c r="AJ20" s="47" t="s">
        <v>263</v>
      </c>
    </row>
    <row r="21" spans="1:36" x14ac:dyDescent="0.45">
      <c r="A21" s="43">
        <v>20</v>
      </c>
      <c r="C21" s="44" t="s">
        <v>252</v>
      </c>
      <c r="D21" s="44" t="s">
        <v>84</v>
      </c>
      <c r="E21" s="45"/>
      <c r="F21" s="44" t="s">
        <v>382</v>
      </c>
      <c r="G21" s="44" t="s">
        <v>254</v>
      </c>
      <c r="H21" s="44" t="s">
        <v>273</v>
      </c>
      <c r="I21" s="44" t="s">
        <v>382</v>
      </c>
      <c r="J21" s="44" t="s">
        <v>383</v>
      </c>
      <c r="K21" s="44" t="s">
        <v>257</v>
      </c>
      <c r="L21" s="44" t="s">
        <v>274</v>
      </c>
      <c r="M21" s="44" t="s">
        <v>383</v>
      </c>
      <c r="N21" s="44" t="s">
        <v>384</v>
      </c>
      <c r="O21" s="44" t="s">
        <v>258</v>
      </c>
      <c r="P21" s="44" t="s">
        <v>275</v>
      </c>
      <c r="Q21" s="44" t="s">
        <v>384</v>
      </c>
      <c r="R21" s="46">
        <v>1</v>
      </c>
      <c r="S21" s="44">
        <v>1</v>
      </c>
      <c r="T21" s="44" t="s">
        <v>137</v>
      </c>
      <c r="U21" s="44" t="s">
        <v>169</v>
      </c>
      <c r="V21" s="44" t="s">
        <v>259</v>
      </c>
      <c r="W21" s="44" t="s">
        <v>385</v>
      </c>
      <c r="X21" s="44" t="s">
        <v>385</v>
      </c>
      <c r="Y21" s="44"/>
      <c r="Z21" s="44"/>
      <c r="AA21" s="44"/>
      <c r="AB21" s="44" t="s">
        <v>262</v>
      </c>
      <c r="AC21" s="44" t="s">
        <v>262</v>
      </c>
      <c r="AD21" s="44" t="s">
        <v>262</v>
      </c>
      <c r="AE21" s="44" t="s">
        <v>262</v>
      </c>
      <c r="AF21" s="44" t="s">
        <v>263</v>
      </c>
      <c r="AG21" s="44" t="s">
        <v>263</v>
      </c>
      <c r="AH21" s="44" t="s">
        <v>262</v>
      </c>
      <c r="AI21" s="44">
        <v>0</v>
      </c>
      <c r="AJ21" s="47" t="s">
        <v>263</v>
      </c>
    </row>
    <row r="22" spans="1:36" x14ac:dyDescent="0.45">
      <c r="A22" s="43">
        <v>21</v>
      </c>
      <c r="C22" s="44" t="s">
        <v>252</v>
      </c>
      <c r="D22" s="44" t="s">
        <v>84</v>
      </c>
      <c r="E22" s="45"/>
      <c r="F22" s="44" t="s">
        <v>386</v>
      </c>
      <c r="G22" s="44" t="s">
        <v>254</v>
      </c>
      <c r="H22" s="44" t="s">
        <v>387</v>
      </c>
      <c r="I22" s="44" t="s">
        <v>388</v>
      </c>
      <c r="J22" s="44" t="s">
        <v>389</v>
      </c>
      <c r="K22" s="44" t="s">
        <v>257</v>
      </c>
      <c r="L22" s="44" t="s">
        <v>387</v>
      </c>
      <c r="M22" s="44" t="s">
        <v>390</v>
      </c>
      <c r="N22" s="44" t="s">
        <v>391</v>
      </c>
      <c r="O22" s="44" t="s">
        <v>258</v>
      </c>
      <c r="P22" s="44" t="s">
        <v>387</v>
      </c>
      <c r="Q22" s="44" t="s">
        <v>392</v>
      </c>
      <c r="R22" s="46">
        <v>1</v>
      </c>
      <c r="S22" s="44">
        <v>1</v>
      </c>
      <c r="T22" s="44" t="s">
        <v>133</v>
      </c>
      <c r="U22" s="44" t="s">
        <v>169</v>
      </c>
      <c r="V22" s="44" t="s">
        <v>259</v>
      </c>
      <c r="W22" s="44" t="s">
        <v>385</v>
      </c>
      <c r="X22" s="44" t="s">
        <v>385</v>
      </c>
      <c r="Y22" s="44"/>
      <c r="Z22" s="44"/>
      <c r="AA22" s="44"/>
      <c r="AB22" s="44" t="s">
        <v>262</v>
      </c>
      <c r="AC22" s="44" t="s">
        <v>262</v>
      </c>
      <c r="AD22" s="44" t="s">
        <v>262</v>
      </c>
      <c r="AE22" s="44" t="s">
        <v>262</v>
      </c>
      <c r="AF22" s="44" t="s">
        <v>263</v>
      </c>
      <c r="AG22" s="44" t="s">
        <v>263</v>
      </c>
      <c r="AH22" s="44" t="s">
        <v>262</v>
      </c>
      <c r="AI22" s="44">
        <v>0</v>
      </c>
      <c r="AJ22" s="47" t="s">
        <v>263</v>
      </c>
    </row>
    <row r="23" spans="1:36" x14ac:dyDescent="0.45">
      <c r="A23" s="43">
        <v>22</v>
      </c>
      <c r="C23" s="44" t="s">
        <v>252</v>
      </c>
      <c r="D23" s="44" t="s">
        <v>84</v>
      </c>
      <c r="E23" s="45"/>
      <c r="F23" s="44" t="s">
        <v>301</v>
      </c>
      <c r="G23" s="44" t="s">
        <v>254</v>
      </c>
      <c r="H23" s="44" t="s">
        <v>268</v>
      </c>
      <c r="I23" s="44" t="s">
        <v>302</v>
      </c>
      <c r="J23" s="44" t="s">
        <v>303</v>
      </c>
      <c r="K23" s="44" t="s">
        <v>257</v>
      </c>
      <c r="L23" s="44" t="s">
        <v>268</v>
      </c>
      <c r="M23" s="44" t="s">
        <v>304</v>
      </c>
      <c r="N23" s="44" t="s">
        <v>305</v>
      </c>
      <c r="O23" s="44" t="s">
        <v>258</v>
      </c>
      <c r="P23" s="44" t="s">
        <v>268</v>
      </c>
      <c r="Q23" s="44" t="s">
        <v>306</v>
      </c>
      <c r="R23" s="46">
        <v>0.5</v>
      </c>
      <c r="S23" s="44">
        <v>100</v>
      </c>
      <c r="T23" s="44" t="s">
        <v>130</v>
      </c>
      <c r="U23" s="44" t="s">
        <v>169</v>
      </c>
      <c r="V23" s="44" t="s">
        <v>259</v>
      </c>
      <c r="W23" s="44" t="s">
        <v>260</v>
      </c>
      <c r="X23" s="44" t="s">
        <v>261</v>
      </c>
      <c r="Y23" s="44"/>
      <c r="Z23" s="44"/>
      <c r="AA23" s="44"/>
      <c r="AB23" s="44" t="s">
        <v>262</v>
      </c>
      <c r="AC23" s="44" t="s">
        <v>262</v>
      </c>
      <c r="AD23" s="44" t="s">
        <v>262</v>
      </c>
      <c r="AE23" s="44" t="s">
        <v>262</v>
      </c>
      <c r="AF23" s="44" t="s">
        <v>263</v>
      </c>
      <c r="AG23" s="44" t="s">
        <v>263</v>
      </c>
      <c r="AH23" s="44" t="s">
        <v>262</v>
      </c>
      <c r="AI23" s="44">
        <v>0.05</v>
      </c>
      <c r="AJ23" s="47" t="s">
        <v>263</v>
      </c>
    </row>
    <row r="24" spans="1:36" x14ac:dyDescent="0.45">
      <c r="A24" s="43">
        <v>23</v>
      </c>
      <c r="C24" s="44" t="s">
        <v>252</v>
      </c>
      <c r="D24" s="44" t="s">
        <v>84</v>
      </c>
      <c r="E24" s="45"/>
      <c r="F24" s="44" t="s">
        <v>301</v>
      </c>
      <c r="G24" s="44" t="s">
        <v>254</v>
      </c>
      <c r="H24" s="44" t="s">
        <v>307</v>
      </c>
      <c r="I24" s="44" t="s">
        <v>308</v>
      </c>
      <c r="J24" s="44" t="s">
        <v>303</v>
      </c>
      <c r="K24" s="44" t="s">
        <v>257</v>
      </c>
      <c r="L24" s="44" t="s">
        <v>307</v>
      </c>
      <c r="M24" s="44" t="s">
        <v>309</v>
      </c>
      <c r="N24" s="44" t="s">
        <v>305</v>
      </c>
      <c r="O24" s="44" t="s">
        <v>258</v>
      </c>
      <c r="P24" s="44" t="s">
        <v>307</v>
      </c>
      <c r="Q24" s="44" t="s">
        <v>310</v>
      </c>
      <c r="R24" s="46">
        <v>1</v>
      </c>
      <c r="S24" s="44">
        <v>100</v>
      </c>
      <c r="T24" s="44" t="s">
        <v>130</v>
      </c>
      <c r="U24" s="44" t="s">
        <v>169</v>
      </c>
      <c r="V24" s="44" t="s">
        <v>259</v>
      </c>
      <c r="W24" s="44" t="s">
        <v>260</v>
      </c>
      <c r="X24" s="44" t="s">
        <v>261</v>
      </c>
      <c r="Y24" s="44"/>
      <c r="Z24" s="44"/>
      <c r="AA24" s="44"/>
      <c r="AB24" s="44" t="s">
        <v>262</v>
      </c>
      <c r="AC24" s="44" t="s">
        <v>262</v>
      </c>
      <c r="AD24" s="44" t="s">
        <v>262</v>
      </c>
      <c r="AE24" s="44" t="s">
        <v>262</v>
      </c>
      <c r="AF24" s="44" t="s">
        <v>263</v>
      </c>
      <c r="AG24" s="44" t="s">
        <v>263</v>
      </c>
      <c r="AH24" s="44" t="s">
        <v>262</v>
      </c>
      <c r="AI24" s="44">
        <v>0.05</v>
      </c>
      <c r="AJ24" s="47" t="s">
        <v>263</v>
      </c>
    </row>
    <row r="25" spans="1:36" x14ac:dyDescent="0.45">
      <c r="A25" s="43">
        <v>24</v>
      </c>
      <c r="C25" s="44" t="s">
        <v>252</v>
      </c>
      <c r="D25" s="44" t="s">
        <v>84</v>
      </c>
      <c r="E25" s="45"/>
      <c r="F25" s="44" t="s">
        <v>301</v>
      </c>
      <c r="G25" s="44" t="s">
        <v>254</v>
      </c>
      <c r="H25" s="44" t="s">
        <v>255</v>
      </c>
      <c r="I25" s="44" t="s">
        <v>311</v>
      </c>
      <c r="J25" s="44" t="s">
        <v>303</v>
      </c>
      <c r="K25" s="44" t="s">
        <v>257</v>
      </c>
      <c r="L25" s="44" t="s">
        <v>255</v>
      </c>
      <c r="M25" s="44" t="s">
        <v>312</v>
      </c>
      <c r="N25" s="44" t="s">
        <v>305</v>
      </c>
      <c r="O25" s="44" t="s">
        <v>258</v>
      </c>
      <c r="P25" s="44" t="s">
        <v>255</v>
      </c>
      <c r="Q25" s="44" t="s">
        <v>313</v>
      </c>
      <c r="R25" s="46">
        <v>0.25</v>
      </c>
      <c r="S25" s="44">
        <v>100</v>
      </c>
      <c r="T25" s="44" t="s">
        <v>130</v>
      </c>
      <c r="U25" s="44" t="s">
        <v>169</v>
      </c>
      <c r="V25" s="44" t="s">
        <v>259</v>
      </c>
      <c r="W25" s="44" t="s">
        <v>260</v>
      </c>
      <c r="X25" s="44" t="s">
        <v>261</v>
      </c>
      <c r="Y25" s="44"/>
      <c r="Z25" s="44"/>
      <c r="AA25" s="44"/>
      <c r="AB25" s="44" t="s">
        <v>262</v>
      </c>
      <c r="AC25" s="44" t="s">
        <v>262</v>
      </c>
      <c r="AD25" s="44" t="s">
        <v>262</v>
      </c>
      <c r="AE25" s="44" t="s">
        <v>262</v>
      </c>
      <c r="AF25" s="44" t="s">
        <v>263</v>
      </c>
      <c r="AG25" s="44" t="s">
        <v>263</v>
      </c>
      <c r="AH25" s="44" t="s">
        <v>262</v>
      </c>
      <c r="AI25" s="44">
        <v>0.05</v>
      </c>
      <c r="AJ25" s="47" t="s">
        <v>263</v>
      </c>
    </row>
    <row r="26" spans="1:36" x14ac:dyDescent="0.45">
      <c r="A26" s="43">
        <v>25</v>
      </c>
      <c r="C26" s="44" t="s">
        <v>252</v>
      </c>
      <c r="D26" s="44" t="s">
        <v>84</v>
      </c>
      <c r="E26" s="45"/>
      <c r="F26" s="44" t="s">
        <v>1353</v>
      </c>
      <c r="G26" s="44" t="s">
        <v>254</v>
      </c>
      <c r="H26" s="44" t="s">
        <v>273</v>
      </c>
      <c r="I26" s="44" t="s">
        <v>1353</v>
      </c>
      <c r="J26" s="44" t="s">
        <v>1354</v>
      </c>
      <c r="K26" s="44" t="s">
        <v>257</v>
      </c>
      <c r="L26" s="44" t="s">
        <v>274</v>
      </c>
      <c r="M26" s="44" t="s">
        <v>1354</v>
      </c>
      <c r="N26" s="44" t="s">
        <v>1355</v>
      </c>
      <c r="O26" s="44" t="s">
        <v>258</v>
      </c>
      <c r="P26" s="44" t="s">
        <v>275</v>
      </c>
      <c r="Q26" s="44" t="s">
        <v>1355</v>
      </c>
      <c r="R26" s="46">
        <v>1</v>
      </c>
      <c r="S26" s="44">
        <v>1</v>
      </c>
      <c r="T26" s="44" t="s">
        <v>137</v>
      </c>
      <c r="U26" s="44" t="s">
        <v>169</v>
      </c>
      <c r="V26" s="44" t="s">
        <v>259</v>
      </c>
      <c r="W26" s="44" t="s">
        <v>260</v>
      </c>
      <c r="X26" s="44" t="s">
        <v>261</v>
      </c>
      <c r="Y26" s="44"/>
      <c r="Z26" s="44"/>
      <c r="AA26" s="44"/>
      <c r="AB26" s="44" t="s">
        <v>262</v>
      </c>
      <c r="AC26" s="44" t="s">
        <v>262</v>
      </c>
      <c r="AD26" s="44" t="s">
        <v>262</v>
      </c>
      <c r="AE26" s="44" t="s">
        <v>262</v>
      </c>
      <c r="AF26" s="44" t="s">
        <v>263</v>
      </c>
      <c r="AG26" s="44" t="s">
        <v>263</v>
      </c>
      <c r="AH26" s="44" t="s">
        <v>262</v>
      </c>
      <c r="AI26" s="44">
        <v>0.05</v>
      </c>
      <c r="AJ26" s="47" t="s">
        <v>263</v>
      </c>
    </row>
    <row r="27" spans="1:36" x14ac:dyDescent="0.45">
      <c r="A27" s="43">
        <v>26</v>
      </c>
      <c r="C27" s="44" t="s">
        <v>252</v>
      </c>
      <c r="D27" s="44" t="s">
        <v>84</v>
      </c>
      <c r="E27" s="45"/>
      <c r="F27" s="44" t="s">
        <v>1356</v>
      </c>
      <c r="G27" s="44" t="s">
        <v>254</v>
      </c>
      <c r="H27" s="44" t="s">
        <v>273</v>
      </c>
      <c r="I27" s="44" t="s">
        <v>1356</v>
      </c>
      <c r="J27" s="44" t="s">
        <v>1357</v>
      </c>
      <c r="K27" s="44" t="s">
        <v>257</v>
      </c>
      <c r="L27" s="44" t="s">
        <v>274</v>
      </c>
      <c r="M27" s="44" t="s">
        <v>1357</v>
      </c>
      <c r="N27" s="44" t="s">
        <v>314</v>
      </c>
      <c r="O27" s="44" t="s">
        <v>258</v>
      </c>
      <c r="P27" s="44" t="s">
        <v>275</v>
      </c>
      <c r="Q27" s="44" t="s">
        <v>314</v>
      </c>
      <c r="R27" s="46">
        <v>1</v>
      </c>
      <c r="S27" s="44">
        <v>1</v>
      </c>
      <c r="T27" s="44" t="s">
        <v>137</v>
      </c>
      <c r="U27" s="44" t="s">
        <v>169</v>
      </c>
      <c r="V27" s="44" t="s">
        <v>259</v>
      </c>
      <c r="W27" s="44" t="s">
        <v>260</v>
      </c>
      <c r="X27" s="44" t="s">
        <v>261</v>
      </c>
      <c r="Y27" s="44"/>
      <c r="Z27" s="44"/>
      <c r="AA27" s="44"/>
      <c r="AB27" s="44" t="s">
        <v>262</v>
      </c>
      <c r="AC27" s="44" t="s">
        <v>262</v>
      </c>
      <c r="AD27" s="44" t="s">
        <v>262</v>
      </c>
      <c r="AE27" s="44" t="s">
        <v>262</v>
      </c>
      <c r="AF27" s="44" t="s">
        <v>263</v>
      </c>
      <c r="AG27" s="44" t="s">
        <v>263</v>
      </c>
      <c r="AH27" s="44" t="s">
        <v>262</v>
      </c>
      <c r="AI27" s="44">
        <v>0.05</v>
      </c>
      <c r="AJ27" s="47" t="s">
        <v>263</v>
      </c>
    </row>
    <row r="28" spans="1:36" x14ac:dyDescent="0.45">
      <c r="A28" s="43">
        <v>27</v>
      </c>
      <c r="C28" s="44" t="s">
        <v>252</v>
      </c>
      <c r="D28" s="44" t="s">
        <v>84</v>
      </c>
      <c r="E28" s="45"/>
      <c r="F28" s="44" t="s">
        <v>1358</v>
      </c>
      <c r="G28" s="44" t="s">
        <v>254</v>
      </c>
      <c r="H28" s="44" t="s">
        <v>273</v>
      </c>
      <c r="I28" s="44" t="s">
        <v>1358</v>
      </c>
      <c r="J28" s="44" t="s">
        <v>1359</v>
      </c>
      <c r="K28" s="44" t="s">
        <v>257</v>
      </c>
      <c r="L28" s="44" t="s">
        <v>274</v>
      </c>
      <c r="M28" s="44" t="s">
        <v>1359</v>
      </c>
      <c r="N28" s="44" t="s">
        <v>315</v>
      </c>
      <c r="O28" s="44" t="s">
        <v>258</v>
      </c>
      <c r="P28" s="44" t="s">
        <v>275</v>
      </c>
      <c r="Q28" s="44" t="s">
        <v>315</v>
      </c>
      <c r="R28" s="46">
        <v>1</v>
      </c>
      <c r="S28" s="44">
        <v>1</v>
      </c>
      <c r="T28" s="44" t="s">
        <v>137</v>
      </c>
      <c r="U28" s="44" t="s">
        <v>169</v>
      </c>
      <c r="V28" s="44" t="s">
        <v>259</v>
      </c>
      <c r="W28" s="44" t="s">
        <v>260</v>
      </c>
      <c r="X28" s="44" t="s">
        <v>261</v>
      </c>
      <c r="Y28" s="44"/>
      <c r="Z28" s="44"/>
      <c r="AA28" s="44"/>
      <c r="AB28" s="44" t="s">
        <v>262</v>
      </c>
      <c r="AC28" s="44" t="s">
        <v>262</v>
      </c>
      <c r="AD28" s="44" t="s">
        <v>262</v>
      </c>
      <c r="AE28" s="44" t="s">
        <v>262</v>
      </c>
      <c r="AF28" s="44" t="s">
        <v>263</v>
      </c>
      <c r="AG28" s="44" t="s">
        <v>263</v>
      </c>
      <c r="AH28" s="44" t="s">
        <v>262</v>
      </c>
      <c r="AI28" s="44">
        <v>0.05</v>
      </c>
      <c r="AJ28" s="47" t="s">
        <v>263</v>
      </c>
    </row>
    <row r="29" spans="1:36" x14ac:dyDescent="0.45">
      <c r="A29" s="43">
        <v>28</v>
      </c>
      <c r="C29" s="44" t="s">
        <v>252</v>
      </c>
      <c r="D29" s="44" t="s">
        <v>84</v>
      </c>
      <c r="E29" s="45"/>
      <c r="F29" s="44" t="s">
        <v>1360</v>
      </c>
      <c r="G29" s="44" t="s">
        <v>254</v>
      </c>
      <c r="H29" s="44" t="s">
        <v>273</v>
      </c>
      <c r="I29" s="44" t="s">
        <v>1360</v>
      </c>
      <c r="J29" s="44" t="s">
        <v>316</v>
      </c>
      <c r="K29" s="44" t="s">
        <v>257</v>
      </c>
      <c r="L29" s="44" t="s">
        <v>274</v>
      </c>
      <c r="M29" s="44" t="s">
        <v>316</v>
      </c>
      <c r="N29" s="44" t="s">
        <v>317</v>
      </c>
      <c r="O29" s="44" t="s">
        <v>258</v>
      </c>
      <c r="P29" s="44" t="s">
        <v>275</v>
      </c>
      <c r="Q29" s="44" t="s">
        <v>317</v>
      </c>
      <c r="R29" s="46">
        <v>1</v>
      </c>
      <c r="S29" s="44">
        <v>1</v>
      </c>
      <c r="T29" s="44" t="s">
        <v>137</v>
      </c>
      <c r="U29" s="44" t="s">
        <v>169</v>
      </c>
      <c r="V29" s="44" t="s">
        <v>259</v>
      </c>
      <c r="W29" s="44" t="s">
        <v>260</v>
      </c>
      <c r="X29" s="44" t="s">
        <v>261</v>
      </c>
      <c r="Y29" s="44"/>
      <c r="Z29" s="44"/>
      <c r="AA29" s="44"/>
      <c r="AB29" s="44" t="s">
        <v>262</v>
      </c>
      <c r="AC29" s="44" t="s">
        <v>262</v>
      </c>
      <c r="AD29" s="44" t="s">
        <v>262</v>
      </c>
      <c r="AE29" s="44" t="s">
        <v>262</v>
      </c>
      <c r="AF29" s="44" t="s">
        <v>263</v>
      </c>
      <c r="AG29" s="44" t="s">
        <v>263</v>
      </c>
      <c r="AH29" s="44" t="s">
        <v>262</v>
      </c>
      <c r="AI29" s="44">
        <v>0.05</v>
      </c>
      <c r="AJ29" s="47" t="s">
        <v>263</v>
      </c>
    </row>
    <row r="30" spans="1:36" x14ac:dyDescent="0.45">
      <c r="A30" s="43">
        <v>29</v>
      </c>
      <c r="C30" s="44" t="s">
        <v>252</v>
      </c>
      <c r="D30" s="44" t="s">
        <v>84</v>
      </c>
      <c r="E30" s="45"/>
      <c r="F30" s="44" t="s">
        <v>319</v>
      </c>
      <c r="G30" s="44" t="s">
        <v>254</v>
      </c>
      <c r="H30" s="44" t="s">
        <v>273</v>
      </c>
      <c r="I30" s="44" t="s">
        <v>319</v>
      </c>
      <c r="J30" s="44" t="s">
        <v>318</v>
      </c>
      <c r="K30" s="44" t="s">
        <v>257</v>
      </c>
      <c r="L30" s="44" t="s">
        <v>274</v>
      </c>
      <c r="M30" s="44" t="s">
        <v>319</v>
      </c>
      <c r="N30" s="44" t="s">
        <v>1361</v>
      </c>
      <c r="O30" s="44" t="s">
        <v>258</v>
      </c>
      <c r="P30" s="44" t="s">
        <v>275</v>
      </c>
      <c r="Q30" s="44" t="s">
        <v>1361</v>
      </c>
      <c r="R30" s="46">
        <v>1</v>
      </c>
      <c r="S30" s="44">
        <v>1</v>
      </c>
      <c r="T30" s="44" t="s">
        <v>137</v>
      </c>
      <c r="U30" s="44" t="s">
        <v>169</v>
      </c>
      <c r="V30" s="44" t="s">
        <v>259</v>
      </c>
      <c r="W30" s="44" t="s">
        <v>260</v>
      </c>
      <c r="X30" s="44" t="s">
        <v>261</v>
      </c>
      <c r="Y30" s="44"/>
      <c r="Z30" s="44"/>
      <c r="AA30" s="44"/>
      <c r="AB30" s="44" t="s">
        <v>262</v>
      </c>
      <c r="AC30" s="44" t="s">
        <v>262</v>
      </c>
      <c r="AD30" s="44" t="s">
        <v>262</v>
      </c>
      <c r="AE30" s="44" t="s">
        <v>262</v>
      </c>
      <c r="AF30" s="44" t="s">
        <v>263</v>
      </c>
      <c r="AG30" s="44" t="s">
        <v>263</v>
      </c>
      <c r="AH30" s="44" t="s">
        <v>262</v>
      </c>
      <c r="AI30" s="44">
        <v>0.05</v>
      </c>
      <c r="AJ30" s="47" t="s">
        <v>263</v>
      </c>
    </row>
    <row r="31" spans="1:36" x14ac:dyDescent="0.45">
      <c r="A31" s="43">
        <v>30</v>
      </c>
      <c r="C31" s="44" t="s">
        <v>252</v>
      </c>
      <c r="D31" s="44" t="s">
        <v>84</v>
      </c>
      <c r="E31" s="45"/>
      <c r="F31" s="44" t="s">
        <v>1362</v>
      </c>
      <c r="G31" s="44" t="s">
        <v>254</v>
      </c>
      <c r="H31" s="44" t="s">
        <v>273</v>
      </c>
      <c r="I31" s="44" t="s">
        <v>1362</v>
      </c>
      <c r="J31" s="44" t="s">
        <v>320</v>
      </c>
      <c r="K31" s="44" t="s">
        <v>257</v>
      </c>
      <c r="L31" s="44" t="s">
        <v>274</v>
      </c>
      <c r="M31" s="44" t="s">
        <v>320</v>
      </c>
      <c r="N31" s="44" t="s">
        <v>321</v>
      </c>
      <c r="O31" s="44" t="s">
        <v>258</v>
      </c>
      <c r="P31" s="44" t="s">
        <v>275</v>
      </c>
      <c r="Q31" s="44" t="s">
        <v>321</v>
      </c>
      <c r="R31" s="46">
        <v>1</v>
      </c>
      <c r="S31" s="44">
        <v>1</v>
      </c>
      <c r="T31" s="44" t="s">
        <v>137</v>
      </c>
      <c r="U31" s="44" t="s">
        <v>169</v>
      </c>
      <c r="V31" s="44" t="s">
        <v>259</v>
      </c>
      <c r="W31" s="44" t="s">
        <v>260</v>
      </c>
      <c r="X31" s="44" t="s">
        <v>261</v>
      </c>
      <c r="Y31" s="44"/>
      <c r="Z31" s="44"/>
      <c r="AA31" s="44"/>
      <c r="AB31" s="44" t="s">
        <v>262</v>
      </c>
      <c r="AC31" s="44" t="s">
        <v>262</v>
      </c>
      <c r="AD31" s="44" t="s">
        <v>262</v>
      </c>
      <c r="AE31" s="44" t="s">
        <v>262</v>
      </c>
      <c r="AF31" s="44" t="s">
        <v>263</v>
      </c>
      <c r="AG31" s="44" t="s">
        <v>263</v>
      </c>
      <c r="AH31" s="44" t="s">
        <v>262</v>
      </c>
      <c r="AI31" s="44">
        <v>0.05</v>
      </c>
      <c r="AJ31" s="47" t="s">
        <v>263</v>
      </c>
    </row>
    <row r="32" spans="1:36" x14ac:dyDescent="0.45">
      <c r="A32" s="43">
        <v>31</v>
      </c>
      <c r="C32" s="44" t="s">
        <v>252</v>
      </c>
      <c r="D32" s="44" t="s">
        <v>84</v>
      </c>
      <c r="E32" s="45"/>
      <c r="F32" s="44" t="s">
        <v>1363</v>
      </c>
      <c r="G32" s="44" t="s">
        <v>254</v>
      </c>
      <c r="H32" s="44" t="s">
        <v>273</v>
      </c>
      <c r="I32" s="44" t="s">
        <v>1363</v>
      </c>
      <c r="J32" s="44" t="s">
        <v>322</v>
      </c>
      <c r="K32" s="44" t="s">
        <v>257</v>
      </c>
      <c r="L32" s="44" t="s">
        <v>274</v>
      </c>
      <c r="M32" s="44" t="s">
        <v>322</v>
      </c>
      <c r="N32" s="44" t="s">
        <v>323</v>
      </c>
      <c r="O32" s="44" t="s">
        <v>258</v>
      </c>
      <c r="P32" s="44" t="s">
        <v>275</v>
      </c>
      <c r="Q32" s="44" t="s">
        <v>323</v>
      </c>
      <c r="R32" s="46">
        <v>1</v>
      </c>
      <c r="S32" s="44">
        <v>1</v>
      </c>
      <c r="T32" s="44" t="s">
        <v>137</v>
      </c>
      <c r="U32" s="44" t="s">
        <v>169</v>
      </c>
      <c r="V32" s="44" t="s">
        <v>259</v>
      </c>
      <c r="W32" s="44" t="s">
        <v>260</v>
      </c>
      <c r="X32" s="44" t="s">
        <v>261</v>
      </c>
      <c r="Y32" s="44"/>
      <c r="Z32" s="44"/>
      <c r="AA32" s="44"/>
      <c r="AB32" s="44" t="s">
        <v>262</v>
      </c>
      <c r="AC32" s="44" t="s">
        <v>262</v>
      </c>
      <c r="AD32" s="44" t="s">
        <v>262</v>
      </c>
      <c r="AE32" s="44" t="s">
        <v>262</v>
      </c>
      <c r="AF32" s="44" t="s">
        <v>263</v>
      </c>
      <c r="AG32" s="44" t="s">
        <v>263</v>
      </c>
      <c r="AH32" s="44" t="s">
        <v>262</v>
      </c>
      <c r="AI32" s="44">
        <v>0.05</v>
      </c>
      <c r="AJ32" s="47" t="s">
        <v>263</v>
      </c>
    </row>
    <row r="33" spans="1:36" x14ac:dyDescent="0.45">
      <c r="A33" s="43">
        <v>33</v>
      </c>
      <c r="C33" s="44" t="s">
        <v>252</v>
      </c>
      <c r="D33" s="44" t="s">
        <v>84</v>
      </c>
      <c r="E33" s="45"/>
      <c r="F33" s="44" t="s">
        <v>324</v>
      </c>
      <c r="G33" s="44" t="s">
        <v>254</v>
      </c>
      <c r="H33" s="44" t="s">
        <v>273</v>
      </c>
      <c r="I33" s="44" t="s">
        <v>324</v>
      </c>
      <c r="J33" s="44" t="s">
        <v>324</v>
      </c>
      <c r="K33" s="44" t="s">
        <v>257</v>
      </c>
      <c r="L33" s="44" t="s">
        <v>274</v>
      </c>
      <c r="M33" s="44" t="s">
        <v>324</v>
      </c>
      <c r="N33" s="44" t="s">
        <v>324</v>
      </c>
      <c r="O33" s="44" t="s">
        <v>258</v>
      </c>
      <c r="P33" s="44" t="s">
        <v>275</v>
      </c>
      <c r="Q33" s="44" t="s">
        <v>324</v>
      </c>
      <c r="R33" s="46">
        <v>1</v>
      </c>
      <c r="S33" s="44">
        <v>1</v>
      </c>
      <c r="T33" s="44" t="s">
        <v>137</v>
      </c>
      <c r="U33" s="44" t="s">
        <v>169</v>
      </c>
      <c r="V33" s="44" t="s">
        <v>259</v>
      </c>
      <c r="W33" s="44" t="s">
        <v>260</v>
      </c>
      <c r="X33" s="44" t="s">
        <v>261</v>
      </c>
      <c r="Y33" s="44"/>
      <c r="Z33" s="44"/>
      <c r="AA33" s="44"/>
      <c r="AB33" s="44" t="s">
        <v>262</v>
      </c>
      <c r="AC33" s="44" t="s">
        <v>262</v>
      </c>
      <c r="AD33" s="44" t="s">
        <v>262</v>
      </c>
      <c r="AE33" s="44" t="s">
        <v>262</v>
      </c>
      <c r="AF33" s="44" t="s">
        <v>263</v>
      </c>
      <c r="AG33" s="44" t="s">
        <v>263</v>
      </c>
      <c r="AH33" s="44" t="s">
        <v>262</v>
      </c>
      <c r="AI33" s="44">
        <v>0.05</v>
      </c>
      <c r="AJ33" s="47" t="s">
        <v>263</v>
      </c>
    </row>
    <row r="34" spans="1:36" x14ac:dyDescent="0.45">
      <c r="A34" s="43">
        <v>34</v>
      </c>
      <c r="C34" s="44" t="s">
        <v>252</v>
      </c>
      <c r="D34" s="44" t="s">
        <v>84</v>
      </c>
      <c r="E34" s="45"/>
      <c r="F34" s="44" t="s">
        <v>377</v>
      </c>
      <c r="G34" s="44" t="s">
        <v>254</v>
      </c>
      <c r="H34" s="44" t="s">
        <v>273</v>
      </c>
      <c r="I34" s="44" t="s">
        <v>377</v>
      </c>
      <c r="J34" s="44" t="s">
        <v>377</v>
      </c>
      <c r="K34" s="44" t="s">
        <v>257</v>
      </c>
      <c r="L34" s="44" t="s">
        <v>274</v>
      </c>
      <c r="M34" s="44" t="s">
        <v>377</v>
      </c>
      <c r="N34" s="44" t="s">
        <v>377</v>
      </c>
      <c r="O34" s="44" t="s">
        <v>258</v>
      </c>
      <c r="P34" s="44" t="s">
        <v>275</v>
      </c>
      <c r="Q34" s="44" t="s">
        <v>377</v>
      </c>
      <c r="R34" s="46">
        <v>1</v>
      </c>
      <c r="S34" s="44">
        <v>1</v>
      </c>
      <c r="T34" s="44" t="s">
        <v>137</v>
      </c>
      <c r="U34" s="44" t="s">
        <v>169</v>
      </c>
      <c r="V34" s="44" t="s">
        <v>259</v>
      </c>
      <c r="W34" s="44" t="s">
        <v>375</v>
      </c>
      <c r="X34" s="44" t="s">
        <v>376</v>
      </c>
      <c r="Y34" s="44"/>
      <c r="Z34" s="44"/>
      <c r="AA34" s="44"/>
      <c r="AB34" s="44" t="s">
        <v>262</v>
      </c>
      <c r="AC34" s="44" t="s">
        <v>262</v>
      </c>
      <c r="AD34" s="44" t="s">
        <v>262</v>
      </c>
      <c r="AE34" s="44" t="s">
        <v>262</v>
      </c>
      <c r="AF34" s="44" t="s">
        <v>263</v>
      </c>
      <c r="AG34" s="44" t="s">
        <v>263</v>
      </c>
      <c r="AH34" s="44" t="s">
        <v>262</v>
      </c>
      <c r="AI34" s="44">
        <v>0</v>
      </c>
      <c r="AJ34" s="47" t="s">
        <v>263</v>
      </c>
    </row>
    <row r="35" spans="1:36" x14ac:dyDescent="0.45">
      <c r="A35" s="43">
        <v>35</v>
      </c>
      <c r="C35" s="44" t="s">
        <v>252</v>
      </c>
      <c r="D35" s="44" t="s">
        <v>84</v>
      </c>
      <c r="E35" s="45"/>
      <c r="F35" s="44" t="s">
        <v>325</v>
      </c>
      <c r="G35" s="44" t="s">
        <v>254</v>
      </c>
      <c r="H35" s="44" t="s">
        <v>307</v>
      </c>
      <c r="I35" s="44" t="s">
        <v>326</v>
      </c>
      <c r="J35" s="44" t="s">
        <v>1364</v>
      </c>
      <c r="K35" s="44" t="s">
        <v>257</v>
      </c>
      <c r="L35" s="44" t="s">
        <v>307</v>
      </c>
      <c r="M35" s="44" t="s">
        <v>327</v>
      </c>
      <c r="N35" s="44" t="s">
        <v>331</v>
      </c>
      <c r="O35" s="44" t="s">
        <v>258</v>
      </c>
      <c r="P35" s="44" t="s">
        <v>307</v>
      </c>
      <c r="Q35" s="44" t="s">
        <v>328</v>
      </c>
      <c r="R35" s="46">
        <v>1</v>
      </c>
      <c r="S35" s="44">
        <v>100</v>
      </c>
      <c r="T35" s="44" t="s">
        <v>130</v>
      </c>
      <c r="U35" s="44" t="s">
        <v>169</v>
      </c>
      <c r="V35" s="44" t="s">
        <v>259</v>
      </c>
      <c r="W35" s="44" t="s">
        <v>260</v>
      </c>
      <c r="X35" s="44" t="s">
        <v>261</v>
      </c>
      <c r="Y35" s="44"/>
      <c r="Z35" s="44"/>
      <c r="AA35" s="44"/>
      <c r="AB35" s="44" t="s">
        <v>262</v>
      </c>
      <c r="AC35" s="44" t="s">
        <v>262</v>
      </c>
      <c r="AD35" s="44" t="s">
        <v>262</v>
      </c>
      <c r="AE35" s="44" t="s">
        <v>262</v>
      </c>
      <c r="AF35" s="44" t="s">
        <v>263</v>
      </c>
      <c r="AG35" s="44" t="s">
        <v>263</v>
      </c>
      <c r="AH35" s="44" t="s">
        <v>262</v>
      </c>
      <c r="AI35" s="44">
        <v>0.05</v>
      </c>
      <c r="AJ35" s="47" t="s">
        <v>263</v>
      </c>
    </row>
    <row r="36" spans="1:36" x14ac:dyDescent="0.45">
      <c r="A36" s="43">
        <v>36</v>
      </c>
      <c r="C36" s="44" t="s">
        <v>252</v>
      </c>
      <c r="D36" s="44" t="s">
        <v>84</v>
      </c>
      <c r="E36" s="45"/>
      <c r="F36" s="44" t="s">
        <v>325</v>
      </c>
      <c r="G36" s="44" t="s">
        <v>254</v>
      </c>
      <c r="H36" s="44" t="s">
        <v>268</v>
      </c>
      <c r="I36" s="44" t="s">
        <v>329</v>
      </c>
      <c r="J36" s="44" t="s">
        <v>1364</v>
      </c>
      <c r="K36" s="44" t="s">
        <v>257</v>
      </c>
      <c r="L36" s="44" t="s">
        <v>268</v>
      </c>
      <c r="M36" s="44" t="s">
        <v>330</v>
      </c>
      <c r="N36" s="44" t="s">
        <v>331</v>
      </c>
      <c r="O36" s="44" t="s">
        <v>258</v>
      </c>
      <c r="P36" s="44" t="s">
        <v>268</v>
      </c>
      <c r="Q36" s="44" t="s">
        <v>332</v>
      </c>
      <c r="R36" s="46">
        <v>0.5</v>
      </c>
      <c r="S36" s="44">
        <v>100</v>
      </c>
      <c r="T36" s="44" t="s">
        <v>130</v>
      </c>
      <c r="U36" s="44" t="s">
        <v>169</v>
      </c>
      <c r="V36" s="44" t="s">
        <v>259</v>
      </c>
      <c r="W36" s="44" t="s">
        <v>260</v>
      </c>
      <c r="X36" s="44" t="s">
        <v>261</v>
      </c>
      <c r="Y36" s="44"/>
      <c r="Z36" s="44"/>
      <c r="AA36" s="44"/>
      <c r="AB36" s="44" t="s">
        <v>262</v>
      </c>
      <c r="AC36" s="44" t="s">
        <v>262</v>
      </c>
      <c r="AD36" s="44" t="s">
        <v>262</v>
      </c>
      <c r="AE36" s="44" t="s">
        <v>262</v>
      </c>
      <c r="AF36" s="44" t="s">
        <v>263</v>
      </c>
      <c r="AG36" s="44" t="s">
        <v>263</v>
      </c>
      <c r="AH36" s="44" t="s">
        <v>262</v>
      </c>
      <c r="AI36" s="44">
        <v>0.05</v>
      </c>
      <c r="AJ36" s="47" t="s">
        <v>263</v>
      </c>
    </row>
    <row r="37" spans="1:36" x14ac:dyDescent="0.45">
      <c r="A37" s="43">
        <v>37</v>
      </c>
      <c r="C37" s="44" t="s">
        <v>252</v>
      </c>
      <c r="D37" s="44" t="s">
        <v>84</v>
      </c>
      <c r="E37" s="45"/>
      <c r="F37" s="44" t="s">
        <v>325</v>
      </c>
      <c r="G37" s="44" t="s">
        <v>254</v>
      </c>
      <c r="H37" s="44" t="s">
        <v>255</v>
      </c>
      <c r="I37" s="44" t="s">
        <v>333</v>
      </c>
      <c r="J37" s="44" t="s">
        <v>1364</v>
      </c>
      <c r="K37" s="44" t="s">
        <v>257</v>
      </c>
      <c r="L37" s="44" t="s">
        <v>255</v>
      </c>
      <c r="M37" s="44" t="s">
        <v>334</v>
      </c>
      <c r="N37" s="44" t="s">
        <v>331</v>
      </c>
      <c r="O37" s="44" t="s">
        <v>258</v>
      </c>
      <c r="P37" s="44" t="s">
        <v>255</v>
      </c>
      <c r="Q37" s="44" t="s">
        <v>335</v>
      </c>
      <c r="R37" s="46">
        <v>0.25</v>
      </c>
      <c r="S37" s="44">
        <v>100</v>
      </c>
      <c r="T37" s="44" t="s">
        <v>130</v>
      </c>
      <c r="U37" s="44" t="s">
        <v>169</v>
      </c>
      <c r="V37" s="44" t="s">
        <v>259</v>
      </c>
      <c r="W37" s="44" t="s">
        <v>260</v>
      </c>
      <c r="X37" s="44" t="s">
        <v>261</v>
      </c>
      <c r="Y37" s="44"/>
      <c r="Z37" s="44"/>
      <c r="AA37" s="44"/>
      <c r="AB37" s="44" t="s">
        <v>262</v>
      </c>
      <c r="AC37" s="44" t="s">
        <v>262</v>
      </c>
      <c r="AD37" s="44" t="s">
        <v>262</v>
      </c>
      <c r="AE37" s="44" t="s">
        <v>262</v>
      </c>
      <c r="AF37" s="44" t="s">
        <v>263</v>
      </c>
      <c r="AG37" s="44" t="s">
        <v>263</v>
      </c>
      <c r="AH37" s="44" t="s">
        <v>262</v>
      </c>
      <c r="AI37" s="44">
        <v>0.05</v>
      </c>
      <c r="AJ37" s="47" t="s">
        <v>263</v>
      </c>
    </row>
    <row r="38" spans="1:36" x14ac:dyDescent="0.45">
      <c r="A38" s="43">
        <v>38</v>
      </c>
      <c r="C38" s="44" t="s">
        <v>252</v>
      </c>
      <c r="D38" s="44" t="s">
        <v>84</v>
      </c>
      <c r="E38" s="45"/>
      <c r="F38" s="44" t="s">
        <v>336</v>
      </c>
      <c r="G38" s="44" t="s">
        <v>254</v>
      </c>
      <c r="H38" s="44" t="s">
        <v>273</v>
      </c>
      <c r="I38" s="44" t="s">
        <v>336</v>
      </c>
      <c r="J38" s="44" t="s">
        <v>336</v>
      </c>
      <c r="K38" s="44" t="s">
        <v>257</v>
      </c>
      <c r="L38" s="44" t="s">
        <v>274</v>
      </c>
      <c r="M38" s="44" t="s">
        <v>336</v>
      </c>
      <c r="N38" s="44" t="s">
        <v>337</v>
      </c>
      <c r="O38" s="44" t="s">
        <v>258</v>
      </c>
      <c r="P38" s="44" t="s">
        <v>275</v>
      </c>
      <c r="Q38" s="44" t="s">
        <v>337</v>
      </c>
      <c r="R38" s="46">
        <v>1</v>
      </c>
      <c r="S38" s="44">
        <v>1</v>
      </c>
      <c r="T38" s="44" t="s">
        <v>137</v>
      </c>
      <c r="U38" s="44" t="s">
        <v>169</v>
      </c>
      <c r="V38" s="44" t="s">
        <v>259</v>
      </c>
      <c r="W38" s="44" t="s">
        <v>260</v>
      </c>
      <c r="X38" s="44" t="s">
        <v>261</v>
      </c>
      <c r="Y38" s="44"/>
      <c r="Z38" s="44"/>
      <c r="AA38" s="44"/>
      <c r="AB38" s="44" t="s">
        <v>262</v>
      </c>
      <c r="AC38" s="44" t="s">
        <v>262</v>
      </c>
      <c r="AD38" s="44" t="s">
        <v>262</v>
      </c>
      <c r="AE38" s="44" t="s">
        <v>262</v>
      </c>
      <c r="AF38" s="44" t="s">
        <v>263</v>
      </c>
      <c r="AG38" s="44" t="s">
        <v>263</v>
      </c>
      <c r="AH38" s="44" t="s">
        <v>262</v>
      </c>
      <c r="AI38" s="44">
        <v>0</v>
      </c>
      <c r="AJ38" s="47" t="s">
        <v>263</v>
      </c>
    </row>
    <row r="39" spans="1:36" x14ac:dyDescent="0.45">
      <c r="A39" s="43">
        <v>39</v>
      </c>
      <c r="C39" s="44" t="s">
        <v>252</v>
      </c>
      <c r="D39" s="44" t="s">
        <v>84</v>
      </c>
      <c r="E39" s="45"/>
      <c r="F39" s="44" t="s">
        <v>338</v>
      </c>
      <c r="G39" s="44" t="s">
        <v>254</v>
      </c>
      <c r="H39" s="44" t="s">
        <v>273</v>
      </c>
      <c r="I39" s="44" t="s">
        <v>338</v>
      </c>
      <c r="J39" s="44" t="s">
        <v>339</v>
      </c>
      <c r="K39" s="44" t="s">
        <v>257</v>
      </c>
      <c r="L39" s="44" t="s">
        <v>274</v>
      </c>
      <c r="M39" s="44" t="s">
        <v>339</v>
      </c>
      <c r="N39" s="44" t="s">
        <v>340</v>
      </c>
      <c r="O39" s="44" t="s">
        <v>258</v>
      </c>
      <c r="P39" s="44" t="s">
        <v>275</v>
      </c>
      <c r="Q39" s="44" t="s">
        <v>340</v>
      </c>
      <c r="R39" s="46">
        <v>1</v>
      </c>
      <c r="S39" s="44">
        <v>1</v>
      </c>
      <c r="T39" s="44" t="s">
        <v>137</v>
      </c>
      <c r="U39" s="44" t="s">
        <v>169</v>
      </c>
      <c r="V39" s="44" t="s">
        <v>259</v>
      </c>
      <c r="W39" s="44" t="s">
        <v>260</v>
      </c>
      <c r="X39" s="44" t="s">
        <v>261</v>
      </c>
      <c r="Y39" s="44"/>
      <c r="Z39" s="44"/>
      <c r="AA39" s="44"/>
      <c r="AB39" s="44" t="s">
        <v>262</v>
      </c>
      <c r="AC39" s="44" t="s">
        <v>262</v>
      </c>
      <c r="AD39" s="44" t="s">
        <v>262</v>
      </c>
      <c r="AE39" s="44" t="s">
        <v>262</v>
      </c>
      <c r="AF39" s="44" t="s">
        <v>263</v>
      </c>
      <c r="AG39" s="44" t="s">
        <v>263</v>
      </c>
      <c r="AH39" s="44" t="s">
        <v>262</v>
      </c>
      <c r="AI39" s="44">
        <v>0.05</v>
      </c>
      <c r="AJ39" s="47" t="s">
        <v>263</v>
      </c>
    </row>
    <row r="40" spans="1:36" x14ac:dyDescent="0.45">
      <c r="A40" s="43">
        <v>40</v>
      </c>
      <c r="C40" s="44" t="s">
        <v>252</v>
      </c>
      <c r="D40" s="44" t="s">
        <v>84</v>
      </c>
      <c r="E40" s="45"/>
      <c r="F40" s="44" t="s">
        <v>341</v>
      </c>
      <c r="G40" s="44" t="s">
        <v>254</v>
      </c>
      <c r="H40" s="44" t="s">
        <v>273</v>
      </c>
      <c r="I40" s="44" t="s">
        <v>341</v>
      </c>
      <c r="J40" s="44" t="s">
        <v>342</v>
      </c>
      <c r="K40" s="44" t="s">
        <v>257</v>
      </c>
      <c r="L40" s="44" t="s">
        <v>274</v>
      </c>
      <c r="M40" s="44" t="s">
        <v>342</v>
      </c>
      <c r="N40" s="44" t="s">
        <v>343</v>
      </c>
      <c r="O40" s="44" t="s">
        <v>258</v>
      </c>
      <c r="P40" s="44" t="s">
        <v>275</v>
      </c>
      <c r="Q40" s="44" t="s">
        <v>343</v>
      </c>
      <c r="R40" s="46">
        <v>1</v>
      </c>
      <c r="S40" s="44">
        <v>1</v>
      </c>
      <c r="T40" s="44" t="s">
        <v>137</v>
      </c>
      <c r="U40" s="44" t="s">
        <v>169</v>
      </c>
      <c r="V40" s="44" t="s">
        <v>259</v>
      </c>
      <c r="W40" s="44" t="s">
        <v>260</v>
      </c>
      <c r="X40" s="44" t="s">
        <v>261</v>
      </c>
      <c r="Y40" s="44"/>
      <c r="Z40" s="44"/>
      <c r="AA40" s="44"/>
      <c r="AB40" s="44" t="s">
        <v>262</v>
      </c>
      <c r="AC40" s="44" t="s">
        <v>262</v>
      </c>
      <c r="AD40" s="44" t="s">
        <v>262</v>
      </c>
      <c r="AE40" s="44" t="s">
        <v>262</v>
      </c>
      <c r="AF40" s="44" t="s">
        <v>263</v>
      </c>
      <c r="AG40" s="44" t="s">
        <v>263</v>
      </c>
      <c r="AH40" s="44" t="s">
        <v>262</v>
      </c>
      <c r="AI40" s="44">
        <v>0.05</v>
      </c>
      <c r="AJ40" s="47" t="s">
        <v>263</v>
      </c>
    </row>
    <row r="41" spans="1:36" x14ac:dyDescent="0.45">
      <c r="A41" s="43">
        <v>41</v>
      </c>
      <c r="C41" s="44" t="s">
        <v>252</v>
      </c>
      <c r="D41" s="44" t="s">
        <v>84</v>
      </c>
      <c r="E41" s="45"/>
      <c r="F41" s="44" t="s">
        <v>344</v>
      </c>
      <c r="G41" s="44" t="s">
        <v>254</v>
      </c>
      <c r="H41" s="44" t="s">
        <v>273</v>
      </c>
      <c r="I41" s="44" t="s">
        <v>344</v>
      </c>
      <c r="J41" s="44" t="s">
        <v>1365</v>
      </c>
      <c r="K41" s="44" t="s">
        <v>257</v>
      </c>
      <c r="L41" s="44" t="s">
        <v>274</v>
      </c>
      <c r="M41" s="44" t="s">
        <v>1365</v>
      </c>
      <c r="N41" s="44" t="s">
        <v>345</v>
      </c>
      <c r="O41" s="44" t="s">
        <v>258</v>
      </c>
      <c r="P41" s="44" t="s">
        <v>275</v>
      </c>
      <c r="Q41" s="44" t="s">
        <v>345</v>
      </c>
      <c r="R41" s="46">
        <v>1</v>
      </c>
      <c r="S41" s="44">
        <v>1</v>
      </c>
      <c r="T41" s="44" t="s">
        <v>137</v>
      </c>
      <c r="U41" s="44" t="s">
        <v>169</v>
      </c>
      <c r="V41" s="44" t="s">
        <v>259</v>
      </c>
      <c r="W41" s="44" t="s">
        <v>260</v>
      </c>
      <c r="X41" s="44" t="s">
        <v>261</v>
      </c>
      <c r="Y41" s="44"/>
      <c r="Z41" s="44"/>
      <c r="AA41" s="44"/>
      <c r="AB41" s="44" t="s">
        <v>262</v>
      </c>
      <c r="AC41" s="44" t="s">
        <v>262</v>
      </c>
      <c r="AD41" s="44" t="s">
        <v>262</v>
      </c>
      <c r="AE41" s="44" t="s">
        <v>262</v>
      </c>
      <c r="AF41" s="44" t="s">
        <v>263</v>
      </c>
      <c r="AG41" s="44" t="s">
        <v>263</v>
      </c>
      <c r="AH41" s="44" t="s">
        <v>262</v>
      </c>
      <c r="AI41" s="44">
        <v>0.05</v>
      </c>
      <c r="AJ41" s="47" t="s">
        <v>263</v>
      </c>
    </row>
    <row r="42" spans="1:36" x14ac:dyDescent="0.45">
      <c r="A42" s="43">
        <v>43</v>
      </c>
      <c r="C42" s="44" t="s">
        <v>252</v>
      </c>
      <c r="D42" s="44" t="s">
        <v>84</v>
      </c>
      <c r="E42" s="45"/>
      <c r="F42" s="44" t="s">
        <v>1366</v>
      </c>
      <c r="G42" s="44" t="s">
        <v>254</v>
      </c>
      <c r="H42" s="44" t="s">
        <v>273</v>
      </c>
      <c r="I42" s="44" t="s">
        <v>1366</v>
      </c>
      <c r="J42" s="44" t="s">
        <v>1367</v>
      </c>
      <c r="K42" s="44" t="s">
        <v>257</v>
      </c>
      <c r="L42" s="44" t="s">
        <v>274</v>
      </c>
      <c r="M42" s="44" t="s">
        <v>1367</v>
      </c>
      <c r="N42" s="44" t="s">
        <v>1368</v>
      </c>
      <c r="O42" s="44" t="s">
        <v>258</v>
      </c>
      <c r="P42" s="44" t="s">
        <v>275</v>
      </c>
      <c r="Q42" s="44" t="s">
        <v>1368</v>
      </c>
      <c r="R42" s="46">
        <v>1</v>
      </c>
      <c r="S42" s="44">
        <v>1</v>
      </c>
      <c r="T42" s="44" t="s">
        <v>137</v>
      </c>
      <c r="U42" s="44" t="s">
        <v>169</v>
      </c>
      <c r="V42" s="44" t="s">
        <v>259</v>
      </c>
      <c r="W42" s="44" t="s">
        <v>260</v>
      </c>
      <c r="X42" s="44" t="s">
        <v>261</v>
      </c>
      <c r="Y42" s="44"/>
      <c r="Z42" s="44"/>
      <c r="AA42" s="44"/>
      <c r="AB42" s="44" t="s">
        <v>262</v>
      </c>
      <c r="AC42" s="44" t="s">
        <v>262</v>
      </c>
      <c r="AD42" s="44" t="s">
        <v>262</v>
      </c>
      <c r="AE42" s="44" t="s">
        <v>262</v>
      </c>
      <c r="AF42" s="44" t="s">
        <v>263</v>
      </c>
      <c r="AG42" s="44" t="s">
        <v>263</v>
      </c>
      <c r="AH42" s="44" t="s">
        <v>262</v>
      </c>
      <c r="AI42" s="44">
        <v>0.05</v>
      </c>
      <c r="AJ42" s="47" t="s">
        <v>263</v>
      </c>
    </row>
    <row r="43" spans="1:36" x14ac:dyDescent="0.45">
      <c r="A43" s="43">
        <v>44</v>
      </c>
      <c r="C43" s="44" t="s">
        <v>252</v>
      </c>
      <c r="D43" s="44" t="s">
        <v>84</v>
      </c>
      <c r="E43" s="45"/>
      <c r="F43" s="44" t="s">
        <v>1369</v>
      </c>
      <c r="G43" s="44" t="s">
        <v>254</v>
      </c>
      <c r="H43" s="44" t="s">
        <v>273</v>
      </c>
      <c r="I43" s="44" t="s">
        <v>1369</v>
      </c>
      <c r="J43" s="44" t="s">
        <v>1370</v>
      </c>
      <c r="K43" s="44" t="s">
        <v>257</v>
      </c>
      <c r="L43" s="44" t="s">
        <v>274</v>
      </c>
      <c r="M43" s="44" t="s">
        <v>1370</v>
      </c>
      <c r="N43" s="44" t="s">
        <v>346</v>
      </c>
      <c r="O43" s="44" t="s">
        <v>258</v>
      </c>
      <c r="P43" s="44" t="s">
        <v>275</v>
      </c>
      <c r="Q43" s="44" t="s">
        <v>346</v>
      </c>
      <c r="R43" s="46">
        <v>1</v>
      </c>
      <c r="S43" s="44">
        <v>1</v>
      </c>
      <c r="T43" s="44" t="s">
        <v>137</v>
      </c>
      <c r="U43" s="44" t="s">
        <v>169</v>
      </c>
      <c r="V43" s="44" t="s">
        <v>259</v>
      </c>
      <c r="W43" s="44" t="s">
        <v>260</v>
      </c>
      <c r="X43" s="44" t="s">
        <v>261</v>
      </c>
      <c r="Y43" s="44"/>
      <c r="Z43" s="44"/>
      <c r="AA43" s="44"/>
      <c r="AB43" s="44" t="s">
        <v>262</v>
      </c>
      <c r="AC43" s="44" t="s">
        <v>262</v>
      </c>
      <c r="AD43" s="44" t="s">
        <v>262</v>
      </c>
      <c r="AE43" s="44" t="s">
        <v>262</v>
      </c>
      <c r="AF43" s="44" t="s">
        <v>263</v>
      </c>
      <c r="AG43" s="44" t="s">
        <v>263</v>
      </c>
      <c r="AH43" s="44" t="s">
        <v>262</v>
      </c>
      <c r="AI43" s="44">
        <v>0.05</v>
      </c>
      <c r="AJ43" s="47" t="s">
        <v>263</v>
      </c>
    </row>
    <row r="44" spans="1:36" x14ac:dyDescent="0.45">
      <c r="A44" s="43">
        <v>45</v>
      </c>
      <c r="C44" s="44" t="s">
        <v>252</v>
      </c>
      <c r="D44" s="44" t="s">
        <v>84</v>
      </c>
      <c r="E44" s="45"/>
      <c r="F44" s="44" t="s">
        <v>1371</v>
      </c>
      <c r="G44" s="44" t="s">
        <v>254</v>
      </c>
      <c r="H44" s="44" t="s">
        <v>273</v>
      </c>
      <c r="I44" s="44" t="s">
        <v>1371</v>
      </c>
      <c r="J44" s="44" t="s">
        <v>347</v>
      </c>
      <c r="K44" s="44" t="s">
        <v>257</v>
      </c>
      <c r="L44" s="44" t="s">
        <v>274</v>
      </c>
      <c r="M44" s="44" t="s">
        <v>347</v>
      </c>
      <c r="N44" s="44" t="s">
        <v>348</v>
      </c>
      <c r="O44" s="44" t="s">
        <v>258</v>
      </c>
      <c r="P44" s="44" t="s">
        <v>275</v>
      </c>
      <c r="Q44" s="44" t="s">
        <v>348</v>
      </c>
      <c r="R44" s="46">
        <v>1</v>
      </c>
      <c r="S44" s="44">
        <v>1</v>
      </c>
      <c r="T44" s="44" t="s">
        <v>137</v>
      </c>
      <c r="U44" s="44" t="s">
        <v>169</v>
      </c>
      <c r="V44" s="44" t="s">
        <v>259</v>
      </c>
      <c r="W44" s="44" t="s">
        <v>260</v>
      </c>
      <c r="X44" s="44" t="s">
        <v>261</v>
      </c>
      <c r="Y44" s="44"/>
      <c r="Z44" s="44"/>
      <c r="AA44" s="44"/>
      <c r="AB44" s="44" t="s">
        <v>262</v>
      </c>
      <c r="AC44" s="44" t="s">
        <v>262</v>
      </c>
      <c r="AD44" s="44" t="s">
        <v>262</v>
      </c>
      <c r="AE44" s="44" t="s">
        <v>262</v>
      </c>
      <c r="AF44" s="44" t="s">
        <v>263</v>
      </c>
      <c r="AG44" s="44" t="s">
        <v>263</v>
      </c>
      <c r="AH44" s="44" t="s">
        <v>262</v>
      </c>
      <c r="AI44" s="44">
        <v>0.05</v>
      </c>
      <c r="AJ44" s="47" t="s">
        <v>263</v>
      </c>
    </row>
    <row r="45" spans="1:36" x14ac:dyDescent="0.45">
      <c r="A45" s="43">
        <v>46</v>
      </c>
      <c r="C45" s="44" t="s">
        <v>252</v>
      </c>
      <c r="D45" s="44" t="s">
        <v>84</v>
      </c>
      <c r="E45" s="45"/>
      <c r="F45" s="44" t="s">
        <v>1372</v>
      </c>
      <c r="G45" s="44" t="s">
        <v>254</v>
      </c>
      <c r="H45" s="44" t="s">
        <v>273</v>
      </c>
      <c r="I45" s="44" t="s">
        <v>1372</v>
      </c>
      <c r="J45" s="44" t="s">
        <v>349</v>
      </c>
      <c r="K45" s="44" t="s">
        <v>257</v>
      </c>
      <c r="L45" s="44" t="s">
        <v>274</v>
      </c>
      <c r="M45" s="44" t="s">
        <v>349</v>
      </c>
      <c r="N45" s="44" t="s">
        <v>350</v>
      </c>
      <c r="O45" s="44" t="s">
        <v>258</v>
      </c>
      <c r="P45" s="44" t="s">
        <v>275</v>
      </c>
      <c r="Q45" s="44" t="s">
        <v>350</v>
      </c>
      <c r="R45" s="46">
        <v>1</v>
      </c>
      <c r="S45" s="44">
        <v>1</v>
      </c>
      <c r="T45" s="44" t="s">
        <v>137</v>
      </c>
      <c r="U45" s="44" t="s">
        <v>169</v>
      </c>
      <c r="V45" s="44" t="s">
        <v>259</v>
      </c>
      <c r="W45" s="44" t="s">
        <v>260</v>
      </c>
      <c r="X45" s="44" t="s">
        <v>261</v>
      </c>
      <c r="Y45" s="44"/>
      <c r="Z45" s="44"/>
      <c r="AA45" s="44"/>
      <c r="AB45" s="44" t="s">
        <v>262</v>
      </c>
      <c r="AC45" s="44" t="s">
        <v>262</v>
      </c>
      <c r="AD45" s="44" t="s">
        <v>262</v>
      </c>
      <c r="AE45" s="44" t="s">
        <v>262</v>
      </c>
      <c r="AF45" s="44" t="s">
        <v>263</v>
      </c>
      <c r="AG45" s="44" t="s">
        <v>263</v>
      </c>
      <c r="AH45" s="44" t="s">
        <v>262</v>
      </c>
      <c r="AI45" s="44">
        <v>0.05</v>
      </c>
      <c r="AJ45" s="47" t="s">
        <v>263</v>
      </c>
    </row>
    <row r="46" spans="1:36" x14ac:dyDescent="0.45">
      <c r="A46" s="43">
        <v>47</v>
      </c>
      <c r="C46" s="44" t="s">
        <v>252</v>
      </c>
      <c r="D46" s="44" t="s">
        <v>84</v>
      </c>
      <c r="E46" s="45"/>
      <c r="F46" s="44" t="s">
        <v>1373</v>
      </c>
      <c r="G46" s="44" t="s">
        <v>254</v>
      </c>
      <c r="H46" s="44" t="s">
        <v>255</v>
      </c>
      <c r="I46" s="44" t="s">
        <v>351</v>
      </c>
      <c r="J46" s="44" t="s">
        <v>352</v>
      </c>
      <c r="K46" s="44" t="s">
        <v>257</v>
      </c>
      <c r="L46" s="44" t="s">
        <v>255</v>
      </c>
      <c r="M46" s="44" t="s">
        <v>353</v>
      </c>
      <c r="N46" s="44" t="s">
        <v>354</v>
      </c>
      <c r="O46" s="44" t="s">
        <v>258</v>
      </c>
      <c r="P46" s="44" t="s">
        <v>255</v>
      </c>
      <c r="Q46" s="44" t="s">
        <v>355</v>
      </c>
      <c r="R46" s="46">
        <v>0.25</v>
      </c>
      <c r="S46" s="44">
        <v>1</v>
      </c>
      <c r="T46" s="44" t="s">
        <v>130</v>
      </c>
      <c r="U46" s="44" t="s">
        <v>169</v>
      </c>
      <c r="V46" s="44" t="s">
        <v>259</v>
      </c>
      <c r="W46" s="44" t="s">
        <v>260</v>
      </c>
      <c r="X46" s="44" t="s">
        <v>261</v>
      </c>
      <c r="Y46" s="44"/>
      <c r="Z46" s="44"/>
      <c r="AA46" s="44"/>
      <c r="AB46" s="44" t="s">
        <v>262</v>
      </c>
      <c r="AC46" s="44" t="s">
        <v>262</v>
      </c>
      <c r="AD46" s="44" t="s">
        <v>262</v>
      </c>
      <c r="AE46" s="44" t="s">
        <v>262</v>
      </c>
      <c r="AF46" s="44" t="s">
        <v>263</v>
      </c>
      <c r="AG46" s="44" t="s">
        <v>263</v>
      </c>
      <c r="AH46" s="44" t="s">
        <v>262</v>
      </c>
      <c r="AI46" s="44">
        <v>0.05</v>
      </c>
      <c r="AJ46" s="47" t="s">
        <v>263</v>
      </c>
    </row>
    <row r="47" spans="1:36" x14ac:dyDescent="0.45">
      <c r="A47" s="43">
        <v>48</v>
      </c>
      <c r="C47" s="44" t="s">
        <v>252</v>
      </c>
      <c r="D47" s="44" t="s">
        <v>84</v>
      </c>
      <c r="E47" s="45"/>
      <c r="F47" s="44" t="s">
        <v>1373</v>
      </c>
      <c r="G47" s="44" t="s">
        <v>254</v>
      </c>
      <c r="H47" s="44" t="s">
        <v>268</v>
      </c>
      <c r="I47" s="44" t="s">
        <v>356</v>
      </c>
      <c r="J47" s="44" t="s">
        <v>352</v>
      </c>
      <c r="K47" s="44" t="s">
        <v>257</v>
      </c>
      <c r="L47" s="44" t="s">
        <v>268</v>
      </c>
      <c r="M47" s="44" t="s">
        <v>357</v>
      </c>
      <c r="N47" s="44" t="s">
        <v>354</v>
      </c>
      <c r="O47" s="44" t="s">
        <v>258</v>
      </c>
      <c r="P47" s="44" t="s">
        <v>268</v>
      </c>
      <c r="Q47" s="44" t="s">
        <v>358</v>
      </c>
      <c r="R47" s="46">
        <v>0.5</v>
      </c>
      <c r="S47" s="44">
        <v>1</v>
      </c>
      <c r="T47" s="44" t="s">
        <v>130</v>
      </c>
      <c r="U47" s="44" t="s">
        <v>169</v>
      </c>
      <c r="V47" s="44" t="s">
        <v>259</v>
      </c>
      <c r="W47" s="44" t="s">
        <v>260</v>
      </c>
      <c r="X47" s="44" t="s">
        <v>261</v>
      </c>
      <c r="Y47" s="44"/>
      <c r="Z47" s="44"/>
      <c r="AA47" s="44"/>
      <c r="AB47" s="44" t="s">
        <v>262</v>
      </c>
      <c r="AC47" s="44" t="s">
        <v>262</v>
      </c>
      <c r="AD47" s="44" t="s">
        <v>262</v>
      </c>
      <c r="AE47" s="44" t="s">
        <v>262</v>
      </c>
      <c r="AF47" s="44" t="s">
        <v>263</v>
      </c>
      <c r="AG47" s="44" t="s">
        <v>263</v>
      </c>
      <c r="AH47" s="44" t="s">
        <v>262</v>
      </c>
      <c r="AI47" s="44">
        <v>0.05</v>
      </c>
      <c r="AJ47" s="47" t="s">
        <v>263</v>
      </c>
    </row>
    <row r="48" spans="1:36" x14ac:dyDescent="0.45">
      <c r="A48" s="43">
        <v>49</v>
      </c>
      <c r="C48" s="44" t="s">
        <v>252</v>
      </c>
      <c r="D48" s="44" t="s">
        <v>84</v>
      </c>
      <c r="E48" s="45"/>
      <c r="F48" s="44" t="s">
        <v>1374</v>
      </c>
      <c r="G48" s="44" t="s">
        <v>254</v>
      </c>
      <c r="H48" s="44" t="s">
        <v>359</v>
      </c>
      <c r="I48" s="44" t="s">
        <v>360</v>
      </c>
      <c r="J48" s="44" t="s">
        <v>1375</v>
      </c>
      <c r="K48" s="44" t="s">
        <v>257</v>
      </c>
      <c r="L48" s="44" t="s">
        <v>359</v>
      </c>
      <c r="M48" s="44" t="s">
        <v>361</v>
      </c>
      <c r="N48" s="44" t="s">
        <v>362</v>
      </c>
      <c r="O48" s="44" t="s">
        <v>258</v>
      </c>
      <c r="P48" s="44" t="s">
        <v>359</v>
      </c>
      <c r="Q48" s="44" t="s">
        <v>363</v>
      </c>
      <c r="R48" s="46">
        <v>0.4</v>
      </c>
      <c r="S48" s="44">
        <v>1</v>
      </c>
      <c r="T48" s="44" t="s">
        <v>130</v>
      </c>
      <c r="U48" s="44" t="s">
        <v>169</v>
      </c>
      <c r="V48" s="44" t="s">
        <v>259</v>
      </c>
      <c r="W48" s="44" t="s">
        <v>260</v>
      </c>
      <c r="X48" s="44" t="s">
        <v>261</v>
      </c>
      <c r="Y48" s="44"/>
      <c r="Z48" s="44"/>
      <c r="AA48" s="44"/>
      <c r="AB48" s="44" t="s">
        <v>262</v>
      </c>
      <c r="AC48" s="44" t="s">
        <v>262</v>
      </c>
      <c r="AD48" s="44" t="s">
        <v>262</v>
      </c>
      <c r="AE48" s="44" t="s">
        <v>262</v>
      </c>
      <c r="AF48" s="44" t="s">
        <v>263</v>
      </c>
      <c r="AG48" s="44" t="s">
        <v>263</v>
      </c>
      <c r="AH48" s="44" t="s">
        <v>262</v>
      </c>
      <c r="AI48" s="44">
        <v>0.05</v>
      </c>
      <c r="AJ48" s="47" t="s">
        <v>263</v>
      </c>
    </row>
    <row r="49" spans="1:36" x14ac:dyDescent="0.45">
      <c r="A49" s="43">
        <v>50</v>
      </c>
      <c r="C49" s="44" t="s">
        <v>252</v>
      </c>
      <c r="D49" s="44" t="s">
        <v>84</v>
      </c>
      <c r="E49" s="45"/>
      <c r="F49" s="44" t="s">
        <v>1376</v>
      </c>
      <c r="G49" s="44" t="s">
        <v>254</v>
      </c>
      <c r="H49" s="44" t="s">
        <v>273</v>
      </c>
      <c r="I49" s="44" t="s">
        <v>1376</v>
      </c>
      <c r="J49" s="44" t="s">
        <v>1377</v>
      </c>
      <c r="K49" s="44" t="s">
        <v>257</v>
      </c>
      <c r="L49" s="44" t="s">
        <v>274</v>
      </c>
      <c r="M49" s="44" t="s">
        <v>1377</v>
      </c>
      <c r="N49" s="44" t="s">
        <v>1378</v>
      </c>
      <c r="O49" s="44" t="s">
        <v>258</v>
      </c>
      <c r="P49" s="44" t="s">
        <v>275</v>
      </c>
      <c r="Q49" s="44" t="s">
        <v>1378</v>
      </c>
      <c r="R49" s="46">
        <v>1</v>
      </c>
      <c r="S49" s="44">
        <v>1</v>
      </c>
      <c r="T49" s="44" t="s">
        <v>137</v>
      </c>
      <c r="U49" s="44" t="s">
        <v>169</v>
      </c>
      <c r="V49" s="44" t="s">
        <v>259</v>
      </c>
      <c r="W49" s="44" t="s">
        <v>260</v>
      </c>
      <c r="X49" s="44" t="s">
        <v>261</v>
      </c>
      <c r="Y49" s="44"/>
      <c r="Z49" s="44"/>
      <c r="AA49" s="44"/>
      <c r="AB49" s="44" t="s">
        <v>262</v>
      </c>
      <c r="AC49" s="44" t="s">
        <v>262</v>
      </c>
      <c r="AD49" s="44" t="s">
        <v>262</v>
      </c>
      <c r="AE49" s="44" t="s">
        <v>262</v>
      </c>
      <c r="AF49" s="44" t="s">
        <v>263</v>
      </c>
      <c r="AG49" s="44" t="s">
        <v>263</v>
      </c>
      <c r="AH49" s="44" t="s">
        <v>262</v>
      </c>
      <c r="AI49" s="44">
        <v>0.05</v>
      </c>
      <c r="AJ49" s="47" t="s">
        <v>263</v>
      </c>
    </row>
    <row r="50" spans="1:36" x14ac:dyDescent="0.45">
      <c r="A50" s="43">
        <v>51</v>
      </c>
      <c r="C50" s="44" t="s">
        <v>252</v>
      </c>
      <c r="D50" s="44" t="s">
        <v>84</v>
      </c>
      <c r="E50" s="45"/>
      <c r="F50" s="44" t="s">
        <v>1379</v>
      </c>
      <c r="G50" s="44" t="s">
        <v>254</v>
      </c>
      <c r="H50" s="44" t="s">
        <v>273</v>
      </c>
      <c r="I50" s="44" t="s">
        <v>1379</v>
      </c>
      <c r="J50" s="44" t="s">
        <v>1380</v>
      </c>
      <c r="K50" s="44" t="s">
        <v>257</v>
      </c>
      <c r="L50" s="44" t="s">
        <v>274</v>
      </c>
      <c r="M50" s="44" t="s">
        <v>1380</v>
      </c>
      <c r="N50" s="44" t="s">
        <v>364</v>
      </c>
      <c r="O50" s="44" t="s">
        <v>258</v>
      </c>
      <c r="P50" s="44" t="s">
        <v>275</v>
      </c>
      <c r="Q50" s="44" t="s">
        <v>364</v>
      </c>
      <c r="R50" s="46">
        <v>1</v>
      </c>
      <c r="S50" s="44">
        <v>1</v>
      </c>
      <c r="T50" s="44" t="s">
        <v>137</v>
      </c>
      <c r="U50" s="44" t="s">
        <v>169</v>
      </c>
      <c r="V50" s="44" t="s">
        <v>259</v>
      </c>
      <c r="W50" s="44" t="s">
        <v>260</v>
      </c>
      <c r="X50" s="44" t="s">
        <v>261</v>
      </c>
      <c r="Y50" s="44"/>
      <c r="Z50" s="44"/>
      <c r="AA50" s="44"/>
      <c r="AB50" s="44" t="s">
        <v>262</v>
      </c>
      <c r="AC50" s="44" t="s">
        <v>262</v>
      </c>
      <c r="AD50" s="44" t="s">
        <v>262</v>
      </c>
      <c r="AE50" s="44" t="s">
        <v>262</v>
      </c>
      <c r="AF50" s="44" t="s">
        <v>263</v>
      </c>
      <c r="AG50" s="44" t="s">
        <v>263</v>
      </c>
      <c r="AH50" s="44" t="s">
        <v>262</v>
      </c>
      <c r="AI50" s="44">
        <v>0.05</v>
      </c>
      <c r="AJ50" s="47" t="s">
        <v>263</v>
      </c>
    </row>
    <row r="51" spans="1:36" x14ac:dyDescent="0.45">
      <c r="A51" s="43">
        <v>52</v>
      </c>
      <c r="C51" s="44" t="s">
        <v>252</v>
      </c>
      <c r="D51" s="44" t="s">
        <v>84</v>
      </c>
      <c r="E51" s="45"/>
      <c r="F51" s="44" t="s">
        <v>1381</v>
      </c>
      <c r="G51" s="44" t="s">
        <v>254</v>
      </c>
      <c r="H51" s="44" t="s">
        <v>273</v>
      </c>
      <c r="I51" s="44" t="s">
        <v>1381</v>
      </c>
      <c r="J51" s="44" t="s">
        <v>365</v>
      </c>
      <c r="K51" s="44" t="s">
        <v>257</v>
      </c>
      <c r="L51" s="44" t="s">
        <v>274</v>
      </c>
      <c r="M51" s="44" t="s">
        <v>365</v>
      </c>
      <c r="N51" s="44" t="s">
        <v>366</v>
      </c>
      <c r="O51" s="44" t="s">
        <v>258</v>
      </c>
      <c r="P51" s="44" t="s">
        <v>275</v>
      </c>
      <c r="Q51" s="44" t="s">
        <v>366</v>
      </c>
      <c r="R51" s="46">
        <v>1</v>
      </c>
      <c r="S51" s="44">
        <v>1</v>
      </c>
      <c r="T51" s="44" t="s">
        <v>137</v>
      </c>
      <c r="U51" s="44" t="s">
        <v>169</v>
      </c>
      <c r="V51" s="44" t="s">
        <v>259</v>
      </c>
      <c r="W51" s="44" t="s">
        <v>260</v>
      </c>
      <c r="X51" s="44" t="s">
        <v>261</v>
      </c>
      <c r="Y51" s="44"/>
      <c r="Z51" s="44"/>
      <c r="AA51" s="44"/>
      <c r="AB51" s="44" t="s">
        <v>262</v>
      </c>
      <c r="AC51" s="44" t="s">
        <v>262</v>
      </c>
      <c r="AD51" s="44" t="s">
        <v>262</v>
      </c>
      <c r="AE51" s="44" t="s">
        <v>262</v>
      </c>
      <c r="AF51" s="44" t="s">
        <v>263</v>
      </c>
      <c r="AG51" s="44" t="s">
        <v>263</v>
      </c>
      <c r="AH51" s="44" t="s">
        <v>262</v>
      </c>
      <c r="AI51" s="44">
        <v>0.05</v>
      </c>
      <c r="AJ51" s="47" t="s">
        <v>263</v>
      </c>
    </row>
    <row r="52" spans="1:36" x14ac:dyDescent="0.45">
      <c r="A52" s="43">
        <v>53</v>
      </c>
      <c r="C52" s="44" t="s">
        <v>252</v>
      </c>
      <c r="D52" s="44" t="s">
        <v>84</v>
      </c>
      <c r="E52" s="45"/>
      <c r="F52" s="44" t="s">
        <v>1382</v>
      </c>
      <c r="G52" s="44" t="s">
        <v>254</v>
      </c>
      <c r="H52" s="44" t="s">
        <v>273</v>
      </c>
      <c r="I52" s="44" t="s">
        <v>1382</v>
      </c>
      <c r="J52" s="44" t="s">
        <v>367</v>
      </c>
      <c r="K52" s="44" t="s">
        <v>257</v>
      </c>
      <c r="L52" s="44" t="s">
        <v>274</v>
      </c>
      <c r="M52" s="44" t="s">
        <v>367</v>
      </c>
      <c r="N52" s="44" t="s">
        <v>368</v>
      </c>
      <c r="O52" s="44" t="s">
        <v>258</v>
      </c>
      <c r="P52" s="44" t="s">
        <v>275</v>
      </c>
      <c r="Q52" s="44" t="s">
        <v>368</v>
      </c>
      <c r="R52" s="46">
        <v>1</v>
      </c>
      <c r="S52" s="44">
        <v>1</v>
      </c>
      <c r="T52" s="44" t="s">
        <v>137</v>
      </c>
      <c r="U52" s="44" t="s">
        <v>169</v>
      </c>
      <c r="V52" s="44" t="s">
        <v>259</v>
      </c>
      <c r="W52" s="44" t="s">
        <v>260</v>
      </c>
      <c r="X52" s="44" t="s">
        <v>261</v>
      </c>
      <c r="Y52" s="44"/>
      <c r="Z52" s="44"/>
      <c r="AA52" s="44"/>
      <c r="AB52" s="44" t="s">
        <v>262</v>
      </c>
      <c r="AC52" s="44" t="s">
        <v>262</v>
      </c>
      <c r="AD52" s="44" t="s">
        <v>262</v>
      </c>
      <c r="AE52" s="44" t="s">
        <v>262</v>
      </c>
      <c r="AF52" s="44" t="s">
        <v>263</v>
      </c>
      <c r="AG52" s="44" t="s">
        <v>263</v>
      </c>
      <c r="AH52" s="44" t="s">
        <v>262</v>
      </c>
      <c r="AI52" s="44">
        <v>0.05</v>
      </c>
      <c r="AJ52" s="47" t="s">
        <v>263</v>
      </c>
    </row>
    <row r="53" spans="1:36" x14ac:dyDescent="0.45">
      <c r="A53" s="43">
        <v>54</v>
      </c>
      <c r="C53" s="44" t="s">
        <v>252</v>
      </c>
      <c r="D53" s="44" t="s">
        <v>84</v>
      </c>
      <c r="E53" s="45"/>
      <c r="F53" s="44" t="s">
        <v>1383</v>
      </c>
      <c r="G53" s="44" t="s">
        <v>254</v>
      </c>
      <c r="H53" s="44" t="s">
        <v>273</v>
      </c>
      <c r="I53" s="44" t="s">
        <v>1383</v>
      </c>
      <c r="J53" s="44" t="s">
        <v>369</v>
      </c>
      <c r="K53" s="44" t="s">
        <v>257</v>
      </c>
      <c r="L53" s="44" t="s">
        <v>274</v>
      </c>
      <c r="M53" s="44" t="s">
        <v>369</v>
      </c>
      <c r="N53" s="44" t="s">
        <v>370</v>
      </c>
      <c r="O53" s="44" t="s">
        <v>258</v>
      </c>
      <c r="P53" s="44" t="s">
        <v>275</v>
      </c>
      <c r="Q53" s="44" t="s">
        <v>370</v>
      </c>
      <c r="R53" s="46">
        <v>1</v>
      </c>
      <c r="S53" s="44">
        <v>1</v>
      </c>
      <c r="T53" s="44" t="s">
        <v>137</v>
      </c>
      <c r="U53" s="44" t="s">
        <v>169</v>
      </c>
      <c r="V53" s="44" t="s">
        <v>259</v>
      </c>
      <c r="W53" s="44" t="s">
        <v>260</v>
      </c>
      <c r="X53" s="44" t="s">
        <v>261</v>
      </c>
      <c r="Y53" s="44"/>
      <c r="Z53" s="44"/>
      <c r="AA53" s="44"/>
      <c r="AB53" s="44" t="s">
        <v>262</v>
      </c>
      <c r="AC53" s="44" t="s">
        <v>262</v>
      </c>
      <c r="AD53" s="44" t="s">
        <v>262</v>
      </c>
      <c r="AE53" s="44" t="s">
        <v>262</v>
      </c>
      <c r="AF53" s="44" t="s">
        <v>263</v>
      </c>
      <c r="AG53" s="44" t="s">
        <v>263</v>
      </c>
      <c r="AH53" s="44" t="s">
        <v>262</v>
      </c>
      <c r="AI53" s="44">
        <v>0.05</v>
      </c>
      <c r="AJ53" s="47" t="s">
        <v>263</v>
      </c>
    </row>
    <row r="54" spans="1:36" x14ac:dyDescent="0.45">
      <c r="A54" s="43">
        <v>55</v>
      </c>
      <c r="C54" s="44" t="s">
        <v>252</v>
      </c>
      <c r="D54" s="44" t="s">
        <v>84</v>
      </c>
      <c r="E54" s="45"/>
      <c r="F54" s="44" t="s">
        <v>1384</v>
      </c>
      <c r="G54" s="44" t="s">
        <v>254</v>
      </c>
      <c r="H54" s="44" t="s">
        <v>273</v>
      </c>
      <c r="I54" s="44" t="s">
        <v>1384</v>
      </c>
      <c r="J54" s="44" t="s">
        <v>1385</v>
      </c>
      <c r="K54" s="44" t="s">
        <v>257</v>
      </c>
      <c r="L54" s="44" t="s">
        <v>274</v>
      </c>
      <c r="M54" s="44" t="s">
        <v>1385</v>
      </c>
      <c r="N54" s="44" t="s">
        <v>371</v>
      </c>
      <c r="O54" s="44" t="s">
        <v>258</v>
      </c>
      <c r="P54" s="44" t="s">
        <v>275</v>
      </c>
      <c r="Q54" s="44" t="s">
        <v>371</v>
      </c>
      <c r="R54" s="46">
        <v>1</v>
      </c>
      <c r="S54" s="44">
        <v>1</v>
      </c>
      <c r="T54" s="44" t="s">
        <v>137</v>
      </c>
      <c r="U54" s="44" t="s">
        <v>169</v>
      </c>
      <c r="V54" s="44" t="s">
        <v>259</v>
      </c>
      <c r="W54" s="44" t="s">
        <v>260</v>
      </c>
      <c r="X54" s="44" t="s">
        <v>261</v>
      </c>
      <c r="Y54" s="44"/>
      <c r="Z54" s="44"/>
      <c r="AA54" s="44"/>
      <c r="AB54" s="44" t="s">
        <v>262</v>
      </c>
      <c r="AC54" s="44" t="s">
        <v>262</v>
      </c>
      <c r="AD54" s="44" t="s">
        <v>262</v>
      </c>
      <c r="AE54" s="44" t="s">
        <v>262</v>
      </c>
      <c r="AF54" s="44" t="s">
        <v>263</v>
      </c>
      <c r="AG54" s="44" t="s">
        <v>263</v>
      </c>
      <c r="AH54" s="44" t="s">
        <v>262</v>
      </c>
      <c r="AI54" s="44">
        <v>0.05</v>
      </c>
      <c r="AJ54" s="47" t="s">
        <v>263</v>
      </c>
    </row>
    <row r="55" spans="1:36" x14ac:dyDescent="0.45">
      <c r="A55" s="43">
        <v>56</v>
      </c>
      <c r="C55" s="44" t="s">
        <v>252</v>
      </c>
      <c r="D55" s="44" t="s">
        <v>84</v>
      </c>
      <c r="E55" s="45"/>
      <c r="F55" s="44" t="s">
        <v>415</v>
      </c>
      <c r="G55" s="44" t="s">
        <v>254</v>
      </c>
      <c r="H55" s="44" t="s">
        <v>416</v>
      </c>
      <c r="I55" s="44" t="s">
        <v>417</v>
      </c>
      <c r="J55" s="44" t="s">
        <v>418</v>
      </c>
      <c r="K55" s="44" t="s">
        <v>257</v>
      </c>
      <c r="L55" s="44" t="s">
        <v>416</v>
      </c>
      <c r="M55" s="44" t="s">
        <v>419</v>
      </c>
      <c r="N55" s="44" t="s">
        <v>420</v>
      </c>
      <c r="O55" s="44" t="s">
        <v>258</v>
      </c>
      <c r="P55" s="44" t="s">
        <v>416</v>
      </c>
      <c r="Q55" s="44" t="s">
        <v>421</v>
      </c>
      <c r="R55" s="46">
        <v>0.1</v>
      </c>
      <c r="S55" s="44">
        <v>1</v>
      </c>
      <c r="T55" s="44" t="s">
        <v>130</v>
      </c>
      <c r="U55" s="44" t="s">
        <v>169</v>
      </c>
      <c r="V55" s="44" t="s">
        <v>396</v>
      </c>
      <c r="W55" s="44" t="s">
        <v>422</v>
      </c>
      <c r="X55" s="44" t="s">
        <v>422</v>
      </c>
      <c r="Y55" s="44"/>
      <c r="Z55" s="44"/>
      <c r="AA55" s="44"/>
      <c r="AB55" s="44" t="s">
        <v>262</v>
      </c>
      <c r="AC55" s="44" t="s">
        <v>262</v>
      </c>
      <c r="AD55" s="44" t="s">
        <v>262</v>
      </c>
      <c r="AE55" s="44" t="s">
        <v>262</v>
      </c>
      <c r="AF55" s="44" t="s">
        <v>263</v>
      </c>
      <c r="AG55" s="44" t="s">
        <v>263</v>
      </c>
      <c r="AH55" s="44" t="s">
        <v>262</v>
      </c>
      <c r="AI55" s="44">
        <v>0.05</v>
      </c>
      <c r="AJ55" s="47" t="s">
        <v>263</v>
      </c>
    </row>
    <row r="56" spans="1:36" x14ac:dyDescent="0.45">
      <c r="A56" s="43">
        <v>56</v>
      </c>
      <c r="C56" s="44" t="s">
        <v>252</v>
      </c>
      <c r="D56" s="44" t="s">
        <v>84</v>
      </c>
      <c r="E56" s="45"/>
      <c r="F56" s="44" t="s">
        <v>415</v>
      </c>
      <c r="G56" s="44" t="s">
        <v>254</v>
      </c>
      <c r="H56" s="44" t="s">
        <v>255</v>
      </c>
      <c r="I56" s="44" t="s">
        <v>423</v>
      </c>
      <c r="J56" s="44" t="s">
        <v>418</v>
      </c>
      <c r="K56" s="44" t="s">
        <v>257</v>
      </c>
      <c r="L56" s="44" t="s">
        <v>255</v>
      </c>
      <c r="M56" s="44" t="s">
        <v>424</v>
      </c>
      <c r="N56" s="44" t="s">
        <v>420</v>
      </c>
      <c r="O56" s="44" t="s">
        <v>258</v>
      </c>
      <c r="P56" s="44" t="s">
        <v>255</v>
      </c>
      <c r="Q56" s="44" t="s">
        <v>425</v>
      </c>
      <c r="R56" s="46">
        <v>0.25</v>
      </c>
      <c r="S56" s="44">
        <v>1</v>
      </c>
      <c r="T56" s="44" t="s">
        <v>130</v>
      </c>
      <c r="U56" s="44" t="s">
        <v>169</v>
      </c>
      <c r="V56" s="44" t="s">
        <v>396</v>
      </c>
      <c r="W56" s="44" t="s">
        <v>422</v>
      </c>
      <c r="X56" s="44" t="s">
        <v>422</v>
      </c>
      <c r="Y56" s="44"/>
      <c r="Z56" s="44"/>
      <c r="AA56" s="44"/>
      <c r="AB56" s="44" t="s">
        <v>262</v>
      </c>
      <c r="AC56" s="44" t="s">
        <v>262</v>
      </c>
      <c r="AD56" s="44" t="s">
        <v>262</v>
      </c>
      <c r="AE56" s="44" t="s">
        <v>262</v>
      </c>
      <c r="AF56" s="44" t="s">
        <v>263</v>
      </c>
      <c r="AG56" s="44" t="s">
        <v>263</v>
      </c>
      <c r="AH56" s="44" t="s">
        <v>262</v>
      </c>
      <c r="AI56" s="44">
        <v>0.05</v>
      </c>
      <c r="AJ56" s="47" t="s">
        <v>263</v>
      </c>
    </row>
    <row r="57" spans="1:36" x14ac:dyDescent="0.45">
      <c r="A57" s="43">
        <v>57</v>
      </c>
      <c r="C57" s="44" t="s">
        <v>252</v>
      </c>
      <c r="D57" s="44" t="s">
        <v>84</v>
      </c>
      <c r="E57" s="45"/>
      <c r="F57" s="44" t="s">
        <v>426</v>
      </c>
      <c r="G57" s="44" t="s">
        <v>254</v>
      </c>
      <c r="H57" s="44" t="s">
        <v>273</v>
      </c>
      <c r="I57" s="44" t="s">
        <v>426</v>
      </c>
      <c r="J57" s="44" t="s">
        <v>427</v>
      </c>
      <c r="K57" s="44" t="s">
        <v>257</v>
      </c>
      <c r="L57" s="44" t="s">
        <v>274</v>
      </c>
      <c r="M57" s="44" t="s">
        <v>427</v>
      </c>
      <c r="N57" s="44" t="s">
        <v>428</v>
      </c>
      <c r="O57" s="44" t="s">
        <v>258</v>
      </c>
      <c r="P57" s="44" t="s">
        <v>275</v>
      </c>
      <c r="Q57" s="44" t="s">
        <v>428</v>
      </c>
      <c r="R57" s="46">
        <v>1</v>
      </c>
      <c r="S57" s="44">
        <v>1</v>
      </c>
      <c r="T57" s="44" t="s">
        <v>137</v>
      </c>
      <c r="U57" s="44" t="s">
        <v>169</v>
      </c>
      <c r="V57" s="44" t="s">
        <v>396</v>
      </c>
      <c r="W57" s="44" t="s">
        <v>422</v>
      </c>
      <c r="X57" s="44" t="s">
        <v>422</v>
      </c>
      <c r="Y57" s="44"/>
      <c r="Z57" s="44"/>
      <c r="AA57" s="44"/>
      <c r="AB57" s="44" t="s">
        <v>262</v>
      </c>
      <c r="AC57" s="44" t="s">
        <v>262</v>
      </c>
      <c r="AD57" s="44" t="s">
        <v>262</v>
      </c>
      <c r="AE57" s="44" t="s">
        <v>262</v>
      </c>
      <c r="AF57" s="44" t="s">
        <v>263</v>
      </c>
      <c r="AG57" s="44" t="s">
        <v>263</v>
      </c>
      <c r="AH57" s="44" t="s">
        <v>262</v>
      </c>
      <c r="AI57" s="44">
        <v>0</v>
      </c>
      <c r="AJ57" s="47" t="s">
        <v>263</v>
      </c>
    </row>
    <row r="58" spans="1:36" x14ac:dyDescent="0.45">
      <c r="A58" s="43">
        <v>58</v>
      </c>
      <c r="C58" s="44" t="s">
        <v>252</v>
      </c>
      <c r="D58" s="44" t="s">
        <v>84</v>
      </c>
      <c r="E58" s="45"/>
      <c r="F58" s="44" t="s">
        <v>1390</v>
      </c>
      <c r="G58" s="44" t="s">
        <v>254</v>
      </c>
      <c r="H58" s="44" t="s">
        <v>255</v>
      </c>
      <c r="I58" s="44" t="s">
        <v>429</v>
      </c>
      <c r="J58" s="44" t="s">
        <v>430</v>
      </c>
      <c r="K58" s="44" t="s">
        <v>257</v>
      </c>
      <c r="L58" s="44" t="s">
        <v>255</v>
      </c>
      <c r="M58" s="44" t="s">
        <v>431</v>
      </c>
      <c r="N58" s="44" t="s">
        <v>1391</v>
      </c>
      <c r="O58" s="44" t="s">
        <v>258</v>
      </c>
      <c r="P58" s="44" t="s">
        <v>255</v>
      </c>
      <c r="Q58" s="44" t="s">
        <v>432</v>
      </c>
      <c r="R58" s="46">
        <v>0.25</v>
      </c>
      <c r="S58" s="44">
        <v>1</v>
      </c>
      <c r="T58" s="44" t="s">
        <v>130</v>
      </c>
      <c r="U58" s="44" t="s">
        <v>169</v>
      </c>
      <c r="V58" s="44" t="s">
        <v>396</v>
      </c>
      <c r="W58" s="44" t="s">
        <v>422</v>
      </c>
      <c r="X58" s="44" t="s">
        <v>422</v>
      </c>
      <c r="Y58" s="44"/>
      <c r="Z58" s="44"/>
      <c r="AA58" s="44"/>
      <c r="AB58" s="44" t="s">
        <v>262</v>
      </c>
      <c r="AC58" s="44" t="s">
        <v>262</v>
      </c>
      <c r="AD58" s="44" t="s">
        <v>262</v>
      </c>
      <c r="AE58" s="44" t="s">
        <v>262</v>
      </c>
      <c r="AF58" s="44" t="s">
        <v>263</v>
      </c>
      <c r="AG58" s="44" t="s">
        <v>263</v>
      </c>
      <c r="AH58" s="44" t="s">
        <v>262</v>
      </c>
      <c r="AI58" s="44">
        <v>0</v>
      </c>
      <c r="AJ58" s="47" t="s">
        <v>263</v>
      </c>
    </row>
    <row r="59" spans="1:36" x14ac:dyDescent="0.45">
      <c r="A59" s="43">
        <v>59</v>
      </c>
      <c r="C59" s="44" t="s">
        <v>252</v>
      </c>
      <c r="D59" s="44" t="s">
        <v>84</v>
      </c>
      <c r="E59" s="45"/>
      <c r="F59" s="44" t="s">
        <v>1390</v>
      </c>
      <c r="G59" s="44" t="s">
        <v>254</v>
      </c>
      <c r="H59" s="44" t="s">
        <v>268</v>
      </c>
      <c r="I59" s="44" t="s">
        <v>433</v>
      </c>
      <c r="J59" s="44" t="s">
        <v>430</v>
      </c>
      <c r="K59" s="44" t="s">
        <v>257</v>
      </c>
      <c r="L59" s="44" t="s">
        <v>268</v>
      </c>
      <c r="M59" s="44" t="s">
        <v>434</v>
      </c>
      <c r="N59" s="44" t="s">
        <v>1391</v>
      </c>
      <c r="O59" s="44" t="s">
        <v>258</v>
      </c>
      <c r="P59" s="44" t="s">
        <v>268</v>
      </c>
      <c r="Q59" s="44" t="s">
        <v>435</v>
      </c>
      <c r="R59" s="46">
        <v>0.5</v>
      </c>
      <c r="S59" s="44">
        <v>1</v>
      </c>
      <c r="T59" s="44" t="s">
        <v>130</v>
      </c>
      <c r="U59" s="44" t="s">
        <v>169</v>
      </c>
      <c r="V59" s="44" t="s">
        <v>396</v>
      </c>
      <c r="W59" s="44" t="s">
        <v>422</v>
      </c>
      <c r="X59" s="44" t="s">
        <v>422</v>
      </c>
      <c r="Y59" s="44"/>
      <c r="Z59" s="44"/>
      <c r="AA59" s="44"/>
      <c r="AB59" s="44" t="s">
        <v>262</v>
      </c>
      <c r="AC59" s="44" t="s">
        <v>262</v>
      </c>
      <c r="AD59" s="44" t="s">
        <v>262</v>
      </c>
      <c r="AE59" s="44" t="s">
        <v>262</v>
      </c>
      <c r="AF59" s="44" t="s">
        <v>263</v>
      </c>
      <c r="AG59" s="44" t="s">
        <v>263</v>
      </c>
      <c r="AH59" s="44" t="s">
        <v>262</v>
      </c>
      <c r="AI59" s="44">
        <v>0</v>
      </c>
      <c r="AJ59" s="47" t="s">
        <v>263</v>
      </c>
    </row>
    <row r="60" spans="1:36" x14ac:dyDescent="0.45">
      <c r="A60" s="43">
        <v>60</v>
      </c>
      <c r="C60" s="44" t="s">
        <v>252</v>
      </c>
      <c r="D60" s="44" t="s">
        <v>84</v>
      </c>
      <c r="E60" s="45"/>
      <c r="F60" s="44" t="s">
        <v>1394</v>
      </c>
      <c r="G60" s="44" t="s">
        <v>254</v>
      </c>
      <c r="H60" s="44" t="s">
        <v>273</v>
      </c>
      <c r="I60" s="44" t="s">
        <v>1394</v>
      </c>
      <c r="J60" s="44" t="s">
        <v>1395</v>
      </c>
      <c r="K60" s="44" t="s">
        <v>257</v>
      </c>
      <c r="L60" s="44" t="s">
        <v>274</v>
      </c>
      <c r="M60" s="44" t="s">
        <v>1395</v>
      </c>
      <c r="N60" s="44" t="s">
        <v>1396</v>
      </c>
      <c r="O60" s="44" t="s">
        <v>258</v>
      </c>
      <c r="P60" s="44" t="s">
        <v>275</v>
      </c>
      <c r="Q60" s="44" t="s">
        <v>1396</v>
      </c>
      <c r="R60" s="46">
        <v>1</v>
      </c>
      <c r="S60" s="44">
        <v>1</v>
      </c>
      <c r="T60" s="44" t="s">
        <v>137</v>
      </c>
      <c r="U60" s="44" t="s">
        <v>169</v>
      </c>
      <c r="V60" s="44" t="s">
        <v>396</v>
      </c>
      <c r="W60" s="44" t="s">
        <v>452</v>
      </c>
      <c r="X60" s="44" t="s">
        <v>452</v>
      </c>
      <c r="Y60" s="44"/>
      <c r="Z60" s="44"/>
      <c r="AA60" s="44"/>
      <c r="AB60" s="44" t="s">
        <v>262</v>
      </c>
      <c r="AC60" s="44" t="s">
        <v>262</v>
      </c>
      <c r="AD60" s="44" t="s">
        <v>262</v>
      </c>
      <c r="AE60" s="44" t="s">
        <v>262</v>
      </c>
      <c r="AF60" s="44" t="s">
        <v>263</v>
      </c>
      <c r="AG60" s="44" t="s">
        <v>263</v>
      </c>
      <c r="AH60" s="44" t="s">
        <v>262</v>
      </c>
      <c r="AI60" s="44">
        <v>0.05</v>
      </c>
      <c r="AJ60" s="47" t="s">
        <v>263</v>
      </c>
    </row>
    <row r="61" spans="1:36" x14ac:dyDescent="0.45">
      <c r="A61" s="43">
        <v>61</v>
      </c>
      <c r="C61" s="44" t="s">
        <v>252</v>
      </c>
      <c r="D61" s="44" t="s">
        <v>84</v>
      </c>
      <c r="E61" s="45"/>
      <c r="F61" s="44" t="s">
        <v>436</v>
      </c>
      <c r="G61" s="44" t="s">
        <v>254</v>
      </c>
      <c r="H61" s="44" t="s">
        <v>437</v>
      </c>
      <c r="I61" s="44" t="s">
        <v>438</v>
      </c>
      <c r="J61" s="44" t="s">
        <v>1392</v>
      </c>
      <c r="K61" s="44" t="s">
        <v>257</v>
      </c>
      <c r="L61" s="44" t="s">
        <v>437</v>
      </c>
      <c r="M61" s="44" t="s">
        <v>439</v>
      </c>
      <c r="N61" s="44" t="s">
        <v>1393</v>
      </c>
      <c r="O61" s="44" t="s">
        <v>258</v>
      </c>
      <c r="P61" s="44" t="s">
        <v>437</v>
      </c>
      <c r="Q61" s="44" t="s">
        <v>440</v>
      </c>
      <c r="R61" s="46">
        <v>0.15</v>
      </c>
      <c r="S61" s="44">
        <v>1</v>
      </c>
      <c r="T61" s="44" t="s">
        <v>130</v>
      </c>
      <c r="U61" s="44" t="s">
        <v>169</v>
      </c>
      <c r="V61" s="44" t="s">
        <v>396</v>
      </c>
      <c r="W61" s="44" t="s">
        <v>422</v>
      </c>
      <c r="X61" s="44" t="s">
        <v>422</v>
      </c>
      <c r="Y61" s="44"/>
      <c r="Z61" s="44"/>
      <c r="AA61" s="44"/>
      <c r="AB61" s="44" t="s">
        <v>262</v>
      </c>
      <c r="AC61" s="44" t="s">
        <v>262</v>
      </c>
      <c r="AD61" s="44" t="s">
        <v>262</v>
      </c>
      <c r="AE61" s="44" t="s">
        <v>262</v>
      </c>
      <c r="AF61" s="44" t="s">
        <v>263</v>
      </c>
      <c r="AG61" s="44" t="s">
        <v>263</v>
      </c>
      <c r="AH61" s="44" t="s">
        <v>262</v>
      </c>
      <c r="AI61" s="44">
        <v>0</v>
      </c>
      <c r="AJ61" s="47" t="s">
        <v>263</v>
      </c>
    </row>
    <row r="62" spans="1:36" x14ac:dyDescent="0.45">
      <c r="A62" s="43">
        <v>61</v>
      </c>
      <c r="C62" s="44" t="s">
        <v>252</v>
      </c>
      <c r="D62" s="44" t="s">
        <v>84</v>
      </c>
      <c r="E62" s="45"/>
      <c r="F62" s="44" t="s">
        <v>436</v>
      </c>
      <c r="G62" s="44" t="s">
        <v>254</v>
      </c>
      <c r="H62" s="44" t="s">
        <v>255</v>
      </c>
      <c r="I62" s="44" t="s">
        <v>441</v>
      </c>
      <c r="J62" s="44" t="s">
        <v>1392</v>
      </c>
      <c r="K62" s="44" t="s">
        <v>257</v>
      </c>
      <c r="L62" s="44" t="s">
        <v>255</v>
      </c>
      <c r="M62" s="44" t="s">
        <v>442</v>
      </c>
      <c r="N62" s="44" t="s">
        <v>1393</v>
      </c>
      <c r="O62" s="44" t="s">
        <v>258</v>
      </c>
      <c r="P62" s="44" t="s">
        <v>255</v>
      </c>
      <c r="Q62" s="44" t="s">
        <v>443</v>
      </c>
      <c r="R62" s="46">
        <v>0.25</v>
      </c>
      <c r="S62" s="44">
        <v>1</v>
      </c>
      <c r="T62" s="44" t="s">
        <v>130</v>
      </c>
      <c r="U62" s="44" t="s">
        <v>169</v>
      </c>
      <c r="V62" s="44" t="s">
        <v>396</v>
      </c>
      <c r="W62" s="44" t="s">
        <v>422</v>
      </c>
      <c r="X62" s="44" t="s">
        <v>422</v>
      </c>
      <c r="Y62" s="44"/>
      <c r="Z62" s="44"/>
      <c r="AA62" s="44"/>
      <c r="AB62" s="44" t="s">
        <v>262</v>
      </c>
      <c r="AC62" s="44" t="s">
        <v>262</v>
      </c>
      <c r="AD62" s="44" t="s">
        <v>262</v>
      </c>
      <c r="AE62" s="44" t="s">
        <v>262</v>
      </c>
      <c r="AF62" s="44" t="s">
        <v>263</v>
      </c>
      <c r="AG62" s="44" t="s">
        <v>263</v>
      </c>
      <c r="AH62" s="44" t="s">
        <v>262</v>
      </c>
      <c r="AI62" s="44">
        <v>0</v>
      </c>
      <c r="AJ62" s="47" t="s">
        <v>263</v>
      </c>
    </row>
    <row r="63" spans="1:36" x14ac:dyDescent="0.45">
      <c r="A63" s="43">
        <v>61</v>
      </c>
      <c r="C63" s="44" t="s">
        <v>252</v>
      </c>
      <c r="D63" s="44" t="s">
        <v>84</v>
      </c>
      <c r="E63" s="45"/>
      <c r="F63" s="44" t="s">
        <v>436</v>
      </c>
      <c r="G63" s="44" t="s">
        <v>254</v>
      </c>
      <c r="H63" s="44" t="s">
        <v>444</v>
      </c>
      <c r="I63" s="44" t="s">
        <v>445</v>
      </c>
      <c r="J63" s="44" t="s">
        <v>1392</v>
      </c>
      <c r="K63" s="44" t="s">
        <v>257</v>
      </c>
      <c r="L63" s="44" t="s">
        <v>444</v>
      </c>
      <c r="M63" s="44" t="s">
        <v>446</v>
      </c>
      <c r="N63" s="44" t="s">
        <v>1393</v>
      </c>
      <c r="O63" s="44" t="s">
        <v>258</v>
      </c>
      <c r="P63" s="44" t="s">
        <v>444</v>
      </c>
      <c r="Q63" s="44" t="s">
        <v>447</v>
      </c>
      <c r="R63" s="46">
        <v>0.35</v>
      </c>
      <c r="S63" s="44">
        <v>1</v>
      </c>
      <c r="T63" s="44" t="s">
        <v>130</v>
      </c>
      <c r="U63" s="44" t="s">
        <v>169</v>
      </c>
      <c r="V63" s="44" t="s">
        <v>396</v>
      </c>
      <c r="W63" s="44" t="s">
        <v>422</v>
      </c>
      <c r="X63" s="44" t="s">
        <v>422</v>
      </c>
      <c r="Y63" s="44"/>
      <c r="Z63" s="44"/>
      <c r="AA63" s="44"/>
      <c r="AB63" s="44" t="s">
        <v>262</v>
      </c>
      <c r="AC63" s="44" t="s">
        <v>262</v>
      </c>
      <c r="AD63" s="44" t="s">
        <v>262</v>
      </c>
      <c r="AE63" s="44" t="s">
        <v>262</v>
      </c>
      <c r="AF63" s="44" t="s">
        <v>263</v>
      </c>
      <c r="AG63" s="44" t="s">
        <v>263</v>
      </c>
      <c r="AH63" s="44" t="s">
        <v>262</v>
      </c>
      <c r="AI63" s="44">
        <v>0</v>
      </c>
      <c r="AJ63" s="47" t="s">
        <v>263</v>
      </c>
    </row>
    <row r="64" spans="1:36" x14ac:dyDescent="0.45">
      <c r="A64" s="43">
        <v>61</v>
      </c>
      <c r="C64" s="44" t="s">
        <v>252</v>
      </c>
      <c r="D64" s="44" t="s">
        <v>84</v>
      </c>
      <c r="E64" s="45"/>
      <c r="F64" s="44" t="s">
        <v>436</v>
      </c>
      <c r="G64" s="44" t="s">
        <v>254</v>
      </c>
      <c r="H64" s="44" t="s">
        <v>448</v>
      </c>
      <c r="I64" s="44" t="s">
        <v>449</v>
      </c>
      <c r="J64" s="44" t="s">
        <v>1392</v>
      </c>
      <c r="K64" s="44" t="s">
        <v>257</v>
      </c>
      <c r="L64" s="44" t="s">
        <v>448</v>
      </c>
      <c r="M64" s="44" t="s">
        <v>450</v>
      </c>
      <c r="N64" s="44" t="s">
        <v>1393</v>
      </c>
      <c r="O64" s="44" t="s">
        <v>258</v>
      </c>
      <c r="P64" s="44" t="s">
        <v>448</v>
      </c>
      <c r="Q64" s="44" t="s">
        <v>451</v>
      </c>
      <c r="R64" s="46">
        <v>0.45</v>
      </c>
      <c r="S64" s="44">
        <v>1</v>
      </c>
      <c r="T64" s="44" t="s">
        <v>130</v>
      </c>
      <c r="U64" s="44" t="s">
        <v>169</v>
      </c>
      <c r="V64" s="44" t="s">
        <v>396</v>
      </c>
      <c r="W64" s="44" t="s">
        <v>422</v>
      </c>
      <c r="X64" s="44" t="s">
        <v>422</v>
      </c>
      <c r="Y64" s="44"/>
      <c r="Z64" s="44"/>
      <c r="AA64" s="44"/>
      <c r="AB64" s="44" t="s">
        <v>262</v>
      </c>
      <c r="AC64" s="44" t="s">
        <v>262</v>
      </c>
      <c r="AD64" s="44" t="s">
        <v>262</v>
      </c>
      <c r="AE64" s="44" t="s">
        <v>262</v>
      </c>
      <c r="AF64" s="44" t="s">
        <v>263</v>
      </c>
      <c r="AG64" s="44" t="s">
        <v>263</v>
      </c>
      <c r="AH64" s="44" t="s">
        <v>262</v>
      </c>
      <c r="AI64" s="44">
        <v>0</v>
      </c>
      <c r="AJ64" s="47" t="s">
        <v>263</v>
      </c>
    </row>
    <row r="65" spans="1:36" x14ac:dyDescent="0.45">
      <c r="A65" s="43">
        <v>62</v>
      </c>
      <c r="C65" s="44" t="s">
        <v>252</v>
      </c>
      <c r="D65" s="44" t="s">
        <v>84</v>
      </c>
      <c r="E65" s="45"/>
      <c r="F65" s="44" t="s">
        <v>1386</v>
      </c>
      <c r="G65" s="44" t="s">
        <v>254</v>
      </c>
      <c r="H65" s="44" t="s">
        <v>268</v>
      </c>
      <c r="I65" s="44" t="s">
        <v>393</v>
      </c>
      <c r="J65" s="44" t="s">
        <v>1387</v>
      </c>
      <c r="K65" s="44" t="s">
        <v>257</v>
      </c>
      <c r="L65" s="44" t="s">
        <v>268</v>
      </c>
      <c r="M65" s="44" t="s">
        <v>394</v>
      </c>
      <c r="N65" s="44" t="s">
        <v>1388</v>
      </c>
      <c r="O65" s="44" t="s">
        <v>258</v>
      </c>
      <c r="P65" s="44" t="s">
        <v>268</v>
      </c>
      <c r="Q65" s="44" t="s">
        <v>395</v>
      </c>
      <c r="R65" s="46">
        <v>0.5</v>
      </c>
      <c r="S65" s="44">
        <v>1</v>
      </c>
      <c r="T65" s="44" t="s">
        <v>131</v>
      </c>
      <c r="U65" s="44" t="s">
        <v>169</v>
      </c>
      <c r="V65" s="44" t="s">
        <v>396</v>
      </c>
      <c r="W65" s="44" t="s">
        <v>397</v>
      </c>
      <c r="X65" s="44" t="s">
        <v>397</v>
      </c>
      <c r="Y65" s="44"/>
      <c r="Z65" s="44"/>
      <c r="AA65" s="44"/>
      <c r="AB65" s="44" t="s">
        <v>262</v>
      </c>
      <c r="AC65" s="44" t="s">
        <v>262</v>
      </c>
      <c r="AD65" s="44" t="s">
        <v>262</v>
      </c>
      <c r="AE65" s="44" t="s">
        <v>262</v>
      </c>
      <c r="AF65" s="44" t="s">
        <v>263</v>
      </c>
      <c r="AG65" s="44" t="s">
        <v>263</v>
      </c>
      <c r="AH65" s="44" t="s">
        <v>262</v>
      </c>
      <c r="AI65" s="44">
        <v>0</v>
      </c>
      <c r="AJ65" s="47" t="s">
        <v>263</v>
      </c>
    </row>
    <row r="66" spans="1:36" x14ac:dyDescent="0.45">
      <c r="A66" s="43">
        <v>62</v>
      </c>
      <c r="C66" s="44" t="s">
        <v>252</v>
      </c>
      <c r="D66" s="44" t="s">
        <v>84</v>
      </c>
      <c r="E66" s="45"/>
      <c r="F66" s="44" t="s">
        <v>1386</v>
      </c>
      <c r="G66" s="44" t="s">
        <v>254</v>
      </c>
      <c r="H66" s="44" t="s">
        <v>307</v>
      </c>
      <c r="I66" s="44" t="s">
        <v>398</v>
      </c>
      <c r="J66" s="44" t="s">
        <v>1387</v>
      </c>
      <c r="K66" s="44" t="s">
        <v>257</v>
      </c>
      <c r="L66" s="44" t="s">
        <v>307</v>
      </c>
      <c r="M66" s="44" t="s">
        <v>399</v>
      </c>
      <c r="N66" s="44" t="s">
        <v>1388</v>
      </c>
      <c r="O66" s="44" t="s">
        <v>258</v>
      </c>
      <c r="P66" s="44" t="s">
        <v>307</v>
      </c>
      <c r="Q66" s="44" t="s">
        <v>400</v>
      </c>
      <c r="R66" s="46">
        <v>1</v>
      </c>
      <c r="S66" s="44">
        <v>1</v>
      </c>
      <c r="T66" s="44" t="s">
        <v>131</v>
      </c>
      <c r="U66" s="44" t="s">
        <v>169</v>
      </c>
      <c r="V66" s="44" t="s">
        <v>396</v>
      </c>
      <c r="W66" s="44" t="s">
        <v>397</v>
      </c>
      <c r="X66" s="44" t="s">
        <v>397</v>
      </c>
      <c r="Y66" s="44"/>
      <c r="Z66" s="44"/>
      <c r="AA66" s="44"/>
      <c r="AB66" s="44" t="s">
        <v>262</v>
      </c>
      <c r="AC66" s="44" t="s">
        <v>262</v>
      </c>
      <c r="AD66" s="44" t="s">
        <v>262</v>
      </c>
      <c r="AE66" s="44" t="s">
        <v>262</v>
      </c>
      <c r="AF66" s="44" t="s">
        <v>263</v>
      </c>
      <c r="AG66" s="44" t="s">
        <v>263</v>
      </c>
      <c r="AH66" s="44" t="s">
        <v>262</v>
      </c>
      <c r="AI66" s="44">
        <v>0</v>
      </c>
      <c r="AJ66" s="47" t="s">
        <v>263</v>
      </c>
    </row>
    <row r="67" spans="1:36" x14ac:dyDescent="0.45">
      <c r="A67" s="43">
        <v>63</v>
      </c>
      <c r="C67" s="44" t="s">
        <v>252</v>
      </c>
      <c r="D67" s="44" t="s">
        <v>84</v>
      </c>
      <c r="E67" s="45"/>
      <c r="F67" s="44" t="s">
        <v>411</v>
      </c>
      <c r="G67" s="44" t="s">
        <v>254</v>
      </c>
      <c r="H67" s="44" t="s">
        <v>273</v>
      </c>
      <c r="I67" s="44" t="s">
        <v>411</v>
      </c>
      <c r="J67" s="44" t="s">
        <v>412</v>
      </c>
      <c r="K67" s="44" t="s">
        <v>257</v>
      </c>
      <c r="L67" s="44" t="s">
        <v>274</v>
      </c>
      <c r="M67" s="44" t="s">
        <v>412</v>
      </c>
      <c r="N67" s="44" t="s">
        <v>413</v>
      </c>
      <c r="O67" s="44" t="s">
        <v>258</v>
      </c>
      <c r="P67" s="44" t="s">
        <v>275</v>
      </c>
      <c r="Q67" s="44" t="s">
        <v>413</v>
      </c>
      <c r="R67" s="46">
        <v>1</v>
      </c>
      <c r="S67" s="44">
        <v>1</v>
      </c>
      <c r="T67" s="44" t="s">
        <v>137</v>
      </c>
      <c r="U67" s="44" t="s">
        <v>169</v>
      </c>
      <c r="V67" s="44" t="s">
        <v>396</v>
      </c>
      <c r="W67" s="44" t="s">
        <v>414</v>
      </c>
      <c r="X67" s="44" t="s">
        <v>414</v>
      </c>
      <c r="Y67" s="44"/>
      <c r="Z67" s="44"/>
      <c r="AA67" s="44"/>
      <c r="AB67" s="44" t="s">
        <v>262</v>
      </c>
      <c r="AC67" s="44" t="s">
        <v>262</v>
      </c>
      <c r="AD67" s="44" t="s">
        <v>262</v>
      </c>
      <c r="AE67" s="44" t="s">
        <v>262</v>
      </c>
      <c r="AF67" s="44" t="s">
        <v>263</v>
      </c>
      <c r="AG67" s="44" t="s">
        <v>263</v>
      </c>
      <c r="AH67" s="44" t="s">
        <v>262</v>
      </c>
      <c r="AI67" s="44">
        <v>0.05</v>
      </c>
      <c r="AJ67" s="47" t="s">
        <v>263</v>
      </c>
    </row>
    <row r="68" spans="1:36" x14ac:dyDescent="0.45">
      <c r="A68" s="43">
        <v>64</v>
      </c>
      <c r="C68" s="44" t="s">
        <v>252</v>
      </c>
      <c r="D68" s="44" t="s">
        <v>84</v>
      </c>
      <c r="E68" s="45"/>
      <c r="F68" s="44" t="s">
        <v>1389</v>
      </c>
      <c r="G68" s="44" t="s">
        <v>254</v>
      </c>
      <c r="H68" s="44" t="s">
        <v>401</v>
      </c>
      <c r="I68" s="44" t="s">
        <v>402</v>
      </c>
      <c r="J68" s="44" t="s">
        <v>403</v>
      </c>
      <c r="K68" s="44" t="s">
        <v>257</v>
      </c>
      <c r="L68" s="44" t="s">
        <v>401</v>
      </c>
      <c r="M68" s="44" t="s">
        <v>404</v>
      </c>
      <c r="N68" s="44" t="s">
        <v>405</v>
      </c>
      <c r="O68" s="44" t="s">
        <v>258</v>
      </c>
      <c r="P68" s="44" t="s">
        <v>401</v>
      </c>
      <c r="Q68" s="44" t="s">
        <v>406</v>
      </c>
      <c r="R68" s="46">
        <v>0.5</v>
      </c>
      <c r="S68" s="44">
        <v>1</v>
      </c>
      <c r="T68" s="44" t="s">
        <v>133</v>
      </c>
      <c r="U68" s="44" t="s">
        <v>169</v>
      </c>
      <c r="V68" s="44" t="s">
        <v>396</v>
      </c>
      <c r="W68" s="44" t="s">
        <v>407</v>
      </c>
      <c r="X68" s="44" t="s">
        <v>407</v>
      </c>
      <c r="Y68" s="44"/>
      <c r="Z68" s="44"/>
      <c r="AA68" s="44"/>
      <c r="AB68" s="44" t="s">
        <v>262</v>
      </c>
      <c r="AC68" s="44" t="s">
        <v>262</v>
      </c>
      <c r="AD68" s="44" t="s">
        <v>262</v>
      </c>
      <c r="AE68" s="44" t="s">
        <v>262</v>
      </c>
      <c r="AF68" s="44" t="s">
        <v>263</v>
      </c>
      <c r="AG68" s="44" t="s">
        <v>263</v>
      </c>
      <c r="AH68" s="44" t="s">
        <v>262</v>
      </c>
      <c r="AI68" s="44">
        <v>0</v>
      </c>
      <c r="AJ68" s="47" t="s">
        <v>263</v>
      </c>
    </row>
    <row r="69" spans="1:36" x14ac:dyDescent="0.45">
      <c r="A69" s="43">
        <v>64</v>
      </c>
      <c r="C69" s="44" t="s">
        <v>252</v>
      </c>
      <c r="D69" s="44" t="s">
        <v>84</v>
      </c>
      <c r="E69" s="45"/>
      <c r="F69" s="44" t="s">
        <v>1389</v>
      </c>
      <c r="G69" s="44" t="s">
        <v>254</v>
      </c>
      <c r="H69" s="44" t="s">
        <v>387</v>
      </c>
      <c r="I69" s="44" t="s">
        <v>408</v>
      </c>
      <c r="J69" s="44" t="s">
        <v>403</v>
      </c>
      <c r="K69" s="44" t="s">
        <v>257</v>
      </c>
      <c r="L69" s="44" t="s">
        <v>387</v>
      </c>
      <c r="M69" s="44" t="s">
        <v>409</v>
      </c>
      <c r="N69" s="44" t="s">
        <v>405</v>
      </c>
      <c r="O69" s="44" t="s">
        <v>258</v>
      </c>
      <c r="P69" s="44" t="s">
        <v>387</v>
      </c>
      <c r="Q69" s="44" t="s">
        <v>410</v>
      </c>
      <c r="R69" s="46">
        <v>1</v>
      </c>
      <c r="S69" s="44">
        <v>1</v>
      </c>
      <c r="T69" s="44" t="s">
        <v>133</v>
      </c>
      <c r="U69" s="44" t="s">
        <v>169</v>
      </c>
      <c r="V69" s="44" t="s">
        <v>396</v>
      </c>
      <c r="W69" s="44" t="s">
        <v>407</v>
      </c>
      <c r="X69" s="44" t="s">
        <v>407</v>
      </c>
      <c r="Y69" s="44"/>
      <c r="Z69" s="44"/>
      <c r="AA69" s="44"/>
      <c r="AB69" s="44" t="s">
        <v>262</v>
      </c>
      <c r="AC69" s="44" t="s">
        <v>262</v>
      </c>
      <c r="AD69" s="44" t="s">
        <v>262</v>
      </c>
      <c r="AE69" s="44" t="s">
        <v>262</v>
      </c>
      <c r="AF69" s="44" t="s">
        <v>263</v>
      </c>
      <c r="AG69" s="44" t="s">
        <v>263</v>
      </c>
      <c r="AH69" s="44" t="s">
        <v>262</v>
      </c>
      <c r="AI69" s="44">
        <v>0</v>
      </c>
      <c r="AJ69" s="47" t="s">
        <v>263</v>
      </c>
    </row>
    <row r="70" spans="1:36" x14ac:dyDescent="0.45">
      <c r="A70" s="43">
        <v>65</v>
      </c>
      <c r="B70" s="81">
        <v>861</v>
      </c>
      <c r="C70" s="44" t="s">
        <v>503</v>
      </c>
      <c r="D70" s="44" t="s">
        <v>84</v>
      </c>
      <c r="E70" s="45"/>
      <c r="F70" s="44" t="s">
        <v>1407</v>
      </c>
      <c r="G70" s="44" t="s">
        <v>254</v>
      </c>
      <c r="H70" s="44" t="s">
        <v>520</v>
      </c>
      <c r="I70" s="44" t="s">
        <v>607</v>
      </c>
      <c r="J70" s="44" t="s">
        <v>1408</v>
      </c>
      <c r="K70" s="44" t="s">
        <v>257</v>
      </c>
      <c r="L70" s="44" t="s">
        <v>523</v>
      </c>
      <c r="M70" s="44" t="s">
        <v>608</v>
      </c>
      <c r="N70" s="44" t="s">
        <v>609</v>
      </c>
      <c r="O70" s="44" t="s">
        <v>258</v>
      </c>
      <c r="P70" s="44" t="s">
        <v>524</v>
      </c>
      <c r="Q70" s="44" t="s">
        <v>610</v>
      </c>
      <c r="R70" s="46">
        <v>2</v>
      </c>
      <c r="S70" s="44">
        <v>100</v>
      </c>
      <c r="T70" s="44" t="s">
        <v>130</v>
      </c>
      <c r="U70" s="44" t="s">
        <v>169</v>
      </c>
      <c r="V70" s="44" t="s">
        <v>462</v>
      </c>
      <c r="W70" s="44" t="s">
        <v>515</v>
      </c>
      <c r="X70" s="44" t="s">
        <v>611</v>
      </c>
      <c r="Y70" s="44"/>
      <c r="Z70" s="44"/>
      <c r="AA70" s="44"/>
      <c r="AB70" s="44" t="s">
        <v>262</v>
      </c>
      <c r="AC70" s="44" t="s">
        <v>262</v>
      </c>
      <c r="AD70" s="44" t="s">
        <v>262</v>
      </c>
      <c r="AE70" s="44" t="s">
        <v>262</v>
      </c>
      <c r="AF70" s="44" t="s">
        <v>263</v>
      </c>
      <c r="AG70" s="44" t="s">
        <v>263</v>
      </c>
      <c r="AH70" s="44" t="s">
        <v>262</v>
      </c>
      <c r="AI70" s="44">
        <v>0.05</v>
      </c>
      <c r="AJ70" s="47" t="s">
        <v>263</v>
      </c>
    </row>
    <row r="71" spans="1:36" x14ac:dyDescent="0.45">
      <c r="A71" s="43">
        <v>66</v>
      </c>
      <c r="C71" s="44" t="s">
        <v>252</v>
      </c>
      <c r="D71" s="44" t="s">
        <v>84</v>
      </c>
      <c r="E71" s="45"/>
      <c r="F71" s="44" t="s">
        <v>519</v>
      </c>
      <c r="G71" s="44" t="s">
        <v>254</v>
      </c>
      <c r="H71" s="44" t="s">
        <v>520</v>
      </c>
      <c r="I71" s="44" t="s">
        <v>521</v>
      </c>
      <c r="J71" s="44" t="s">
        <v>522</v>
      </c>
      <c r="K71" s="44" t="s">
        <v>257</v>
      </c>
      <c r="L71" s="44" t="s">
        <v>523</v>
      </c>
      <c r="M71" s="44" t="s">
        <v>519</v>
      </c>
      <c r="N71" s="44" t="s">
        <v>519</v>
      </c>
      <c r="O71" s="44" t="s">
        <v>258</v>
      </c>
      <c r="P71" s="44" t="s">
        <v>524</v>
      </c>
      <c r="Q71" s="44" t="s">
        <v>525</v>
      </c>
      <c r="R71" s="48">
        <v>2</v>
      </c>
      <c r="S71" s="44">
        <v>1</v>
      </c>
      <c r="T71" s="44" t="s">
        <v>137</v>
      </c>
      <c r="U71" s="44" t="s">
        <v>169</v>
      </c>
      <c r="V71" s="44" t="s">
        <v>462</v>
      </c>
      <c r="W71" s="44" t="s">
        <v>526</v>
      </c>
      <c r="X71" s="44" t="s">
        <v>526</v>
      </c>
      <c r="Y71" s="44"/>
      <c r="Z71" s="44"/>
      <c r="AA71" s="44"/>
      <c r="AB71" s="44" t="s">
        <v>262</v>
      </c>
      <c r="AC71" s="44" t="s">
        <v>262</v>
      </c>
      <c r="AD71" s="44" t="s">
        <v>262</v>
      </c>
      <c r="AE71" s="44" t="s">
        <v>262</v>
      </c>
      <c r="AF71" s="44" t="s">
        <v>263</v>
      </c>
      <c r="AG71" s="44" t="s">
        <v>263</v>
      </c>
      <c r="AH71" s="44" t="s">
        <v>262</v>
      </c>
      <c r="AI71" s="44">
        <v>0.05</v>
      </c>
      <c r="AJ71" s="47" t="s">
        <v>263</v>
      </c>
    </row>
    <row r="72" spans="1:36" x14ac:dyDescent="0.45">
      <c r="A72" s="43">
        <v>67</v>
      </c>
      <c r="C72" s="44" t="s">
        <v>252</v>
      </c>
      <c r="D72" s="44" t="s">
        <v>84</v>
      </c>
      <c r="E72" s="45"/>
      <c r="F72" s="44" t="s">
        <v>1402</v>
      </c>
      <c r="G72" s="44" t="s">
        <v>254</v>
      </c>
      <c r="H72" s="44" t="s">
        <v>416</v>
      </c>
      <c r="I72" s="44" t="s">
        <v>548</v>
      </c>
      <c r="J72" s="44" t="s">
        <v>554</v>
      </c>
      <c r="K72" s="44" t="s">
        <v>257</v>
      </c>
      <c r="L72" s="44" t="s">
        <v>416</v>
      </c>
      <c r="M72" s="44" t="s">
        <v>549</v>
      </c>
      <c r="N72" s="44" t="s">
        <v>1403</v>
      </c>
      <c r="O72" s="44" t="s">
        <v>258</v>
      </c>
      <c r="P72" s="44" t="s">
        <v>416</v>
      </c>
      <c r="Q72" s="44" t="s">
        <v>550</v>
      </c>
      <c r="R72" s="46">
        <v>0.1</v>
      </c>
      <c r="S72" s="44">
        <v>100</v>
      </c>
      <c r="T72" s="44" t="s">
        <v>130</v>
      </c>
      <c r="U72" s="44" t="s">
        <v>169</v>
      </c>
      <c r="V72" s="44" t="s">
        <v>462</v>
      </c>
      <c r="W72" s="44" t="s">
        <v>1397</v>
      </c>
      <c r="X72" s="44" t="s">
        <v>551</v>
      </c>
      <c r="Y72" s="44"/>
      <c r="Z72" s="44"/>
      <c r="AA72" s="44"/>
      <c r="AB72" s="44" t="s">
        <v>262</v>
      </c>
      <c r="AC72" s="44" t="s">
        <v>262</v>
      </c>
      <c r="AD72" s="44" t="s">
        <v>262</v>
      </c>
      <c r="AE72" s="44" t="s">
        <v>262</v>
      </c>
      <c r="AF72" s="44" t="s">
        <v>263</v>
      </c>
      <c r="AG72" s="44" t="s">
        <v>263</v>
      </c>
      <c r="AH72" s="44" t="s">
        <v>262</v>
      </c>
      <c r="AI72" s="44">
        <v>0.05</v>
      </c>
      <c r="AJ72" s="47" t="s">
        <v>263</v>
      </c>
    </row>
    <row r="73" spans="1:36" x14ac:dyDescent="0.45">
      <c r="A73" s="43">
        <v>68</v>
      </c>
      <c r="C73" s="44" t="s">
        <v>252</v>
      </c>
      <c r="D73" s="44" t="s">
        <v>84</v>
      </c>
      <c r="E73" s="45"/>
      <c r="F73" s="44" t="s">
        <v>1402</v>
      </c>
      <c r="G73" s="44" t="s">
        <v>254</v>
      </c>
      <c r="H73" s="44" t="s">
        <v>552</v>
      </c>
      <c r="I73" s="44" t="s">
        <v>553</v>
      </c>
      <c r="J73" s="44" t="s">
        <v>554</v>
      </c>
      <c r="K73" s="44" t="s">
        <v>257</v>
      </c>
      <c r="L73" s="44" t="s">
        <v>552</v>
      </c>
      <c r="M73" s="44" t="s">
        <v>555</v>
      </c>
      <c r="N73" s="44" t="s">
        <v>1403</v>
      </c>
      <c r="O73" s="44" t="s">
        <v>258</v>
      </c>
      <c r="P73" s="44" t="s">
        <v>552</v>
      </c>
      <c r="Q73" s="44" t="s">
        <v>556</v>
      </c>
      <c r="R73" s="46">
        <v>0.2</v>
      </c>
      <c r="S73" s="44">
        <v>100</v>
      </c>
      <c r="T73" s="44" t="s">
        <v>130</v>
      </c>
      <c r="U73" s="44" t="s">
        <v>169</v>
      </c>
      <c r="V73" s="44" t="s">
        <v>462</v>
      </c>
      <c r="W73" s="44" t="s">
        <v>1397</v>
      </c>
      <c r="X73" s="44" t="s">
        <v>551</v>
      </c>
      <c r="Y73" s="44"/>
      <c r="Z73" s="44"/>
      <c r="AA73" s="44"/>
      <c r="AB73" s="44" t="s">
        <v>262</v>
      </c>
      <c r="AC73" s="44" t="s">
        <v>262</v>
      </c>
      <c r="AD73" s="44" t="s">
        <v>262</v>
      </c>
      <c r="AE73" s="44" t="s">
        <v>262</v>
      </c>
      <c r="AF73" s="44" t="s">
        <v>263</v>
      </c>
      <c r="AG73" s="44" t="s">
        <v>263</v>
      </c>
      <c r="AH73" s="44" t="s">
        <v>262</v>
      </c>
      <c r="AI73" s="44">
        <v>0.05</v>
      </c>
      <c r="AJ73" s="47" t="s">
        <v>263</v>
      </c>
    </row>
    <row r="74" spans="1:36" x14ac:dyDescent="0.45">
      <c r="A74" s="43">
        <v>69</v>
      </c>
      <c r="C74" s="44" t="s">
        <v>252</v>
      </c>
      <c r="D74" s="44" t="s">
        <v>84</v>
      </c>
      <c r="E74" s="45"/>
      <c r="F74" s="44" t="s">
        <v>1402</v>
      </c>
      <c r="G74" s="44" t="s">
        <v>254</v>
      </c>
      <c r="H74" s="44" t="s">
        <v>255</v>
      </c>
      <c r="I74" s="44" t="s">
        <v>557</v>
      </c>
      <c r="J74" s="44" t="s">
        <v>554</v>
      </c>
      <c r="K74" s="44" t="s">
        <v>257</v>
      </c>
      <c r="L74" s="44" t="s">
        <v>255</v>
      </c>
      <c r="M74" s="44" t="s">
        <v>558</v>
      </c>
      <c r="N74" s="44" t="s">
        <v>1403</v>
      </c>
      <c r="O74" s="44" t="s">
        <v>258</v>
      </c>
      <c r="P74" s="44" t="s">
        <v>255</v>
      </c>
      <c r="Q74" s="44" t="s">
        <v>559</v>
      </c>
      <c r="R74" s="46">
        <v>0.25</v>
      </c>
      <c r="S74" s="44">
        <v>100</v>
      </c>
      <c r="T74" s="44" t="s">
        <v>130</v>
      </c>
      <c r="U74" s="44" t="s">
        <v>169</v>
      </c>
      <c r="V74" s="44" t="s">
        <v>462</v>
      </c>
      <c r="W74" s="44" t="s">
        <v>1397</v>
      </c>
      <c r="X74" s="44" t="s">
        <v>551</v>
      </c>
      <c r="Y74" s="44"/>
      <c r="Z74" s="44"/>
      <c r="AA74" s="44"/>
      <c r="AB74" s="44" t="s">
        <v>262</v>
      </c>
      <c r="AC74" s="44" t="s">
        <v>262</v>
      </c>
      <c r="AD74" s="44" t="s">
        <v>262</v>
      </c>
      <c r="AE74" s="44" t="s">
        <v>262</v>
      </c>
      <c r="AF74" s="44" t="s">
        <v>263</v>
      </c>
      <c r="AG74" s="44" t="s">
        <v>263</v>
      </c>
      <c r="AH74" s="44" t="s">
        <v>262</v>
      </c>
      <c r="AI74" s="44">
        <v>0.05</v>
      </c>
      <c r="AJ74" s="47" t="s">
        <v>263</v>
      </c>
    </row>
    <row r="75" spans="1:36" x14ac:dyDescent="0.45">
      <c r="A75" s="43">
        <v>70</v>
      </c>
      <c r="B75" s="81">
        <v>862</v>
      </c>
      <c r="C75" s="44" t="s">
        <v>503</v>
      </c>
      <c r="D75" s="44" t="s">
        <v>84</v>
      </c>
      <c r="E75" s="45"/>
      <c r="F75" s="44" t="s">
        <v>1409</v>
      </c>
      <c r="G75" s="44" t="s">
        <v>254</v>
      </c>
      <c r="H75" s="44" t="s">
        <v>520</v>
      </c>
      <c r="I75" s="44" t="s">
        <v>612</v>
      </c>
      <c r="J75" s="44" t="s">
        <v>1410</v>
      </c>
      <c r="K75" s="44" t="s">
        <v>257</v>
      </c>
      <c r="L75" s="44" t="s">
        <v>523</v>
      </c>
      <c r="M75" s="44" t="s">
        <v>613</v>
      </c>
      <c r="N75" s="44" t="s">
        <v>1409</v>
      </c>
      <c r="O75" s="44" t="s">
        <v>258</v>
      </c>
      <c r="P75" s="44" t="s">
        <v>524</v>
      </c>
      <c r="Q75" s="44" t="s">
        <v>614</v>
      </c>
      <c r="R75" s="46">
        <v>2</v>
      </c>
      <c r="S75" s="44">
        <v>100</v>
      </c>
      <c r="T75" s="44" t="s">
        <v>130</v>
      </c>
      <c r="U75" s="44" t="s">
        <v>169</v>
      </c>
      <c r="V75" s="44" t="s">
        <v>462</v>
      </c>
      <c r="W75" s="44" t="s">
        <v>515</v>
      </c>
      <c r="X75" s="44" t="s">
        <v>611</v>
      </c>
      <c r="Y75" s="44"/>
      <c r="Z75" s="44"/>
      <c r="AA75" s="44"/>
      <c r="AB75" s="44" t="s">
        <v>262</v>
      </c>
      <c r="AC75" s="44" t="s">
        <v>262</v>
      </c>
      <c r="AD75" s="44" t="s">
        <v>262</v>
      </c>
      <c r="AE75" s="44" t="s">
        <v>262</v>
      </c>
      <c r="AF75" s="44" t="s">
        <v>263</v>
      </c>
      <c r="AG75" s="44" t="s">
        <v>263</v>
      </c>
      <c r="AH75" s="44" t="s">
        <v>262</v>
      </c>
      <c r="AI75" s="44">
        <v>0.05</v>
      </c>
      <c r="AJ75" s="47" t="s">
        <v>263</v>
      </c>
    </row>
    <row r="76" spans="1:36" x14ac:dyDescent="0.45">
      <c r="A76" s="43">
        <v>71</v>
      </c>
      <c r="C76" s="44" t="s">
        <v>252</v>
      </c>
      <c r="D76" s="44" t="s">
        <v>84</v>
      </c>
      <c r="E76" s="45"/>
      <c r="F76" s="44" t="s">
        <v>560</v>
      </c>
      <c r="G76" s="44" t="s">
        <v>254</v>
      </c>
      <c r="H76" s="44" t="s">
        <v>561</v>
      </c>
      <c r="I76" s="44" t="s">
        <v>562</v>
      </c>
      <c r="J76" s="44" t="s">
        <v>563</v>
      </c>
      <c r="K76" s="44" t="s">
        <v>257</v>
      </c>
      <c r="L76" s="44" t="s">
        <v>561</v>
      </c>
      <c r="M76" s="44" t="s">
        <v>564</v>
      </c>
      <c r="N76" s="44" t="s">
        <v>565</v>
      </c>
      <c r="O76" s="44" t="s">
        <v>258</v>
      </c>
      <c r="P76" s="44" t="s">
        <v>561</v>
      </c>
      <c r="Q76" s="44" t="s">
        <v>566</v>
      </c>
      <c r="R76" s="46">
        <v>0.2</v>
      </c>
      <c r="S76" s="44">
        <v>100</v>
      </c>
      <c r="T76" s="44" t="s">
        <v>134</v>
      </c>
      <c r="U76" s="44" t="s">
        <v>169</v>
      </c>
      <c r="V76" s="44" t="s">
        <v>462</v>
      </c>
      <c r="W76" s="44" t="s">
        <v>1397</v>
      </c>
      <c r="X76" s="44" t="s">
        <v>551</v>
      </c>
      <c r="Y76" s="44"/>
      <c r="Z76" s="44"/>
      <c r="AA76" s="44"/>
      <c r="AB76" s="44" t="s">
        <v>262</v>
      </c>
      <c r="AC76" s="44" t="s">
        <v>262</v>
      </c>
      <c r="AD76" s="44" t="s">
        <v>262</v>
      </c>
      <c r="AE76" s="44" t="s">
        <v>262</v>
      </c>
      <c r="AF76" s="44" t="s">
        <v>263</v>
      </c>
      <c r="AG76" s="44" t="s">
        <v>263</v>
      </c>
      <c r="AH76" s="44" t="s">
        <v>262</v>
      </c>
      <c r="AI76" s="44">
        <v>0.05</v>
      </c>
      <c r="AJ76" s="47" t="s">
        <v>263</v>
      </c>
    </row>
    <row r="77" spans="1:36" x14ac:dyDescent="0.45">
      <c r="A77" s="43">
        <v>72</v>
      </c>
      <c r="C77" s="44" t="s">
        <v>252</v>
      </c>
      <c r="D77" s="44" t="s">
        <v>84</v>
      </c>
      <c r="E77" s="45"/>
      <c r="F77" s="44" t="s">
        <v>560</v>
      </c>
      <c r="G77" s="44" t="s">
        <v>254</v>
      </c>
      <c r="H77" s="44" t="s">
        <v>567</v>
      </c>
      <c r="I77" s="44" t="s">
        <v>568</v>
      </c>
      <c r="J77" s="44" t="s">
        <v>563</v>
      </c>
      <c r="K77" s="44" t="s">
        <v>257</v>
      </c>
      <c r="L77" s="44" t="s">
        <v>567</v>
      </c>
      <c r="M77" s="44" t="s">
        <v>569</v>
      </c>
      <c r="N77" s="44" t="s">
        <v>565</v>
      </c>
      <c r="O77" s="44" t="s">
        <v>258</v>
      </c>
      <c r="P77" s="44" t="s">
        <v>567</v>
      </c>
      <c r="Q77" s="44" t="s">
        <v>570</v>
      </c>
      <c r="R77" s="46">
        <v>0.25</v>
      </c>
      <c r="S77" s="44">
        <v>100</v>
      </c>
      <c r="T77" s="44" t="s">
        <v>134</v>
      </c>
      <c r="U77" s="44" t="s">
        <v>169</v>
      </c>
      <c r="V77" s="44" t="s">
        <v>462</v>
      </c>
      <c r="W77" s="44" t="s">
        <v>1397</v>
      </c>
      <c r="X77" s="44" t="s">
        <v>551</v>
      </c>
      <c r="Y77" s="44"/>
      <c r="Z77" s="44"/>
      <c r="AA77" s="44"/>
      <c r="AB77" s="44" t="s">
        <v>262</v>
      </c>
      <c r="AC77" s="44" t="s">
        <v>262</v>
      </c>
      <c r="AD77" s="44" t="s">
        <v>262</v>
      </c>
      <c r="AE77" s="44" t="s">
        <v>262</v>
      </c>
      <c r="AF77" s="44" t="s">
        <v>263</v>
      </c>
      <c r="AG77" s="44" t="s">
        <v>263</v>
      </c>
      <c r="AH77" s="44" t="s">
        <v>262</v>
      </c>
      <c r="AI77" s="44">
        <v>0.05</v>
      </c>
      <c r="AJ77" s="47" t="s">
        <v>263</v>
      </c>
    </row>
    <row r="78" spans="1:36" x14ac:dyDescent="0.45">
      <c r="A78" s="43">
        <v>73</v>
      </c>
      <c r="B78" s="81">
        <v>829</v>
      </c>
      <c r="C78" s="44" t="s">
        <v>503</v>
      </c>
      <c r="D78" s="44" t="s">
        <v>84</v>
      </c>
      <c r="E78" s="45"/>
      <c r="F78" s="44" t="s">
        <v>1342</v>
      </c>
      <c r="G78" s="44" t="s">
        <v>254</v>
      </c>
      <c r="H78" s="44" t="s">
        <v>273</v>
      </c>
      <c r="I78" s="44" t="s">
        <v>1342</v>
      </c>
      <c r="J78" s="44" t="s">
        <v>504</v>
      </c>
      <c r="K78" s="44" t="s">
        <v>257</v>
      </c>
      <c r="L78" s="44" t="s">
        <v>274</v>
      </c>
      <c r="M78" s="44" t="s">
        <v>504</v>
      </c>
      <c r="N78" s="44" t="s">
        <v>505</v>
      </c>
      <c r="O78" s="44" t="s">
        <v>258</v>
      </c>
      <c r="P78" s="44" t="s">
        <v>275</v>
      </c>
      <c r="Q78" s="44" t="s">
        <v>505</v>
      </c>
      <c r="R78" s="46">
        <v>1</v>
      </c>
      <c r="S78" s="44">
        <v>100</v>
      </c>
      <c r="T78" s="44" t="s">
        <v>130</v>
      </c>
      <c r="U78" s="44" t="s">
        <v>169</v>
      </c>
      <c r="V78" s="44" t="s">
        <v>462</v>
      </c>
      <c r="W78" s="44" t="s">
        <v>506</v>
      </c>
      <c r="X78" s="44" t="s">
        <v>507</v>
      </c>
      <c r="Y78" s="44"/>
      <c r="Z78" s="44"/>
      <c r="AA78" s="44"/>
      <c r="AB78" s="44" t="s">
        <v>262</v>
      </c>
      <c r="AC78" s="44" t="s">
        <v>262</v>
      </c>
      <c r="AD78" s="44" t="s">
        <v>262</v>
      </c>
      <c r="AE78" s="44" t="s">
        <v>262</v>
      </c>
      <c r="AF78" s="44" t="s">
        <v>263</v>
      </c>
      <c r="AG78" s="44" t="s">
        <v>263</v>
      </c>
      <c r="AH78" s="44" t="s">
        <v>262</v>
      </c>
      <c r="AI78" s="44">
        <v>0.05</v>
      </c>
      <c r="AJ78" s="47" t="s">
        <v>263</v>
      </c>
    </row>
    <row r="79" spans="1:36" x14ac:dyDescent="0.45">
      <c r="A79" s="43">
        <v>74</v>
      </c>
      <c r="C79" s="44" t="s">
        <v>252</v>
      </c>
      <c r="D79" s="44" t="s">
        <v>84</v>
      </c>
      <c r="E79" s="45"/>
      <c r="F79" s="44" t="s">
        <v>453</v>
      </c>
      <c r="G79" s="44" t="s">
        <v>254</v>
      </c>
      <c r="H79" s="44" t="s">
        <v>454</v>
      </c>
      <c r="I79" s="44" t="s">
        <v>455</v>
      </c>
      <c r="J79" s="44" t="s">
        <v>456</v>
      </c>
      <c r="K79" s="44" t="s">
        <v>257</v>
      </c>
      <c r="L79" s="44" t="s">
        <v>457</v>
      </c>
      <c r="M79" s="44" t="s">
        <v>458</v>
      </c>
      <c r="N79" s="44" t="s">
        <v>459</v>
      </c>
      <c r="O79" s="44" t="s">
        <v>258</v>
      </c>
      <c r="P79" s="44" t="s">
        <v>460</v>
      </c>
      <c r="Q79" s="44" t="s">
        <v>461</v>
      </c>
      <c r="R79" s="46">
        <v>4</v>
      </c>
      <c r="S79" s="44">
        <v>1</v>
      </c>
      <c r="T79" s="44" t="s">
        <v>137</v>
      </c>
      <c r="U79" s="44" t="s">
        <v>169</v>
      </c>
      <c r="V79" s="44" t="s">
        <v>462</v>
      </c>
      <c r="W79" s="44" t="s">
        <v>1397</v>
      </c>
      <c r="X79" s="44" t="s">
        <v>453</v>
      </c>
      <c r="Y79" s="44"/>
      <c r="Z79" s="44"/>
      <c r="AA79" s="44"/>
      <c r="AB79" s="44" t="s">
        <v>262</v>
      </c>
      <c r="AC79" s="44" t="s">
        <v>262</v>
      </c>
      <c r="AD79" s="44" t="s">
        <v>262</v>
      </c>
      <c r="AE79" s="44" t="s">
        <v>262</v>
      </c>
      <c r="AF79" s="44" t="s">
        <v>263</v>
      </c>
      <c r="AG79" s="44" t="s">
        <v>263</v>
      </c>
      <c r="AH79" s="44" t="s">
        <v>262</v>
      </c>
      <c r="AI79" s="44">
        <v>0.05</v>
      </c>
      <c r="AJ79" s="47" t="s">
        <v>263</v>
      </c>
    </row>
    <row r="80" spans="1:36" x14ac:dyDescent="0.45">
      <c r="A80" s="43">
        <v>75</v>
      </c>
      <c r="C80" s="44" t="s">
        <v>252</v>
      </c>
      <c r="D80" s="44" t="s">
        <v>84</v>
      </c>
      <c r="E80" s="45"/>
      <c r="F80" s="44" t="s">
        <v>453</v>
      </c>
      <c r="G80" s="44" t="s">
        <v>254</v>
      </c>
      <c r="H80" s="44" t="s">
        <v>463</v>
      </c>
      <c r="I80" s="44" t="s">
        <v>464</v>
      </c>
      <c r="J80" s="44" t="s">
        <v>456</v>
      </c>
      <c r="K80" s="44" t="s">
        <v>257</v>
      </c>
      <c r="L80" s="44" t="s">
        <v>465</v>
      </c>
      <c r="M80" s="44" t="s">
        <v>466</v>
      </c>
      <c r="N80" s="44" t="s">
        <v>459</v>
      </c>
      <c r="O80" s="44" t="s">
        <v>258</v>
      </c>
      <c r="P80" s="44" t="s">
        <v>467</v>
      </c>
      <c r="Q80" s="44" t="s">
        <v>468</v>
      </c>
      <c r="R80" s="46">
        <v>10</v>
      </c>
      <c r="S80" s="44">
        <v>1</v>
      </c>
      <c r="T80" s="44" t="s">
        <v>137</v>
      </c>
      <c r="U80" s="44" t="s">
        <v>169</v>
      </c>
      <c r="V80" s="44" t="s">
        <v>462</v>
      </c>
      <c r="W80" s="44" t="s">
        <v>1397</v>
      </c>
      <c r="X80" s="44" t="s">
        <v>453</v>
      </c>
      <c r="Y80" s="44"/>
      <c r="Z80" s="44"/>
      <c r="AA80" s="44"/>
      <c r="AB80" s="44" t="s">
        <v>262</v>
      </c>
      <c r="AC80" s="44" t="s">
        <v>262</v>
      </c>
      <c r="AD80" s="44" t="s">
        <v>262</v>
      </c>
      <c r="AE80" s="44" t="s">
        <v>262</v>
      </c>
      <c r="AF80" s="44" t="s">
        <v>263</v>
      </c>
      <c r="AG80" s="44" t="s">
        <v>263</v>
      </c>
      <c r="AH80" s="44" t="s">
        <v>262</v>
      </c>
      <c r="AI80" s="44">
        <v>0.05</v>
      </c>
      <c r="AJ80" s="47" t="s">
        <v>263</v>
      </c>
    </row>
    <row r="81" spans="1:36" x14ac:dyDescent="0.45">
      <c r="A81" s="43">
        <v>76</v>
      </c>
      <c r="C81" s="44" t="s">
        <v>252</v>
      </c>
      <c r="D81" s="44" t="s">
        <v>84</v>
      </c>
      <c r="E81" s="45"/>
      <c r="F81" s="44" t="s">
        <v>453</v>
      </c>
      <c r="G81" s="44" t="s">
        <v>254</v>
      </c>
      <c r="H81" s="44" t="s">
        <v>273</v>
      </c>
      <c r="I81" s="44" t="s">
        <v>469</v>
      </c>
      <c r="J81" s="44" t="s">
        <v>470</v>
      </c>
      <c r="K81" s="44" t="s">
        <v>257</v>
      </c>
      <c r="L81" s="44" t="s">
        <v>274</v>
      </c>
      <c r="M81" s="44" t="s">
        <v>471</v>
      </c>
      <c r="N81" s="44" t="s">
        <v>472</v>
      </c>
      <c r="O81" s="44" t="s">
        <v>258</v>
      </c>
      <c r="P81" s="44" t="s">
        <v>275</v>
      </c>
      <c r="Q81" s="44" t="s">
        <v>473</v>
      </c>
      <c r="R81" s="46">
        <v>1</v>
      </c>
      <c r="S81" s="44">
        <v>1</v>
      </c>
      <c r="T81" s="44" t="s">
        <v>137</v>
      </c>
      <c r="U81" s="44" t="s">
        <v>169</v>
      </c>
      <c r="V81" s="44" t="s">
        <v>462</v>
      </c>
      <c r="W81" s="44" t="s">
        <v>1397</v>
      </c>
      <c r="X81" s="44" t="s">
        <v>453</v>
      </c>
      <c r="Y81" s="44"/>
      <c r="Z81" s="44"/>
      <c r="AA81" s="44"/>
      <c r="AB81" s="44" t="s">
        <v>262</v>
      </c>
      <c r="AC81" s="44" t="s">
        <v>262</v>
      </c>
      <c r="AD81" s="44" t="s">
        <v>262</v>
      </c>
      <c r="AE81" s="44" t="s">
        <v>262</v>
      </c>
      <c r="AF81" s="44" t="s">
        <v>263</v>
      </c>
      <c r="AG81" s="44" t="s">
        <v>263</v>
      </c>
      <c r="AH81" s="44" t="s">
        <v>262</v>
      </c>
      <c r="AI81" s="44">
        <v>0.05</v>
      </c>
      <c r="AJ81" s="47" t="s">
        <v>263</v>
      </c>
    </row>
    <row r="82" spans="1:36" x14ac:dyDescent="0.45">
      <c r="A82" s="43">
        <v>77</v>
      </c>
      <c r="C82" s="44" t="s">
        <v>252</v>
      </c>
      <c r="D82" s="44" t="s">
        <v>84</v>
      </c>
      <c r="E82" s="45"/>
      <c r="F82" s="44" t="s">
        <v>453</v>
      </c>
      <c r="G82" s="44" t="s">
        <v>254</v>
      </c>
      <c r="H82" s="44" t="s">
        <v>474</v>
      </c>
      <c r="I82" s="44" t="s">
        <v>475</v>
      </c>
      <c r="J82" s="44" t="s">
        <v>456</v>
      </c>
      <c r="K82" s="44" t="s">
        <v>257</v>
      </c>
      <c r="L82" s="44" t="s">
        <v>476</v>
      </c>
      <c r="M82" s="44" t="s">
        <v>477</v>
      </c>
      <c r="N82" s="44" t="s">
        <v>459</v>
      </c>
      <c r="O82" s="44" t="s">
        <v>258</v>
      </c>
      <c r="P82" s="44" t="s">
        <v>478</v>
      </c>
      <c r="Q82" s="44" t="s">
        <v>479</v>
      </c>
      <c r="R82" s="46">
        <v>6</v>
      </c>
      <c r="S82" s="44">
        <v>1</v>
      </c>
      <c r="T82" s="44" t="s">
        <v>137</v>
      </c>
      <c r="U82" s="44" t="s">
        <v>169</v>
      </c>
      <c r="V82" s="44" t="s">
        <v>462</v>
      </c>
      <c r="W82" s="44" t="s">
        <v>1397</v>
      </c>
      <c r="X82" s="44" t="s">
        <v>453</v>
      </c>
      <c r="Y82" s="44"/>
      <c r="Z82" s="44"/>
      <c r="AA82" s="44"/>
      <c r="AB82" s="44" t="s">
        <v>262</v>
      </c>
      <c r="AC82" s="44" t="s">
        <v>262</v>
      </c>
      <c r="AD82" s="44" t="s">
        <v>262</v>
      </c>
      <c r="AE82" s="44" t="s">
        <v>262</v>
      </c>
      <c r="AF82" s="44" t="s">
        <v>263</v>
      </c>
      <c r="AG82" s="44" t="s">
        <v>263</v>
      </c>
      <c r="AH82" s="44" t="s">
        <v>262</v>
      </c>
      <c r="AI82" s="44">
        <v>0.05</v>
      </c>
      <c r="AJ82" s="47" t="s">
        <v>263</v>
      </c>
    </row>
    <row r="83" spans="1:36" x14ac:dyDescent="0.45">
      <c r="A83" s="43">
        <v>78</v>
      </c>
      <c r="C83" s="44" t="s">
        <v>252</v>
      </c>
      <c r="D83" s="44" t="s">
        <v>84</v>
      </c>
      <c r="E83" s="45"/>
      <c r="F83" s="44" t="s">
        <v>605</v>
      </c>
      <c r="G83" s="44" t="s">
        <v>254</v>
      </c>
      <c r="H83" s="44" t="s">
        <v>273</v>
      </c>
      <c r="I83" s="44" t="s">
        <v>605</v>
      </c>
      <c r="J83" s="44" t="s">
        <v>1405</v>
      </c>
      <c r="K83" s="44" t="s">
        <v>257</v>
      </c>
      <c r="L83" s="44" t="s">
        <v>274</v>
      </c>
      <c r="M83" s="44" t="s">
        <v>1405</v>
      </c>
      <c r="N83" s="44" t="s">
        <v>1406</v>
      </c>
      <c r="O83" s="44" t="s">
        <v>258</v>
      </c>
      <c r="P83" s="44" t="s">
        <v>275</v>
      </c>
      <c r="Q83" s="44" t="s">
        <v>1406</v>
      </c>
      <c r="R83" s="46">
        <v>1</v>
      </c>
      <c r="S83" s="44">
        <v>1</v>
      </c>
      <c r="T83" s="44" t="s">
        <v>137</v>
      </c>
      <c r="U83" s="44" t="s">
        <v>169</v>
      </c>
      <c r="V83" s="44" t="s">
        <v>462</v>
      </c>
      <c r="W83" s="44" t="s">
        <v>506</v>
      </c>
      <c r="X83" s="44" t="s">
        <v>606</v>
      </c>
      <c r="Y83" s="44"/>
      <c r="Z83" s="44"/>
      <c r="AA83" s="44"/>
      <c r="AB83" s="44" t="s">
        <v>262</v>
      </c>
      <c r="AC83" s="44" t="s">
        <v>262</v>
      </c>
      <c r="AD83" s="44" t="s">
        <v>262</v>
      </c>
      <c r="AE83" s="44" t="s">
        <v>262</v>
      </c>
      <c r="AF83" s="44" t="s">
        <v>263</v>
      </c>
      <c r="AG83" s="44" t="s">
        <v>263</v>
      </c>
      <c r="AH83" s="44" t="s">
        <v>262</v>
      </c>
      <c r="AI83" s="44">
        <v>0</v>
      </c>
      <c r="AJ83" s="47" t="s">
        <v>263</v>
      </c>
    </row>
    <row r="84" spans="1:36" x14ac:dyDescent="0.45">
      <c r="A84" s="43">
        <v>79</v>
      </c>
      <c r="C84" s="44" t="s">
        <v>252</v>
      </c>
      <c r="D84" s="44" t="s">
        <v>84</v>
      </c>
      <c r="E84" s="45"/>
      <c r="F84" s="44" t="s">
        <v>527</v>
      </c>
      <c r="G84" s="44" t="s">
        <v>254</v>
      </c>
      <c r="H84" s="44" t="s">
        <v>359</v>
      </c>
      <c r="I84" s="44" t="s">
        <v>528</v>
      </c>
      <c r="J84" s="44" t="s">
        <v>527</v>
      </c>
      <c r="K84" s="44" t="s">
        <v>257</v>
      </c>
      <c r="L84" s="44" t="s">
        <v>359</v>
      </c>
      <c r="M84" s="44" t="s">
        <v>528</v>
      </c>
      <c r="N84" s="44" t="s">
        <v>527</v>
      </c>
      <c r="O84" s="44" t="s">
        <v>258</v>
      </c>
      <c r="P84" s="44" t="s">
        <v>359</v>
      </c>
      <c r="Q84" s="44" t="s">
        <v>528</v>
      </c>
      <c r="R84" s="48">
        <v>0.4</v>
      </c>
      <c r="S84" s="44">
        <v>100</v>
      </c>
      <c r="T84" s="44" t="s">
        <v>130</v>
      </c>
      <c r="U84" s="44" t="s">
        <v>169</v>
      </c>
      <c r="V84" s="44" t="s">
        <v>462</v>
      </c>
      <c r="W84" s="44" t="s">
        <v>526</v>
      </c>
      <c r="X84" s="44" t="s">
        <v>526</v>
      </c>
      <c r="Y84" s="44"/>
      <c r="Z84" s="44"/>
      <c r="AA84" s="44"/>
      <c r="AB84" s="44" t="s">
        <v>262</v>
      </c>
      <c r="AC84" s="44" t="s">
        <v>262</v>
      </c>
      <c r="AD84" s="44" t="s">
        <v>262</v>
      </c>
      <c r="AE84" s="44" t="s">
        <v>262</v>
      </c>
      <c r="AF84" s="44" t="s">
        <v>263</v>
      </c>
      <c r="AG84" s="44" t="s">
        <v>263</v>
      </c>
      <c r="AH84" s="44" t="s">
        <v>262</v>
      </c>
      <c r="AI84" s="44">
        <v>0.05</v>
      </c>
      <c r="AJ84" s="47" t="s">
        <v>263</v>
      </c>
    </row>
    <row r="85" spans="1:36" x14ac:dyDescent="0.45">
      <c r="A85" s="43">
        <v>80</v>
      </c>
      <c r="C85" s="44" t="s">
        <v>252</v>
      </c>
      <c r="D85" s="44" t="s">
        <v>84</v>
      </c>
      <c r="E85" s="45"/>
      <c r="F85" s="44" t="s">
        <v>527</v>
      </c>
      <c r="G85" s="44" t="s">
        <v>254</v>
      </c>
      <c r="H85" s="44" t="s">
        <v>529</v>
      </c>
      <c r="I85" s="44" t="s">
        <v>530</v>
      </c>
      <c r="J85" s="44" t="s">
        <v>527</v>
      </c>
      <c r="K85" s="44" t="s">
        <v>257</v>
      </c>
      <c r="L85" s="44" t="s">
        <v>529</v>
      </c>
      <c r="M85" s="44" t="s">
        <v>530</v>
      </c>
      <c r="N85" s="44" t="s">
        <v>527</v>
      </c>
      <c r="O85" s="44" t="s">
        <v>258</v>
      </c>
      <c r="P85" s="44" t="s">
        <v>529</v>
      </c>
      <c r="Q85" s="44" t="s">
        <v>530</v>
      </c>
      <c r="R85" s="48">
        <v>0.6</v>
      </c>
      <c r="S85" s="44">
        <v>100</v>
      </c>
      <c r="T85" s="44" t="s">
        <v>130</v>
      </c>
      <c r="U85" s="44" t="s">
        <v>169</v>
      </c>
      <c r="V85" s="44" t="s">
        <v>462</v>
      </c>
      <c r="W85" s="44" t="s">
        <v>526</v>
      </c>
      <c r="X85" s="44" t="s">
        <v>526</v>
      </c>
      <c r="Y85" s="44"/>
      <c r="Z85" s="44"/>
      <c r="AA85" s="44"/>
      <c r="AB85" s="44" t="s">
        <v>262</v>
      </c>
      <c r="AC85" s="44" t="s">
        <v>262</v>
      </c>
      <c r="AD85" s="44" t="s">
        <v>262</v>
      </c>
      <c r="AE85" s="44" t="s">
        <v>262</v>
      </c>
      <c r="AF85" s="44" t="s">
        <v>263</v>
      </c>
      <c r="AG85" s="44" t="s">
        <v>263</v>
      </c>
      <c r="AH85" s="44" t="s">
        <v>262</v>
      </c>
      <c r="AI85" s="44">
        <v>0.05</v>
      </c>
      <c r="AJ85" s="47" t="s">
        <v>263</v>
      </c>
    </row>
    <row r="86" spans="1:36" x14ac:dyDescent="0.45">
      <c r="A86" s="43">
        <v>81</v>
      </c>
      <c r="C86" s="44" t="s">
        <v>252</v>
      </c>
      <c r="D86" s="44" t="s">
        <v>84</v>
      </c>
      <c r="E86" s="45"/>
      <c r="F86" s="44" t="s">
        <v>527</v>
      </c>
      <c r="G86" s="44" t="s">
        <v>254</v>
      </c>
      <c r="H86" s="44" t="s">
        <v>531</v>
      </c>
      <c r="I86" s="44" t="s">
        <v>532</v>
      </c>
      <c r="J86" s="44" t="s">
        <v>527</v>
      </c>
      <c r="K86" s="44" t="s">
        <v>257</v>
      </c>
      <c r="L86" s="44" t="s">
        <v>531</v>
      </c>
      <c r="M86" s="44" t="s">
        <v>532</v>
      </c>
      <c r="N86" s="44" t="s">
        <v>527</v>
      </c>
      <c r="O86" s="44" t="s">
        <v>258</v>
      </c>
      <c r="P86" s="44" t="s">
        <v>531</v>
      </c>
      <c r="Q86" s="44" t="s">
        <v>532</v>
      </c>
      <c r="R86" s="48">
        <v>0.8</v>
      </c>
      <c r="S86" s="44">
        <v>100</v>
      </c>
      <c r="T86" s="44" t="s">
        <v>130</v>
      </c>
      <c r="U86" s="44" t="s">
        <v>169</v>
      </c>
      <c r="V86" s="44" t="s">
        <v>462</v>
      </c>
      <c r="W86" s="44" t="s">
        <v>526</v>
      </c>
      <c r="X86" s="44" t="s">
        <v>526</v>
      </c>
      <c r="Y86" s="44"/>
      <c r="Z86" s="44"/>
      <c r="AA86" s="44"/>
      <c r="AB86" s="44" t="s">
        <v>262</v>
      </c>
      <c r="AC86" s="44" t="s">
        <v>262</v>
      </c>
      <c r="AD86" s="44" t="s">
        <v>262</v>
      </c>
      <c r="AE86" s="44" t="s">
        <v>262</v>
      </c>
      <c r="AF86" s="44" t="s">
        <v>263</v>
      </c>
      <c r="AG86" s="44" t="s">
        <v>263</v>
      </c>
      <c r="AH86" s="44" t="s">
        <v>262</v>
      </c>
      <c r="AI86" s="44">
        <v>0.05</v>
      </c>
      <c r="AJ86" s="47" t="s">
        <v>263</v>
      </c>
    </row>
    <row r="87" spans="1:36" x14ac:dyDescent="0.45">
      <c r="A87" s="43">
        <v>82</v>
      </c>
      <c r="B87" s="81">
        <v>837</v>
      </c>
      <c r="C87" s="44" t="s">
        <v>503</v>
      </c>
      <c r="D87" s="44" t="s">
        <v>84</v>
      </c>
      <c r="E87" s="45"/>
      <c r="F87" s="44" t="s">
        <v>533</v>
      </c>
      <c r="G87" s="44" t="s">
        <v>254</v>
      </c>
      <c r="H87" s="44" t="s">
        <v>520</v>
      </c>
      <c r="I87" s="44" t="s">
        <v>534</v>
      </c>
      <c r="J87" s="44" t="s">
        <v>1399</v>
      </c>
      <c r="K87" s="44" t="s">
        <v>257</v>
      </c>
      <c r="L87" s="44" t="s">
        <v>523</v>
      </c>
      <c r="M87" s="44" t="s">
        <v>535</v>
      </c>
      <c r="N87" s="44" t="s">
        <v>536</v>
      </c>
      <c r="O87" s="44" t="s">
        <v>258</v>
      </c>
      <c r="P87" s="44" t="s">
        <v>524</v>
      </c>
      <c r="Q87" s="44" t="s">
        <v>537</v>
      </c>
      <c r="R87" s="48">
        <v>2</v>
      </c>
      <c r="S87" s="44">
        <v>100</v>
      </c>
      <c r="T87" s="44" t="s">
        <v>130</v>
      </c>
      <c r="U87" s="44" t="s">
        <v>169</v>
      </c>
      <c r="V87" s="44" t="s">
        <v>462</v>
      </c>
      <c r="W87" s="44" t="s">
        <v>526</v>
      </c>
      <c r="X87" s="44" t="s">
        <v>526</v>
      </c>
      <c r="Y87" s="44"/>
      <c r="Z87" s="44"/>
      <c r="AA87" s="44"/>
      <c r="AB87" s="44" t="s">
        <v>262</v>
      </c>
      <c r="AC87" s="44" t="s">
        <v>262</v>
      </c>
      <c r="AD87" s="44" t="s">
        <v>262</v>
      </c>
      <c r="AE87" s="44" t="s">
        <v>262</v>
      </c>
      <c r="AF87" s="44" t="s">
        <v>263</v>
      </c>
      <c r="AG87" s="44" t="s">
        <v>263</v>
      </c>
      <c r="AH87" s="44" t="s">
        <v>262</v>
      </c>
      <c r="AI87" s="44">
        <v>0.05</v>
      </c>
      <c r="AJ87" s="47" t="s">
        <v>263</v>
      </c>
    </row>
    <row r="88" spans="1:36" x14ac:dyDescent="0.45">
      <c r="A88" s="43">
        <v>83</v>
      </c>
      <c r="B88" s="81">
        <v>838</v>
      </c>
      <c r="C88" s="44" t="s">
        <v>503</v>
      </c>
      <c r="D88" s="44" t="s">
        <v>84</v>
      </c>
      <c r="E88" s="45"/>
      <c r="F88" s="44" t="s">
        <v>538</v>
      </c>
      <c r="G88" s="44" t="s">
        <v>254</v>
      </c>
      <c r="H88" s="44" t="s">
        <v>273</v>
      </c>
      <c r="I88" s="44" t="s">
        <v>538</v>
      </c>
      <c r="J88" s="44" t="s">
        <v>538</v>
      </c>
      <c r="K88" s="44" t="s">
        <v>257</v>
      </c>
      <c r="L88" s="44" t="s">
        <v>274</v>
      </c>
      <c r="M88" s="44" t="s">
        <v>538</v>
      </c>
      <c r="N88" s="44" t="s">
        <v>538</v>
      </c>
      <c r="O88" s="44" t="s">
        <v>258</v>
      </c>
      <c r="P88" s="44" t="s">
        <v>275</v>
      </c>
      <c r="Q88" s="44" t="s">
        <v>538</v>
      </c>
      <c r="R88" s="48">
        <v>1</v>
      </c>
      <c r="S88" s="44">
        <v>100</v>
      </c>
      <c r="T88" s="44" t="s">
        <v>130</v>
      </c>
      <c r="U88" s="44" t="s">
        <v>169</v>
      </c>
      <c r="V88" s="44" t="s">
        <v>462</v>
      </c>
      <c r="W88" s="44" t="s">
        <v>526</v>
      </c>
      <c r="X88" s="44" t="s">
        <v>526</v>
      </c>
      <c r="Y88" s="44"/>
      <c r="Z88" s="44"/>
      <c r="AA88" s="44"/>
      <c r="AB88" s="44" t="s">
        <v>262</v>
      </c>
      <c r="AC88" s="44" t="s">
        <v>262</v>
      </c>
      <c r="AD88" s="44" t="s">
        <v>262</v>
      </c>
      <c r="AE88" s="44" t="s">
        <v>262</v>
      </c>
      <c r="AF88" s="44" t="s">
        <v>263</v>
      </c>
      <c r="AG88" s="44" t="s">
        <v>263</v>
      </c>
      <c r="AH88" s="44" t="s">
        <v>262</v>
      </c>
      <c r="AI88" s="44">
        <v>0.05</v>
      </c>
      <c r="AJ88" s="47" t="s">
        <v>263</v>
      </c>
    </row>
    <row r="89" spans="1:36" x14ac:dyDescent="0.45">
      <c r="A89" s="43">
        <v>84</v>
      </c>
      <c r="B89" s="81">
        <v>863</v>
      </c>
      <c r="C89" s="44" t="s">
        <v>503</v>
      </c>
      <c r="D89" s="44" t="s">
        <v>84</v>
      </c>
      <c r="E89" s="45"/>
      <c r="F89" s="44" t="s">
        <v>1411</v>
      </c>
      <c r="G89" s="44" t="s">
        <v>254</v>
      </c>
      <c r="H89" s="44" t="s">
        <v>520</v>
      </c>
      <c r="I89" s="44" t="s">
        <v>615</v>
      </c>
      <c r="J89" s="44" t="s">
        <v>1412</v>
      </c>
      <c r="K89" s="44" t="s">
        <v>257</v>
      </c>
      <c r="L89" s="44" t="s">
        <v>523</v>
      </c>
      <c r="M89" s="44" t="s">
        <v>616</v>
      </c>
      <c r="N89" s="44" t="s">
        <v>1413</v>
      </c>
      <c r="O89" s="44" t="s">
        <v>258</v>
      </c>
      <c r="P89" s="44" t="s">
        <v>524</v>
      </c>
      <c r="Q89" s="44" t="s">
        <v>617</v>
      </c>
      <c r="R89" s="46">
        <v>2</v>
      </c>
      <c r="S89" s="44">
        <v>100</v>
      </c>
      <c r="T89" s="44" t="s">
        <v>130</v>
      </c>
      <c r="U89" s="44" t="s">
        <v>169</v>
      </c>
      <c r="V89" s="44" t="s">
        <v>462</v>
      </c>
      <c r="W89" s="44" t="s">
        <v>515</v>
      </c>
      <c r="X89" s="44" t="s">
        <v>611</v>
      </c>
      <c r="Y89" s="44"/>
      <c r="Z89" s="44"/>
      <c r="AA89" s="44"/>
      <c r="AB89" s="44" t="s">
        <v>262</v>
      </c>
      <c r="AC89" s="44" t="s">
        <v>262</v>
      </c>
      <c r="AD89" s="44" t="s">
        <v>262</v>
      </c>
      <c r="AE89" s="44" t="s">
        <v>262</v>
      </c>
      <c r="AF89" s="44" t="s">
        <v>263</v>
      </c>
      <c r="AG89" s="44" t="s">
        <v>263</v>
      </c>
      <c r="AH89" s="44" t="s">
        <v>262</v>
      </c>
      <c r="AI89" s="44">
        <v>0</v>
      </c>
      <c r="AJ89" s="47" t="s">
        <v>263</v>
      </c>
    </row>
    <row r="90" spans="1:36" x14ac:dyDescent="0.45">
      <c r="A90" s="43">
        <v>85</v>
      </c>
      <c r="C90" s="44" t="s">
        <v>252</v>
      </c>
      <c r="D90" s="44" t="s">
        <v>84</v>
      </c>
      <c r="E90" s="45"/>
      <c r="F90" s="44" t="s">
        <v>571</v>
      </c>
      <c r="G90" s="44" t="s">
        <v>254</v>
      </c>
      <c r="H90" s="44" t="s">
        <v>572</v>
      </c>
      <c r="I90" s="44" t="s">
        <v>573</v>
      </c>
      <c r="J90" s="44" t="s">
        <v>574</v>
      </c>
      <c r="K90" s="44" t="s">
        <v>257</v>
      </c>
      <c r="L90" s="44" t="s">
        <v>572</v>
      </c>
      <c r="M90" s="44" t="s">
        <v>575</v>
      </c>
      <c r="N90" s="44" t="s">
        <v>574</v>
      </c>
      <c r="O90" s="44" t="s">
        <v>258</v>
      </c>
      <c r="P90" s="44" t="s">
        <v>572</v>
      </c>
      <c r="Q90" s="44" t="s">
        <v>575</v>
      </c>
      <c r="R90" s="46">
        <v>0.13</v>
      </c>
      <c r="S90" s="44">
        <v>100</v>
      </c>
      <c r="T90" s="44" t="s">
        <v>130</v>
      </c>
      <c r="U90" s="44" t="s">
        <v>169</v>
      </c>
      <c r="V90" s="44" t="s">
        <v>462</v>
      </c>
      <c r="W90" s="44" t="s">
        <v>1397</v>
      </c>
      <c r="X90" s="44" t="s">
        <v>551</v>
      </c>
      <c r="Y90" s="44"/>
      <c r="Z90" s="44"/>
      <c r="AA90" s="44"/>
      <c r="AB90" s="44" t="s">
        <v>262</v>
      </c>
      <c r="AC90" s="44" t="s">
        <v>262</v>
      </c>
      <c r="AD90" s="44" t="s">
        <v>262</v>
      </c>
      <c r="AE90" s="44" t="s">
        <v>262</v>
      </c>
      <c r="AF90" s="44" t="s">
        <v>263</v>
      </c>
      <c r="AG90" s="44" t="s">
        <v>263</v>
      </c>
      <c r="AH90" s="44" t="s">
        <v>262</v>
      </c>
      <c r="AI90" s="44">
        <v>0</v>
      </c>
      <c r="AJ90" s="47" t="s">
        <v>263</v>
      </c>
    </row>
    <row r="91" spans="1:36" x14ac:dyDescent="0.45">
      <c r="A91" s="43">
        <v>85</v>
      </c>
      <c r="C91" s="44" t="s">
        <v>252</v>
      </c>
      <c r="D91" s="44" t="s">
        <v>84</v>
      </c>
      <c r="E91" s="45"/>
      <c r="F91" s="44" t="s">
        <v>571</v>
      </c>
      <c r="G91" s="44" t="s">
        <v>254</v>
      </c>
      <c r="H91" s="44" t="s">
        <v>437</v>
      </c>
      <c r="I91" s="44" t="s">
        <v>576</v>
      </c>
      <c r="J91" s="44" t="s">
        <v>574</v>
      </c>
      <c r="K91" s="44" t="s">
        <v>257</v>
      </c>
      <c r="L91" s="44" t="s">
        <v>437</v>
      </c>
      <c r="M91" s="44" t="s">
        <v>577</v>
      </c>
      <c r="N91" s="44" t="s">
        <v>574</v>
      </c>
      <c r="O91" s="44" t="s">
        <v>258</v>
      </c>
      <c r="P91" s="44" t="s">
        <v>437</v>
      </c>
      <c r="Q91" s="44" t="s">
        <v>577</v>
      </c>
      <c r="R91" s="46">
        <v>0.15</v>
      </c>
      <c r="S91" s="44">
        <v>100</v>
      </c>
      <c r="T91" s="44" t="s">
        <v>130</v>
      </c>
      <c r="U91" s="44" t="s">
        <v>169</v>
      </c>
      <c r="V91" s="44" t="s">
        <v>462</v>
      </c>
      <c r="W91" s="44" t="s">
        <v>1397</v>
      </c>
      <c r="X91" s="44" t="s">
        <v>551</v>
      </c>
      <c r="Y91" s="44"/>
      <c r="Z91" s="44"/>
      <c r="AA91" s="44"/>
      <c r="AB91" s="44" t="s">
        <v>262</v>
      </c>
      <c r="AC91" s="44" t="s">
        <v>262</v>
      </c>
      <c r="AD91" s="44" t="s">
        <v>262</v>
      </c>
      <c r="AE91" s="44" t="s">
        <v>262</v>
      </c>
      <c r="AF91" s="44" t="s">
        <v>263</v>
      </c>
      <c r="AG91" s="44" t="s">
        <v>263</v>
      </c>
      <c r="AH91" s="44" t="s">
        <v>262</v>
      </c>
      <c r="AI91" s="44">
        <v>0</v>
      </c>
      <c r="AJ91" s="47" t="s">
        <v>263</v>
      </c>
    </row>
    <row r="92" spans="1:36" x14ac:dyDescent="0.45">
      <c r="A92" s="43">
        <v>85</v>
      </c>
      <c r="C92" s="44" t="s">
        <v>252</v>
      </c>
      <c r="D92" s="44" t="s">
        <v>84</v>
      </c>
      <c r="E92" s="45"/>
      <c r="F92" s="44" t="s">
        <v>571</v>
      </c>
      <c r="G92" s="44" t="s">
        <v>254</v>
      </c>
      <c r="H92" s="44" t="s">
        <v>578</v>
      </c>
      <c r="I92" s="44" t="s">
        <v>579</v>
      </c>
      <c r="J92" s="44" t="s">
        <v>574</v>
      </c>
      <c r="K92" s="44" t="s">
        <v>257</v>
      </c>
      <c r="L92" s="44" t="s">
        <v>578</v>
      </c>
      <c r="M92" s="44" t="s">
        <v>580</v>
      </c>
      <c r="N92" s="44" t="s">
        <v>574</v>
      </c>
      <c r="O92" s="44" t="s">
        <v>258</v>
      </c>
      <c r="P92" s="44" t="s">
        <v>578</v>
      </c>
      <c r="Q92" s="44" t="s">
        <v>580</v>
      </c>
      <c r="R92" s="46">
        <v>0.18</v>
      </c>
      <c r="S92" s="44">
        <v>100</v>
      </c>
      <c r="T92" s="44" t="s">
        <v>130</v>
      </c>
      <c r="U92" s="44" t="s">
        <v>169</v>
      </c>
      <c r="V92" s="44" t="s">
        <v>462</v>
      </c>
      <c r="W92" s="44" t="s">
        <v>1397</v>
      </c>
      <c r="X92" s="44" t="s">
        <v>551</v>
      </c>
      <c r="Y92" s="44"/>
      <c r="Z92" s="44"/>
      <c r="AA92" s="44"/>
      <c r="AB92" s="44" t="s">
        <v>262</v>
      </c>
      <c r="AC92" s="44" t="s">
        <v>262</v>
      </c>
      <c r="AD92" s="44" t="s">
        <v>262</v>
      </c>
      <c r="AE92" s="44" t="s">
        <v>262</v>
      </c>
      <c r="AF92" s="44" t="s">
        <v>263</v>
      </c>
      <c r="AG92" s="44" t="s">
        <v>263</v>
      </c>
      <c r="AH92" s="44" t="s">
        <v>262</v>
      </c>
      <c r="AI92" s="44">
        <v>0</v>
      </c>
      <c r="AJ92" s="47" t="s">
        <v>263</v>
      </c>
    </row>
    <row r="93" spans="1:36" x14ac:dyDescent="0.45">
      <c r="A93" s="43">
        <v>85</v>
      </c>
      <c r="C93" s="44" t="s">
        <v>252</v>
      </c>
      <c r="D93" s="44" t="s">
        <v>84</v>
      </c>
      <c r="E93" s="45"/>
      <c r="F93" s="44" t="s">
        <v>571</v>
      </c>
      <c r="G93" s="44" t="s">
        <v>254</v>
      </c>
      <c r="H93" s="44" t="s">
        <v>552</v>
      </c>
      <c r="I93" s="44" t="s">
        <v>581</v>
      </c>
      <c r="J93" s="44" t="s">
        <v>574</v>
      </c>
      <c r="K93" s="44" t="s">
        <v>257</v>
      </c>
      <c r="L93" s="44" t="s">
        <v>552</v>
      </c>
      <c r="M93" s="44" t="s">
        <v>582</v>
      </c>
      <c r="N93" s="44" t="s">
        <v>574</v>
      </c>
      <c r="O93" s="44" t="s">
        <v>258</v>
      </c>
      <c r="P93" s="44" t="s">
        <v>552</v>
      </c>
      <c r="Q93" s="44" t="s">
        <v>582</v>
      </c>
      <c r="R93" s="46">
        <v>0.2</v>
      </c>
      <c r="S93" s="44">
        <v>100</v>
      </c>
      <c r="T93" s="44" t="s">
        <v>130</v>
      </c>
      <c r="U93" s="44" t="s">
        <v>169</v>
      </c>
      <c r="V93" s="44" t="s">
        <v>462</v>
      </c>
      <c r="W93" s="44" t="s">
        <v>1397</v>
      </c>
      <c r="X93" s="44" t="s">
        <v>551</v>
      </c>
      <c r="Y93" s="44"/>
      <c r="Z93" s="44"/>
      <c r="AA93" s="44"/>
      <c r="AB93" s="44" t="s">
        <v>262</v>
      </c>
      <c r="AC93" s="44" t="s">
        <v>262</v>
      </c>
      <c r="AD93" s="44" t="s">
        <v>262</v>
      </c>
      <c r="AE93" s="44" t="s">
        <v>262</v>
      </c>
      <c r="AF93" s="44" t="s">
        <v>263</v>
      </c>
      <c r="AG93" s="44" t="s">
        <v>263</v>
      </c>
      <c r="AH93" s="44" t="s">
        <v>262</v>
      </c>
      <c r="AI93" s="44">
        <v>0</v>
      </c>
      <c r="AJ93" s="47" t="s">
        <v>263</v>
      </c>
    </row>
    <row r="94" spans="1:36" x14ac:dyDescent="0.45">
      <c r="A94" s="43">
        <v>85</v>
      </c>
      <c r="C94" s="44" t="s">
        <v>252</v>
      </c>
      <c r="D94" s="44" t="s">
        <v>84</v>
      </c>
      <c r="E94" s="45"/>
      <c r="F94" s="44" t="s">
        <v>571</v>
      </c>
      <c r="G94" s="44" t="s">
        <v>254</v>
      </c>
      <c r="H94" s="44" t="s">
        <v>255</v>
      </c>
      <c r="I94" s="44" t="s">
        <v>583</v>
      </c>
      <c r="J94" s="44" t="s">
        <v>574</v>
      </c>
      <c r="K94" s="44" t="s">
        <v>257</v>
      </c>
      <c r="L94" s="44" t="s">
        <v>255</v>
      </c>
      <c r="M94" s="44" t="s">
        <v>584</v>
      </c>
      <c r="N94" s="44" t="s">
        <v>574</v>
      </c>
      <c r="O94" s="44" t="s">
        <v>258</v>
      </c>
      <c r="P94" s="44" t="s">
        <v>255</v>
      </c>
      <c r="Q94" s="44" t="s">
        <v>584</v>
      </c>
      <c r="R94" s="46">
        <v>0.25</v>
      </c>
      <c r="S94" s="44">
        <v>100</v>
      </c>
      <c r="T94" s="44" t="s">
        <v>130</v>
      </c>
      <c r="U94" s="44" t="s">
        <v>169</v>
      </c>
      <c r="V94" s="44" t="s">
        <v>462</v>
      </c>
      <c r="W94" s="44" t="s">
        <v>1397</v>
      </c>
      <c r="X94" s="44" t="s">
        <v>551</v>
      </c>
      <c r="Y94" s="44"/>
      <c r="Z94" s="44"/>
      <c r="AA94" s="44"/>
      <c r="AB94" s="44" t="s">
        <v>262</v>
      </c>
      <c r="AC94" s="44" t="s">
        <v>262</v>
      </c>
      <c r="AD94" s="44" t="s">
        <v>262</v>
      </c>
      <c r="AE94" s="44" t="s">
        <v>262</v>
      </c>
      <c r="AF94" s="44" t="s">
        <v>263</v>
      </c>
      <c r="AG94" s="44" t="s">
        <v>263</v>
      </c>
      <c r="AH94" s="44" t="s">
        <v>262</v>
      </c>
      <c r="AI94" s="44">
        <v>0</v>
      </c>
      <c r="AJ94" s="47" t="s">
        <v>263</v>
      </c>
    </row>
    <row r="95" spans="1:36" x14ac:dyDescent="0.45">
      <c r="A95" s="43">
        <v>86</v>
      </c>
      <c r="C95" s="44" t="s">
        <v>252</v>
      </c>
      <c r="D95" s="44" t="s">
        <v>84</v>
      </c>
      <c r="E95" s="45"/>
      <c r="F95" s="44" t="s">
        <v>571</v>
      </c>
      <c r="G95" s="44" t="s">
        <v>254</v>
      </c>
      <c r="H95" s="44" t="s">
        <v>359</v>
      </c>
      <c r="I95" s="44" t="s">
        <v>585</v>
      </c>
      <c r="J95" s="44" t="s">
        <v>574</v>
      </c>
      <c r="K95" s="44" t="s">
        <v>257</v>
      </c>
      <c r="L95" s="44" t="s">
        <v>359</v>
      </c>
      <c r="M95" s="44" t="s">
        <v>586</v>
      </c>
      <c r="N95" s="44" t="s">
        <v>574</v>
      </c>
      <c r="O95" s="44" t="s">
        <v>258</v>
      </c>
      <c r="P95" s="44" t="s">
        <v>359</v>
      </c>
      <c r="Q95" s="44" t="s">
        <v>586</v>
      </c>
      <c r="R95" s="46">
        <v>0.4</v>
      </c>
      <c r="S95" s="44">
        <v>100</v>
      </c>
      <c r="T95" s="44" t="s">
        <v>130</v>
      </c>
      <c r="U95" s="44" t="s">
        <v>169</v>
      </c>
      <c r="V95" s="44" t="s">
        <v>462</v>
      </c>
      <c r="W95" s="44" t="s">
        <v>1397</v>
      </c>
      <c r="X95" s="44" t="s">
        <v>551</v>
      </c>
      <c r="Y95" s="44"/>
      <c r="Z95" s="44"/>
      <c r="AA95" s="44"/>
      <c r="AB95" s="44" t="s">
        <v>262</v>
      </c>
      <c r="AC95" s="44" t="s">
        <v>262</v>
      </c>
      <c r="AD95" s="44" t="s">
        <v>262</v>
      </c>
      <c r="AE95" s="44" t="s">
        <v>262</v>
      </c>
      <c r="AF95" s="44" t="s">
        <v>263</v>
      </c>
      <c r="AG95" s="44" t="s">
        <v>263</v>
      </c>
      <c r="AH95" s="44" t="s">
        <v>262</v>
      </c>
      <c r="AI95" s="44">
        <v>0</v>
      </c>
      <c r="AJ95" s="47" t="s">
        <v>263</v>
      </c>
    </row>
    <row r="96" spans="1:36" x14ac:dyDescent="0.45">
      <c r="A96" s="43">
        <v>86</v>
      </c>
      <c r="C96" s="44" t="s">
        <v>252</v>
      </c>
      <c r="D96" s="44" t="s">
        <v>84</v>
      </c>
      <c r="E96" s="45"/>
      <c r="F96" s="44" t="s">
        <v>571</v>
      </c>
      <c r="G96" s="44" t="s">
        <v>254</v>
      </c>
      <c r="H96" s="44" t="s">
        <v>268</v>
      </c>
      <c r="I96" s="44" t="s">
        <v>587</v>
      </c>
      <c r="J96" s="44" t="s">
        <v>574</v>
      </c>
      <c r="K96" s="44" t="s">
        <v>257</v>
      </c>
      <c r="L96" s="44" t="s">
        <v>268</v>
      </c>
      <c r="M96" s="44" t="s">
        <v>588</v>
      </c>
      <c r="N96" s="44" t="s">
        <v>574</v>
      </c>
      <c r="O96" s="44" t="s">
        <v>258</v>
      </c>
      <c r="P96" s="44" t="s">
        <v>268</v>
      </c>
      <c r="Q96" s="44" t="s">
        <v>588</v>
      </c>
      <c r="R96" s="46">
        <v>0.5</v>
      </c>
      <c r="S96" s="44">
        <v>100</v>
      </c>
      <c r="T96" s="44" t="s">
        <v>130</v>
      </c>
      <c r="U96" s="44" t="s">
        <v>169</v>
      </c>
      <c r="V96" s="44" t="s">
        <v>462</v>
      </c>
      <c r="W96" s="44" t="s">
        <v>1397</v>
      </c>
      <c r="X96" s="44" t="s">
        <v>551</v>
      </c>
      <c r="Y96" s="44"/>
      <c r="Z96" s="44"/>
      <c r="AA96" s="44"/>
      <c r="AB96" s="44" t="s">
        <v>262</v>
      </c>
      <c r="AC96" s="44" t="s">
        <v>262</v>
      </c>
      <c r="AD96" s="44" t="s">
        <v>262</v>
      </c>
      <c r="AE96" s="44" t="s">
        <v>262</v>
      </c>
      <c r="AF96" s="44" t="s">
        <v>263</v>
      </c>
      <c r="AG96" s="44" t="s">
        <v>263</v>
      </c>
      <c r="AH96" s="44" t="s">
        <v>262</v>
      </c>
      <c r="AI96" s="44">
        <v>0</v>
      </c>
      <c r="AJ96" s="47" t="s">
        <v>263</v>
      </c>
    </row>
    <row r="97" spans="1:36" x14ac:dyDescent="0.45">
      <c r="A97" s="43">
        <v>87</v>
      </c>
      <c r="C97" s="44" t="s">
        <v>252</v>
      </c>
      <c r="D97" s="44" t="s">
        <v>84</v>
      </c>
      <c r="E97" s="45"/>
      <c r="F97" s="44" t="s">
        <v>539</v>
      </c>
      <c r="G97" s="44" t="s">
        <v>254</v>
      </c>
      <c r="H97" s="44" t="s">
        <v>273</v>
      </c>
      <c r="I97" s="44" t="s">
        <v>539</v>
      </c>
      <c r="J97" s="44" t="s">
        <v>540</v>
      </c>
      <c r="K97" s="44" t="s">
        <v>257</v>
      </c>
      <c r="L97" s="44" t="s">
        <v>274</v>
      </c>
      <c r="M97" s="44" t="s">
        <v>540</v>
      </c>
      <c r="N97" s="44" t="s">
        <v>541</v>
      </c>
      <c r="O97" s="44" t="s">
        <v>258</v>
      </c>
      <c r="P97" s="44" t="s">
        <v>275</v>
      </c>
      <c r="Q97" s="44" t="s">
        <v>541</v>
      </c>
      <c r="R97" s="48">
        <v>1</v>
      </c>
      <c r="S97" s="44">
        <v>1</v>
      </c>
      <c r="T97" s="44" t="s">
        <v>137</v>
      </c>
      <c r="U97" s="44" t="s">
        <v>169</v>
      </c>
      <c r="V97" s="44" t="s">
        <v>462</v>
      </c>
      <c r="W97" s="44" t="s">
        <v>526</v>
      </c>
      <c r="X97" s="44" t="s">
        <v>526</v>
      </c>
      <c r="Y97" s="44"/>
      <c r="Z97" s="44"/>
      <c r="AA97" s="44"/>
      <c r="AB97" s="44" t="s">
        <v>262</v>
      </c>
      <c r="AC97" s="44" t="s">
        <v>262</v>
      </c>
      <c r="AD97" s="44" t="s">
        <v>262</v>
      </c>
      <c r="AE97" s="44" t="s">
        <v>262</v>
      </c>
      <c r="AF97" s="44" t="s">
        <v>263</v>
      </c>
      <c r="AG97" s="44" t="s">
        <v>263</v>
      </c>
      <c r="AH97" s="44" t="s">
        <v>262</v>
      </c>
      <c r="AI97" s="44">
        <v>0</v>
      </c>
      <c r="AJ97" s="47" t="s">
        <v>263</v>
      </c>
    </row>
    <row r="98" spans="1:36" x14ac:dyDescent="0.45">
      <c r="A98" s="43">
        <v>88</v>
      </c>
      <c r="C98" s="44" t="s">
        <v>252</v>
      </c>
      <c r="D98" s="44" t="s">
        <v>84</v>
      </c>
      <c r="E98" s="45"/>
      <c r="F98" s="44" t="s">
        <v>542</v>
      </c>
      <c r="G98" s="44" t="s">
        <v>254</v>
      </c>
      <c r="H98" s="44" t="s">
        <v>273</v>
      </c>
      <c r="I98" s="44" t="s">
        <v>542</v>
      </c>
      <c r="J98" s="44" t="s">
        <v>1400</v>
      </c>
      <c r="K98" s="44" t="s">
        <v>257</v>
      </c>
      <c r="L98" s="44" t="s">
        <v>274</v>
      </c>
      <c r="M98" s="44" t="s">
        <v>1400</v>
      </c>
      <c r="N98" s="44" t="s">
        <v>543</v>
      </c>
      <c r="O98" s="44" t="s">
        <v>258</v>
      </c>
      <c r="P98" s="44" t="s">
        <v>275</v>
      </c>
      <c r="Q98" s="44" t="s">
        <v>543</v>
      </c>
      <c r="R98" s="48">
        <v>1</v>
      </c>
      <c r="S98" s="44">
        <v>1</v>
      </c>
      <c r="T98" s="44" t="s">
        <v>137</v>
      </c>
      <c r="U98" s="44" t="s">
        <v>169</v>
      </c>
      <c r="V98" s="44" t="s">
        <v>462</v>
      </c>
      <c r="W98" s="44" t="s">
        <v>526</v>
      </c>
      <c r="X98" s="44" t="s">
        <v>526</v>
      </c>
      <c r="Y98" s="44"/>
      <c r="Z98" s="44"/>
      <c r="AA98" s="44"/>
      <c r="AB98" s="44" t="s">
        <v>262</v>
      </c>
      <c r="AC98" s="44" t="s">
        <v>262</v>
      </c>
      <c r="AD98" s="44" t="s">
        <v>262</v>
      </c>
      <c r="AE98" s="44" t="s">
        <v>262</v>
      </c>
      <c r="AF98" s="44" t="s">
        <v>263</v>
      </c>
      <c r="AG98" s="44" t="s">
        <v>263</v>
      </c>
      <c r="AH98" s="44" t="s">
        <v>262</v>
      </c>
      <c r="AI98" s="44">
        <v>0</v>
      </c>
      <c r="AJ98" s="47" t="s">
        <v>263</v>
      </c>
    </row>
    <row r="99" spans="1:36" x14ac:dyDescent="0.45">
      <c r="A99" s="43">
        <v>89</v>
      </c>
      <c r="C99" s="44" t="s">
        <v>252</v>
      </c>
      <c r="D99" s="44" t="s">
        <v>84</v>
      </c>
      <c r="E99" s="45"/>
      <c r="F99" s="44" t="s">
        <v>1404</v>
      </c>
      <c r="G99" s="44" t="s">
        <v>254</v>
      </c>
      <c r="H99" s="44" t="s">
        <v>589</v>
      </c>
      <c r="I99" s="44" t="s">
        <v>590</v>
      </c>
      <c r="J99" s="44" t="s">
        <v>591</v>
      </c>
      <c r="K99" s="44" t="s">
        <v>257</v>
      </c>
      <c r="L99" s="44" t="s">
        <v>589</v>
      </c>
      <c r="M99" s="44" t="s">
        <v>592</v>
      </c>
      <c r="N99" s="44" t="s">
        <v>593</v>
      </c>
      <c r="O99" s="44" t="s">
        <v>258</v>
      </c>
      <c r="P99" s="44" t="s">
        <v>589</v>
      </c>
      <c r="Q99" s="44" t="s">
        <v>594</v>
      </c>
      <c r="R99" s="46">
        <v>0.04</v>
      </c>
      <c r="S99" s="44">
        <v>100</v>
      </c>
      <c r="T99" s="44" t="s">
        <v>130</v>
      </c>
      <c r="U99" s="44" t="s">
        <v>169</v>
      </c>
      <c r="V99" s="44" t="s">
        <v>462</v>
      </c>
      <c r="W99" s="44" t="s">
        <v>1397</v>
      </c>
      <c r="X99" s="44" t="s">
        <v>551</v>
      </c>
      <c r="Y99" s="44"/>
      <c r="Z99" s="44"/>
      <c r="AA99" s="44"/>
      <c r="AB99" s="44" t="s">
        <v>262</v>
      </c>
      <c r="AC99" s="44" t="s">
        <v>262</v>
      </c>
      <c r="AD99" s="44" t="s">
        <v>262</v>
      </c>
      <c r="AE99" s="44" t="s">
        <v>262</v>
      </c>
      <c r="AF99" s="44" t="s">
        <v>263</v>
      </c>
      <c r="AG99" s="44" t="s">
        <v>263</v>
      </c>
      <c r="AH99" s="44" t="s">
        <v>262</v>
      </c>
      <c r="AI99" s="44">
        <v>0.05</v>
      </c>
      <c r="AJ99" s="47" t="s">
        <v>263</v>
      </c>
    </row>
    <row r="100" spans="1:36" x14ac:dyDescent="0.45">
      <c r="A100" s="43">
        <v>89</v>
      </c>
      <c r="C100" s="44" t="s">
        <v>252</v>
      </c>
      <c r="D100" s="44" t="s">
        <v>84</v>
      </c>
      <c r="E100" s="45"/>
      <c r="F100" s="44" t="s">
        <v>1404</v>
      </c>
      <c r="G100" s="44" t="s">
        <v>254</v>
      </c>
      <c r="H100" s="44" t="s">
        <v>595</v>
      </c>
      <c r="I100" s="44" t="s">
        <v>596</v>
      </c>
      <c r="J100" s="44" t="s">
        <v>591</v>
      </c>
      <c r="K100" s="44" t="s">
        <v>257</v>
      </c>
      <c r="L100" s="44" t="s">
        <v>595</v>
      </c>
      <c r="M100" s="44" t="s">
        <v>597</v>
      </c>
      <c r="N100" s="44" t="s">
        <v>593</v>
      </c>
      <c r="O100" s="44" t="s">
        <v>258</v>
      </c>
      <c r="P100" s="44" t="s">
        <v>595</v>
      </c>
      <c r="Q100" s="44" t="s">
        <v>598</v>
      </c>
      <c r="R100" s="46">
        <v>0.06</v>
      </c>
      <c r="S100" s="44">
        <v>100</v>
      </c>
      <c r="T100" s="44" t="s">
        <v>130</v>
      </c>
      <c r="U100" s="44" t="s">
        <v>169</v>
      </c>
      <c r="V100" s="44" t="s">
        <v>462</v>
      </c>
      <c r="W100" s="44" t="s">
        <v>1397</v>
      </c>
      <c r="X100" s="44" t="s">
        <v>551</v>
      </c>
      <c r="Y100" s="44"/>
      <c r="Z100" s="44"/>
      <c r="AA100" s="44"/>
      <c r="AB100" s="44" t="s">
        <v>262</v>
      </c>
      <c r="AC100" s="44" t="s">
        <v>262</v>
      </c>
      <c r="AD100" s="44" t="s">
        <v>262</v>
      </c>
      <c r="AE100" s="44" t="s">
        <v>262</v>
      </c>
      <c r="AF100" s="44" t="s">
        <v>263</v>
      </c>
      <c r="AG100" s="44" t="s">
        <v>263</v>
      </c>
      <c r="AH100" s="44" t="s">
        <v>262</v>
      </c>
      <c r="AI100" s="44">
        <v>0.05</v>
      </c>
      <c r="AJ100" s="47" t="s">
        <v>263</v>
      </c>
    </row>
    <row r="101" spans="1:36" x14ac:dyDescent="0.45">
      <c r="A101" s="43">
        <v>89</v>
      </c>
      <c r="C101" s="44" t="s">
        <v>252</v>
      </c>
      <c r="D101" s="44" t="s">
        <v>84</v>
      </c>
      <c r="E101" s="45"/>
      <c r="F101" s="44" t="s">
        <v>1404</v>
      </c>
      <c r="G101" s="44" t="s">
        <v>254</v>
      </c>
      <c r="H101" s="44" t="s">
        <v>416</v>
      </c>
      <c r="I101" s="44" t="s">
        <v>599</v>
      </c>
      <c r="J101" s="44" t="s">
        <v>591</v>
      </c>
      <c r="K101" s="44" t="s">
        <v>257</v>
      </c>
      <c r="L101" s="44" t="s">
        <v>416</v>
      </c>
      <c r="M101" s="44" t="s">
        <v>600</v>
      </c>
      <c r="N101" s="44" t="s">
        <v>593</v>
      </c>
      <c r="O101" s="44" t="s">
        <v>258</v>
      </c>
      <c r="P101" s="44" t="s">
        <v>416</v>
      </c>
      <c r="Q101" s="44" t="s">
        <v>601</v>
      </c>
      <c r="R101" s="46">
        <v>0.1</v>
      </c>
      <c r="S101" s="44">
        <v>100</v>
      </c>
      <c r="T101" s="44" t="s">
        <v>130</v>
      </c>
      <c r="U101" s="44" t="s">
        <v>169</v>
      </c>
      <c r="V101" s="44" t="s">
        <v>462</v>
      </c>
      <c r="W101" s="44" t="s">
        <v>1397</v>
      </c>
      <c r="X101" s="44" t="s">
        <v>551</v>
      </c>
      <c r="Y101" s="44"/>
      <c r="Z101" s="44"/>
      <c r="AA101" s="44"/>
      <c r="AB101" s="44" t="s">
        <v>262</v>
      </c>
      <c r="AC101" s="44" t="s">
        <v>262</v>
      </c>
      <c r="AD101" s="44" t="s">
        <v>262</v>
      </c>
      <c r="AE101" s="44" t="s">
        <v>262</v>
      </c>
      <c r="AF101" s="44" t="s">
        <v>263</v>
      </c>
      <c r="AG101" s="44" t="s">
        <v>263</v>
      </c>
      <c r="AH101" s="44" t="s">
        <v>262</v>
      </c>
      <c r="AI101" s="44">
        <v>0.05</v>
      </c>
      <c r="AJ101" s="47" t="s">
        <v>263</v>
      </c>
    </row>
    <row r="102" spans="1:36" x14ac:dyDescent="0.45">
      <c r="A102" s="43">
        <v>90</v>
      </c>
      <c r="B102" s="81">
        <v>864</v>
      </c>
      <c r="C102" s="44" t="s">
        <v>503</v>
      </c>
      <c r="D102" s="44" t="s">
        <v>84</v>
      </c>
      <c r="E102" s="45"/>
      <c r="F102" s="44" t="s">
        <v>1414</v>
      </c>
      <c r="G102" s="44" t="s">
        <v>254</v>
      </c>
      <c r="H102" s="44" t="s">
        <v>520</v>
      </c>
      <c r="I102" s="44" t="s">
        <v>618</v>
      </c>
      <c r="J102" s="44" t="s">
        <v>619</v>
      </c>
      <c r="K102" s="44" t="s">
        <v>257</v>
      </c>
      <c r="L102" s="44" t="s">
        <v>523</v>
      </c>
      <c r="M102" s="44" t="s">
        <v>620</v>
      </c>
      <c r="N102" s="44" t="s">
        <v>621</v>
      </c>
      <c r="O102" s="44" t="s">
        <v>258</v>
      </c>
      <c r="P102" s="44" t="s">
        <v>524</v>
      </c>
      <c r="Q102" s="44" t="s">
        <v>622</v>
      </c>
      <c r="R102" s="46">
        <v>2</v>
      </c>
      <c r="S102" s="44">
        <v>100</v>
      </c>
      <c r="T102" s="44" t="s">
        <v>130</v>
      </c>
      <c r="U102" s="44" t="s">
        <v>169</v>
      </c>
      <c r="V102" s="44" t="s">
        <v>462</v>
      </c>
      <c r="W102" s="44" t="s">
        <v>515</v>
      </c>
      <c r="X102" s="44" t="s">
        <v>611</v>
      </c>
      <c r="Y102" s="44"/>
      <c r="Z102" s="44"/>
      <c r="AA102" s="44"/>
      <c r="AB102" s="44" t="s">
        <v>262</v>
      </c>
      <c r="AC102" s="44" t="s">
        <v>262</v>
      </c>
      <c r="AD102" s="44" t="s">
        <v>262</v>
      </c>
      <c r="AE102" s="44" t="s">
        <v>262</v>
      </c>
      <c r="AF102" s="44" t="s">
        <v>263</v>
      </c>
      <c r="AG102" s="44" t="s">
        <v>263</v>
      </c>
      <c r="AH102" s="44" t="s">
        <v>262</v>
      </c>
      <c r="AI102" s="44">
        <v>0.05</v>
      </c>
      <c r="AJ102" s="47" t="s">
        <v>263</v>
      </c>
    </row>
    <row r="103" spans="1:36" x14ac:dyDescent="0.45">
      <c r="A103" s="43">
        <v>91</v>
      </c>
      <c r="B103" s="81">
        <v>865</v>
      </c>
      <c r="C103" s="44" t="s">
        <v>503</v>
      </c>
      <c r="D103" s="44" t="s">
        <v>84</v>
      </c>
      <c r="E103" s="45"/>
      <c r="F103" s="44" t="s">
        <v>1415</v>
      </c>
      <c r="G103" s="44" t="s">
        <v>254</v>
      </c>
      <c r="H103" s="44" t="s">
        <v>520</v>
      </c>
      <c r="I103" s="44" t="s">
        <v>623</v>
      </c>
      <c r="J103" s="44" t="s">
        <v>624</v>
      </c>
      <c r="K103" s="44" t="s">
        <v>257</v>
      </c>
      <c r="L103" s="44" t="s">
        <v>523</v>
      </c>
      <c r="M103" s="44" t="s">
        <v>625</v>
      </c>
      <c r="N103" s="44" t="s">
        <v>626</v>
      </c>
      <c r="O103" s="44" t="s">
        <v>258</v>
      </c>
      <c r="P103" s="44" t="s">
        <v>524</v>
      </c>
      <c r="Q103" s="44" t="s">
        <v>627</v>
      </c>
      <c r="R103" s="46">
        <v>2</v>
      </c>
      <c r="S103" s="44">
        <v>100</v>
      </c>
      <c r="T103" s="44" t="s">
        <v>130</v>
      </c>
      <c r="U103" s="44" t="s">
        <v>169</v>
      </c>
      <c r="V103" s="44" t="s">
        <v>462</v>
      </c>
      <c r="W103" s="44" t="s">
        <v>515</v>
      </c>
      <c r="X103" s="44" t="s">
        <v>611</v>
      </c>
      <c r="Y103" s="44"/>
      <c r="Z103" s="44"/>
      <c r="AA103" s="44"/>
      <c r="AB103" s="44" t="s">
        <v>262</v>
      </c>
      <c r="AC103" s="44" t="s">
        <v>262</v>
      </c>
      <c r="AD103" s="44" t="s">
        <v>262</v>
      </c>
      <c r="AE103" s="44" t="s">
        <v>262</v>
      </c>
      <c r="AF103" s="44" t="s">
        <v>263</v>
      </c>
      <c r="AG103" s="44" t="s">
        <v>263</v>
      </c>
      <c r="AH103" s="44" t="s">
        <v>262</v>
      </c>
      <c r="AI103" s="44">
        <v>0.05</v>
      </c>
      <c r="AJ103" s="47" t="s">
        <v>263</v>
      </c>
    </row>
    <row r="104" spans="1:36" x14ac:dyDescent="0.45">
      <c r="A104" s="43">
        <v>92</v>
      </c>
      <c r="C104" s="44" t="s">
        <v>252</v>
      </c>
      <c r="D104" s="44" t="s">
        <v>84</v>
      </c>
      <c r="E104" s="45"/>
      <c r="F104" s="44" t="s">
        <v>602</v>
      </c>
      <c r="G104" s="44" t="s">
        <v>254</v>
      </c>
      <c r="H104" s="44" t="s">
        <v>273</v>
      </c>
      <c r="I104" s="44" t="s">
        <v>602</v>
      </c>
      <c r="J104" s="44" t="s">
        <v>603</v>
      </c>
      <c r="K104" s="44" t="s">
        <v>257</v>
      </c>
      <c r="L104" s="44" t="s">
        <v>274</v>
      </c>
      <c r="M104" s="44" t="s">
        <v>603</v>
      </c>
      <c r="N104" s="44" t="s">
        <v>604</v>
      </c>
      <c r="O104" s="44" t="s">
        <v>258</v>
      </c>
      <c r="P104" s="44" t="s">
        <v>275</v>
      </c>
      <c r="Q104" s="44" t="s">
        <v>604</v>
      </c>
      <c r="R104" s="46">
        <v>1</v>
      </c>
      <c r="S104" s="44">
        <v>1</v>
      </c>
      <c r="T104" s="44" t="s">
        <v>137</v>
      </c>
      <c r="U104" s="44" t="s">
        <v>169</v>
      </c>
      <c r="V104" s="44" t="s">
        <v>462</v>
      </c>
      <c r="W104" s="44" t="s">
        <v>1397</v>
      </c>
      <c r="X104" s="44" t="s">
        <v>551</v>
      </c>
      <c r="Y104" s="44"/>
      <c r="Z104" s="44"/>
      <c r="AA104" s="44"/>
      <c r="AB104" s="44" t="s">
        <v>262</v>
      </c>
      <c r="AC104" s="44" t="s">
        <v>262</v>
      </c>
      <c r="AD104" s="44" t="s">
        <v>262</v>
      </c>
      <c r="AE104" s="44" t="s">
        <v>262</v>
      </c>
      <c r="AF104" s="44" t="s">
        <v>263</v>
      </c>
      <c r="AG104" s="44" t="s">
        <v>263</v>
      </c>
      <c r="AH104" s="44" t="s">
        <v>262</v>
      </c>
      <c r="AI104" s="44">
        <v>0</v>
      </c>
      <c r="AJ104" s="47" t="s">
        <v>263</v>
      </c>
    </row>
    <row r="105" spans="1:36" x14ac:dyDescent="0.45">
      <c r="A105" s="43">
        <v>93</v>
      </c>
      <c r="B105" s="81">
        <v>841</v>
      </c>
      <c r="C105" s="44" t="s">
        <v>503</v>
      </c>
      <c r="D105" s="44" t="s">
        <v>84</v>
      </c>
      <c r="E105" s="45"/>
      <c r="F105" s="44" t="s">
        <v>544</v>
      </c>
      <c r="G105" s="44" t="s">
        <v>254</v>
      </c>
      <c r="H105" s="44" t="s">
        <v>273</v>
      </c>
      <c r="I105" s="44" t="s">
        <v>544</v>
      </c>
      <c r="J105" s="44" t="s">
        <v>1401</v>
      </c>
      <c r="K105" s="44" t="s">
        <v>257</v>
      </c>
      <c r="L105" s="44" t="s">
        <v>274</v>
      </c>
      <c r="M105" s="44" t="s">
        <v>1401</v>
      </c>
      <c r="N105" s="44" t="s">
        <v>545</v>
      </c>
      <c r="O105" s="44" t="s">
        <v>258</v>
      </c>
      <c r="P105" s="44" t="s">
        <v>275</v>
      </c>
      <c r="Q105" s="44" t="s">
        <v>545</v>
      </c>
      <c r="R105" s="46">
        <v>1</v>
      </c>
      <c r="S105" s="44">
        <v>100</v>
      </c>
      <c r="T105" s="44" t="s">
        <v>130</v>
      </c>
      <c r="U105" s="44" t="s">
        <v>169</v>
      </c>
      <c r="V105" s="44" t="s">
        <v>462</v>
      </c>
      <c r="W105" s="44" t="s">
        <v>526</v>
      </c>
      <c r="X105" s="44" t="s">
        <v>526</v>
      </c>
      <c r="Y105" s="44"/>
      <c r="Z105" s="44"/>
      <c r="AA105" s="44"/>
      <c r="AB105" s="44" t="s">
        <v>262</v>
      </c>
      <c r="AC105" s="44" t="s">
        <v>262</v>
      </c>
      <c r="AD105" s="44" t="s">
        <v>262</v>
      </c>
      <c r="AE105" s="44" t="s">
        <v>262</v>
      </c>
      <c r="AF105" s="44" t="s">
        <v>263</v>
      </c>
      <c r="AG105" s="44" t="s">
        <v>263</v>
      </c>
      <c r="AH105" s="44" t="s">
        <v>262</v>
      </c>
      <c r="AI105" s="44">
        <v>0.05</v>
      </c>
      <c r="AJ105" s="47" t="s">
        <v>263</v>
      </c>
    </row>
    <row r="106" spans="1:36" x14ac:dyDescent="0.45">
      <c r="A106" s="43">
        <v>94</v>
      </c>
      <c r="C106" s="44" t="s">
        <v>252</v>
      </c>
      <c r="D106" s="44" t="s">
        <v>84</v>
      </c>
      <c r="E106" s="45"/>
      <c r="F106" s="44" t="s">
        <v>480</v>
      </c>
      <c r="G106" s="44" t="s">
        <v>254</v>
      </c>
      <c r="H106" s="44" t="s">
        <v>474</v>
      </c>
      <c r="I106" s="44" t="s">
        <v>481</v>
      </c>
      <c r="J106" s="44" t="s">
        <v>1398</v>
      </c>
      <c r="K106" s="44" t="s">
        <v>257</v>
      </c>
      <c r="L106" s="44" t="s">
        <v>476</v>
      </c>
      <c r="M106" s="44" t="s">
        <v>482</v>
      </c>
      <c r="N106" s="44" t="s">
        <v>483</v>
      </c>
      <c r="O106" s="44" t="s">
        <v>258</v>
      </c>
      <c r="P106" s="44" t="s">
        <v>478</v>
      </c>
      <c r="Q106" s="44" t="s">
        <v>484</v>
      </c>
      <c r="R106" s="46">
        <v>6</v>
      </c>
      <c r="S106" s="44">
        <v>1</v>
      </c>
      <c r="T106" s="44" t="s">
        <v>137</v>
      </c>
      <c r="U106" s="44" t="s">
        <v>169</v>
      </c>
      <c r="V106" s="44" t="s">
        <v>462</v>
      </c>
      <c r="W106" s="44" t="s">
        <v>1397</v>
      </c>
      <c r="X106" s="44" t="s">
        <v>453</v>
      </c>
      <c r="Y106" s="44"/>
      <c r="Z106" s="44"/>
      <c r="AA106" s="44"/>
      <c r="AB106" s="44" t="s">
        <v>262</v>
      </c>
      <c r="AC106" s="44" t="s">
        <v>262</v>
      </c>
      <c r="AD106" s="44" t="s">
        <v>262</v>
      </c>
      <c r="AE106" s="44" t="s">
        <v>262</v>
      </c>
      <c r="AF106" s="44" t="s">
        <v>263</v>
      </c>
      <c r="AG106" s="44" t="s">
        <v>263</v>
      </c>
      <c r="AH106" s="44" t="s">
        <v>262</v>
      </c>
      <c r="AI106" s="44">
        <v>0.05</v>
      </c>
      <c r="AJ106" s="47" t="s">
        <v>263</v>
      </c>
    </row>
    <row r="107" spans="1:36" x14ac:dyDescent="0.45">
      <c r="A107" s="43">
        <v>95</v>
      </c>
      <c r="C107" s="44" t="s">
        <v>252</v>
      </c>
      <c r="D107" s="44" t="s">
        <v>84</v>
      </c>
      <c r="E107" s="45"/>
      <c r="F107" s="44" t="s">
        <v>480</v>
      </c>
      <c r="G107" s="44" t="s">
        <v>254</v>
      </c>
      <c r="H107" s="44" t="s">
        <v>273</v>
      </c>
      <c r="I107" s="44" t="s">
        <v>485</v>
      </c>
      <c r="J107" s="44" t="s">
        <v>486</v>
      </c>
      <c r="K107" s="44" t="s">
        <v>257</v>
      </c>
      <c r="L107" s="44" t="s">
        <v>274</v>
      </c>
      <c r="M107" s="44" t="s">
        <v>487</v>
      </c>
      <c r="N107" s="44" t="s">
        <v>488</v>
      </c>
      <c r="O107" s="44" t="s">
        <v>258</v>
      </c>
      <c r="P107" s="44" t="s">
        <v>275</v>
      </c>
      <c r="Q107" s="44" t="s">
        <v>489</v>
      </c>
      <c r="R107" s="46">
        <v>1</v>
      </c>
      <c r="S107" s="44">
        <v>1</v>
      </c>
      <c r="T107" s="44" t="s">
        <v>137</v>
      </c>
      <c r="U107" s="44" t="s">
        <v>169</v>
      </c>
      <c r="V107" s="44" t="s">
        <v>462</v>
      </c>
      <c r="W107" s="44" t="s">
        <v>1397</v>
      </c>
      <c r="X107" s="44" t="s">
        <v>453</v>
      </c>
      <c r="Y107" s="44"/>
      <c r="Z107" s="44"/>
      <c r="AA107" s="44"/>
      <c r="AB107" s="44" t="s">
        <v>262</v>
      </c>
      <c r="AC107" s="44" t="s">
        <v>262</v>
      </c>
      <c r="AD107" s="44" t="s">
        <v>262</v>
      </c>
      <c r="AE107" s="44" t="s">
        <v>262</v>
      </c>
      <c r="AF107" s="44" t="s">
        <v>263</v>
      </c>
      <c r="AG107" s="44" t="s">
        <v>263</v>
      </c>
      <c r="AH107" s="44" t="s">
        <v>262</v>
      </c>
      <c r="AI107" s="44">
        <v>0.05</v>
      </c>
      <c r="AJ107" s="47" t="s">
        <v>263</v>
      </c>
    </row>
    <row r="108" spans="1:36" x14ac:dyDescent="0.45">
      <c r="A108" s="43">
        <v>96</v>
      </c>
      <c r="B108" s="81">
        <v>842</v>
      </c>
      <c r="C108" s="44" t="s">
        <v>503</v>
      </c>
      <c r="D108" s="44" t="s">
        <v>84</v>
      </c>
      <c r="E108" s="45"/>
      <c r="F108" s="44" t="s">
        <v>546</v>
      </c>
      <c r="G108" s="44" t="s">
        <v>254</v>
      </c>
      <c r="H108" s="44" t="s">
        <v>273</v>
      </c>
      <c r="I108" s="44" t="s">
        <v>546</v>
      </c>
      <c r="J108" s="44" t="s">
        <v>546</v>
      </c>
      <c r="K108" s="44" t="s">
        <v>257</v>
      </c>
      <c r="L108" s="44" t="s">
        <v>274</v>
      </c>
      <c r="M108" s="44" t="s">
        <v>546</v>
      </c>
      <c r="N108" s="44" t="s">
        <v>546</v>
      </c>
      <c r="O108" s="44" t="s">
        <v>258</v>
      </c>
      <c r="P108" s="44" t="s">
        <v>275</v>
      </c>
      <c r="Q108" s="44" t="s">
        <v>546</v>
      </c>
      <c r="R108" s="46">
        <v>1</v>
      </c>
      <c r="S108" s="44">
        <v>100</v>
      </c>
      <c r="T108" s="44" t="s">
        <v>130</v>
      </c>
      <c r="U108" s="44" t="s">
        <v>169</v>
      </c>
      <c r="V108" s="44" t="s">
        <v>462</v>
      </c>
      <c r="W108" s="44" t="s">
        <v>526</v>
      </c>
      <c r="X108" s="44" t="s">
        <v>526</v>
      </c>
      <c r="Y108" s="44"/>
      <c r="Z108" s="44"/>
      <c r="AA108" s="44"/>
      <c r="AB108" s="44" t="s">
        <v>262</v>
      </c>
      <c r="AC108" s="44" t="s">
        <v>262</v>
      </c>
      <c r="AD108" s="44" t="s">
        <v>262</v>
      </c>
      <c r="AE108" s="44" t="s">
        <v>262</v>
      </c>
      <c r="AF108" s="44" t="s">
        <v>263</v>
      </c>
      <c r="AG108" s="44" t="s">
        <v>263</v>
      </c>
      <c r="AH108" s="44" t="s">
        <v>262</v>
      </c>
      <c r="AI108" s="44">
        <v>0.05</v>
      </c>
      <c r="AJ108" s="47" t="s">
        <v>263</v>
      </c>
    </row>
    <row r="109" spans="1:36" x14ac:dyDescent="0.45">
      <c r="A109" s="43">
        <v>97</v>
      </c>
      <c r="B109" s="81">
        <v>866</v>
      </c>
      <c r="C109" s="44" t="s">
        <v>503</v>
      </c>
      <c r="D109" s="44" t="s">
        <v>84</v>
      </c>
      <c r="E109" s="45"/>
      <c r="F109" s="44" t="s">
        <v>1416</v>
      </c>
      <c r="G109" s="44" t="s">
        <v>254</v>
      </c>
      <c r="H109" s="44" t="s">
        <v>520</v>
      </c>
      <c r="I109" s="44" t="s">
        <v>628</v>
      </c>
      <c r="J109" s="44" t="s">
        <v>629</v>
      </c>
      <c r="K109" s="44" t="s">
        <v>257</v>
      </c>
      <c r="L109" s="44" t="s">
        <v>523</v>
      </c>
      <c r="M109" s="44" t="s">
        <v>630</v>
      </c>
      <c r="N109" s="44" t="s">
        <v>1417</v>
      </c>
      <c r="O109" s="44" t="s">
        <v>258</v>
      </c>
      <c r="P109" s="44" t="s">
        <v>524</v>
      </c>
      <c r="Q109" s="44" t="s">
        <v>631</v>
      </c>
      <c r="R109" s="46">
        <v>2</v>
      </c>
      <c r="S109" s="44">
        <v>100</v>
      </c>
      <c r="T109" s="44" t="s">
        <v>130</v>
      </c>
      <c r="U109" s="44" t="s">
        <v>169</v>
      </c>
      <c r="V109" s="44" t="s">
        <v>462</v>
      </c>
      <c r="W109" s="44" t="s">
        <v>515</v>
      </c>
      <c r="X109" s="44" t="s">
        <v>611</v>
      </c>
      <c r="Y109" s="44"/>
      <c r="Z109" s="44"/>
      <c r="AA109" s="44"/>
      <c r="AB109" s="44" t="s">
        <v>262</v>
      </c>
      <c r="AC109" s="44" t="s">
        <v>262</v>
      </c>
      <c r="AD109" s="44" t="s">
        <v>262</v>
      </c>
      <c r="AE109" s="44" t="s">
        <v>262</v>
      </c>
      <c r="AF109" s="44" t="s">
        <v>263</v>
      </c>
      <c r="AG109" s="44" t="s">
        <v>263</v>
      </c>
      <c r="AH109" s="44" t="s">
        <v>262</v>
      </c>
      <c r="AI109" s="44">
        <v>0.05</v>
      </c>
      <c r="AJ109" s="47" t="s">
        <v>263</v>
      </c>
    </row>
    <row r="110" spans="1:36" x14ac:dyDescent="0.45">
      <c r="A110" s="43">
        <v>98</v>
      </c>
      <c r="B110" s="81">
        <v>830</v>
      </c>
      <c r="C110" s="44" t="s">
        <v>503</v>
      </c>
      <c r="D110" s="44" t="s">
        <v>84</v>
      </c>
      <c r="E110" s="45"/>
      <c r="F110" s="44" t="s">
        <v>508</v>
      </c>
      <c r="G110" s="44" t="s">
        <v>254</v>
      </c>
      <c r="H110" s="44" t="s">
        <v>273</v>
      </c>
      <c r="I110" s="44" t="s">
        <v>508</v>
      </c>
      <c r="J110" s="44" t="s">
        <v>509</v>
      </c>
      <c r="K110" s="44" t="s">
        <v>257</v>
      </c>
      <c r="L110" s="44" t="s">
        <v>274</v>
      </c>
      <c r="M110" s="44" t="s">
        <v>509</v>
      </c>
      <c r="N110" s="44" t="s">
        <v>510</v>
      </c>
      <c r="O110" s="44" t="s">
        <v>258</v>
      </c>
      <c r="P110" s="44" t="s">
        <v>275</v>
      </c>
      <c r="Q110" s="44" t="s">
        <v>510</v>
      </c>
      <c r="R110" s="46">
        <v>1</v>
      </c>
      <c r="S110" s="44">
        <v>100</v>
      </c>
      <c r="T110" s="44" t="s">
        <v>130</v>
      </c>
      <c r="U110" s="44" t="s">
        <v>169</v>
      </c>
      <c r="V110" s="44" t="s">
        <v>462</v>
      </c>
      <c r="W110" s="44" t="s">
        <v>506</v>
      </c>
      <c r="X110" s="44" t="s">
        <v>511</v>
      </c>
      <c r="Y110" s="44"/>
      <c r="Z110" s="44"/>
      <c r="AA110" s="44"/>
      <c r="AB110" s="44" t="s">
        <v>262</v>
      </c>
      <c r="AC110" s="44" t="s">
        <v>262</v>
      </c>
      <c r="AD110" s="44" t="s">
        <v>262</v>
      </c>
      <c r="AE110" s="44" t="s">
        <v>262</v>
      </c>
      <c r="AF110" s="44" t="s">
        <v>263</v>
      </c>
      <c r="AG110" s="44" t="s">
        <v>263</v>
      </c>
      <c r="AH110" s="44" t="s">
        <v>262</v>
      </c>
      <c r="AI110" s="44">
        <v>0.05</v>
      </c>
      <c r="AJ110" s="47" t="s">
        <v>263</v>
      </c>
    </row>
    <row r="111" spans="1:36" x14ac:dyDescent="0.45">
      <c r="A111" s="43">
        <v>99</v>
      </c>
      <c r="C111" s="44" t="s">
        <v>252</v>
      </c>
      <c r="D111" s="44" t="s">
        <v>84</v>
      </c>
      <c r="E111" s="45"/>
      <c r="F111" s="44" t="s">
        <v>512</v>
      </c>
      <c r="G111" s="44" t="s">
        <v>254</v>
      </c>
      <c r="H111" s="44" t="s">
        <v>273</v>
      </c>
      <c r="I111" s="44" t="s">
        <v>512</v>
      </c>
      <c r="J111" s="44" t="s">
        <v>513</v>
      </c>
      <c r="K111" s="44" t="s">
        <v>257</v>
      </c>
      <c r="L111" s="44" t="s">
        <v>274</v>
      </c>
      <c r="M111" s="44" t="s">
        <v>513</v>
      </c>
      <c r="N111" s="44" t="s">
        <v>514</v>
      </c>
      <c r="O111" s="44" t="s">
        <v>258</v>
      </c>
      <c r="P111" s="44" t="s">
        <v>275</v>
      </c>
      <c r="Q111" s="44" t="s">
        <v>514</v>
      </c>
      <c r="R111" s="46">
        <v>1</v>
      </c>
      <c r="S111" s="44">
        <v>1</v>
      </c>
      <c r="T111" s="44" t="s">
        <v>137</v>
      </c>
      <c r="U111" s="44" t="s">
        <v>169</v>
      </c>
      <c r="V111" s="44" t="s">
        <v>462</v>
      </c>
      <c r="W111" s="44" t="s">
        <v>515</v>
      </c>
      <c r="X111" s="44" t="s">
        <v>516</v>
      </c>
      <c r="Y111" s="44"/>
      <c r="Z111" s="44"/>
      <c r="AA111" s="44"/>
      <c r="AB111" s="44" t="s">
        <v>262</v>
      </c>
      <c r="AC111" s="44" t="s">
        <v>262</v>
      </c>
      <c r="AD111" s="44" t="s">
        <v>262</v>
      </c>
      <c r="AE111" s="44" t="s">
        <v>262</v>
      </c>
      <c r="AF111" s="44" t="s">
        <v>263</v>
      </c>
      <c r="AG111" s="44" t="s">
        <v>263</v>
      </c>
      <c r="AH111" s="44" t="s">
        <v>262</v>
      </c>
      <c r="AI111" s="44">
        <v>0</v>
      </c>
      <c r="AJ111" s="47" t="s">
        <v>263</v>
      </c>
    </row>
    <row r="112" spans="1:36" x14ac:dyDescent="0.45">
      <c r="A112" s="43">
        <v>100</v>
      </c>
      <c r="C112" s="44" t="s">
        <v>252</v>
      </c>
      <c r="D112" s="44" t="s">
        <v>84</v>
      </c>
      <c r="E112" s="45"/>
      <c r="F112" s="44" t="s">
        <v>490</v>
      </c>
      <c r="G112" s="44" t="s">
        <v>254</v>
      </c>
      <c r="H112" s="44" t="s">
        <v>491</v>
      </c>
      <c r="I112" s="44" t="s">
        <v>492</v>
      </c>
      <c r="J112" s="44" t="s">
        <v>493</v>
      </c>
      <c r="K112" s="44" t="s">
        <v>257</v>
      </c>
      <c r="L112" s="44" t="s">
        <v>494</v>
      </c>
      <c r="M112" s="44" t="s">
        <v>495</v>
      </c>
      <c r="N112" s="44" t="s">
        <v>496</v>
      </c>
      <c r="O112" s="44" t="s">
        <v>258</v>
      </c>
      <c r="P112" s="44" t="s">
        <v>497</v>
      </c>
      <c r="Q112" s="44" t="s">
        <v>498</v>
      </c>
      <c r="R112" s="46">
        <v>8</v>
      </c>
      <c r="S112" s="44">
        <v>1</v>
      </c>
      <c r="T112" s="44" t="s">
        <v>137</v>
      </c>
      <c r="U112" s="44" t="s">
        <v>169</v>
      </c>
      <c r="V112" s="44" t="s">
        <v>462</v>
      </c>
      <c r="W112" s="44" t="s">
        <v>1397</v>
      </c>
      <c r="X112" s="44" t="s">
        <v>453</v>
      </c>
      <c r="Y112" s="44"/>
      <c r="Z112" s="44"/>
      <c r="AA112" s="44"/>
      <c r="AB112" s="44" t="s">
        <v>262</v>
      </c>
      <c r="AC112" s="44" t="s">
        <v>262</v>
      </c>
      <c r="AD112" s="44" t="s">
        <v>262</v>
      </c>
      <c r="AE112" s="44" t="s">
        <v>262</v>
      </c>
      <c r="AF112" s="44" t="s">
        <v>263</v>
      </c>
      <c r="AG112" s="44" t="s">
        <v>263</v>
      </c>
      <c r="AH112" s="44" t="s">
        <v>262</v>
      </c>
      <c r="AI112" s="44">
        <v>0.05</v>
      </c>
      <c r="AJ112" s="47" t="s">
        <v>263</v>
      </c>
    </row>
    <row r="113" spans="1:36" x14ac:dyDescent="0.45">
      <c r="A113" s="43">
        <v>100</v>
      </c>
      <c r="C113" s="44" t="s">
        <v>252</v>
      </c>
      <c r="D113" s="44" t="s">
        <v>84</v>
      </c>
      <c r="E113" s="45"/>
      <c r="F113" s="44" t="s">
        <v>490</v>
      </c>
      <c r="G113" s="44" t="s">
        <v>254</v>
      </c>
      <c r="H113" s="44" t="s">
        <v>474</v>
      </c>
      <c r="I113" s="44" t="s">
        <v>499</v>
      </c>
      <c r="J113" s="44" t="s">
        <v>493</v>
      </c>
      <c r="K113" s="44" t="s">
        <v>257</v>
      </c>
      <c r="L113" s="44" t="s">
        <v>476</v>
      </c>
      <c r="M113" s="44" t="s">
        <v>500</v>
      </c>
      <c r="N113" s="44" t="s">
        <v>496</v>
      </c>
      <c r="O113" s="44" t="s">
        <v>258</v>
      </c>
      <c r="P113" s="44" t="s">
        <v>478</v>
      </c>
      <c r="Q113" s="44" t="s">
        <v>501</v>
      </c>
      <c r="R113" s="46">
        <v>6</v>
      </c>
      <c r="S113" s="44">
        <v>1</v>
      </c>
      <c r="T113" s="44" t="s">
        <v>137</v>
      </c>
      <c r="U113" s="44" t="s">
        <v>169</v>
      </c>
      <c r="V113" s="44" t="s">
        <v>462</v>
      </c>
      <c r="W113" s="44" t="s">
        <v>1397</v>
      </c>
      <c r="X113" s="44" t="s">
        <v>453</v>
      </c>
      <c r="Y113" s="44"/>
      <c r="Z113" s="44"/>
      <c r="AA113" s="44"/>
      <c r="AB113" s="44" t="s">
        <v>262</v>
      </c>
      <c r="AC113" s="44" t="s">
        <v>262</v>
      </c>
      <c r="AD113" s="44" t="s">
        <v>262</v>
      </c>
      <c r="AE113" s="44" t="s">
        <v>262</v>
      </c>
      <c r="AF113" s="44" t="s">
        <v>263</v>
      </c>
      <c r="AG113" s="44" t="s">
        <v>263</v>
      </c>
      <c r="AH113" s="44" t="s">
        <v>262</v>
      </c>
      <c r="AI113" s="44">
        <v>0.05</v>
      </c>
      <c r="AJ113" s="47" t="s">
        <v>263</v>
      </c>
    </row>
    <row r="114" spans="1:36" x14ac:dyDescent="0.45">
      <c r="A114" s="43">
        <v>100</v>
      </c>
      <c r="C114" s="44" t="s">
        <v>252</v>
      </c>
      <c r="D114" s="44" t="s">
        <v>84</v>
      </c>
      <c r="E114" s="45"/>
      <c r="F114" s="44" t="s">
        <v>490</v>
      </c>
      <c r="G114" s="44" t="s">
        <v>254</v>
      </c>
      <c r="H114" s="44" t="s">
        <v>273</v>
      </c>
      <c r="I114" s="44" t="s">
        <v>502</v>
      </c>
      <c r="J114" s="44" t="s">
        <v>493</v>
      </c>
      <c r="K114" s="44" t="s">
        <v>257</v>
      </c>
      <c r="L114" s="44" t="s">
        <v>274</v>
      </c>
      <c r="M114" s="44" t="s">
        <v>493</v>
      </c>
      <c r="N114" s="44" t="s">
        <v>496</v>
      </c>
      <c r="O114" s="44" t="s">
        <v>258</v>
      </c>
      <c r="P114" s="44" t="s">
        <v>275</v>
      </c>
      <c r="Q114" s="44" t="s">
        <v>496</v>
      </c>
      <c r="R114" s="46">
        <v>1</v>
      </c>
      <c r="S114" s="44">
        <v>1</v>
      </c>
      <c r="T114" s="44" t="s">
        <v>137</v>
      </c>
      <c r="U114" s="44" t="s">
        <v>169</v>
      </c>
      <c r="V114" s="44" t="s">
        <v>462</v>
      </c>
      <c r="W114" s="44" t="s">
        <v>1397</v>
      </c>
      <c r="X114" s="44" t="s">
        <v>453</v>
      </c>
      <c r="Y114" s="44"/>
      <c r="Z114" s="44"/>
      <c r="AA114" s="44"/>
      <c r="AB114" s="44" t="s">
        <v>262</v>
      </c>
      <c r="AC114" s="44" t="s">
        <v>262</v>
      </c>
      <c r="AD114" s="44" t="s">
        <v>262</v>
      </c>
      <c r="AE114" s="44" t="s">
        <v>262</v>
      </c>
      <c r="AF114" s="44" t="s">
        <v>263</v>
      </c>
      <c r="AG114" s="44" t="s">
        <v>263</v>
      </c>
      <c r="AH114" s="44" t="s">
        <v>262</v>
      </c>
      <c r="AI114" s="44">
        <v>0.05</v>
      </c>
      <c r="AJ114" s="47" t="s">
        <v>263</v>
      </c>
    </row>
    <row r="115" spans="1:36" x14ac:dyDescent="0.45">
      <c r="A115" s="43">
        <v>101</v>
      </c>
      <c r="C115" s="44" t="s">
        <v>252</v>
      </c>
      <c r="D115" s="44" t="s">
        <v>84</v>
      </c>
      <c r="E115" s="45"/>
      <c r="F115" s="44" t="s">
        <v>611</v>
      </c>
      <c r="G115" s="44" t="s">
        <v>254</v>
      </c>
      <c r="H115" s="44" t="s">
        <v>273</v>
      </c>
      <c r="I115" s="44" t="s">
        <v>611</v>
      </c>
      <c r="J115" s="44" t="s">
        <v>517</v>
      </c>
      <c r="K115" s="44" t="s">
        <v>257</v>
      </c>
      <c r="L115" s="44" t="s">
        <v>274</v>
      </c>
      <c r="M115" s="44" t="s">
        <v>517</v>
      </c>
      <c r="N115" s="44" t="s">
        <v>518</v>
      </c>
      <c r="O115" s="44" t="s">
        <v>258</v>
      </c>
      <c r="P115" s="44" t="s">
        <v>275</v>
      </c>
      <c r="Q115" s="44" t="s">
        <v>518</v>
      </c>
      <c r="R115" s="46">
        <v>1</v>
      </c>
      <c r="S115" s="44">
        <v>1</v>
      </c>
      <c r="T115" s="44" t="s">
        <v>137</v>
      </c>
      <c r="U115" s="44" t="s">
        <v>169</v>
      </c>
      <c r="V115" s="44" t="s">
        <v>462</v>
      </c>
      <c r="W115" s="44" t="s">
        <v>515</v>
      </c>
      <c r="X115" s="44" t="s">
        <v>516</v>
      </c>
      <c r="Y115" s="44"/>
      <c r="Z115" s="44"/>
      <c r="AA115" s="44"/>
      <c r="AB115" s="44" t="s">
        <v>262</v>
      </c>
      <c r="AC115" s="44" t="s">
        <v>262</v>
      </c>
      <c r="AD115" s="44" t="s">
        <v>262</v>
      </c>
      <c r="AE115" s="44" t="s">
        <v>262</v>
      </c>
      <c r="AF115" s="44" t="s">
        <v>263</v>
      </c>
      <c r="AG115" s="44" t="s">
        <v>263</v>
      </c>
      <c r="AH115" s="44" t="s">
        <v>262</v>
      </c>
      <c r="AI115" s="44">
        <v>0</v>
      </c>
      <c r="AJ115" s="47" t="s">
        <v>263</v>
      </c>
    </row>
    <row r="116" spans="1:36" x14ac:dyDescent="0.45">
      <c r="A116" s="43">
        <v>102</v>
      </c>
      <c r="C116" s="44" t="s">
        <v>252</v>
      </c>
      <c r="D116" s="44" t="s">
        <v>84</v>
      </c>
      <c r="E116" s="45"/>
      <c r="F116" s="44" t="s">
        <v>547</v>
      </c>
      <c r="G116" s="44" t="s">
        <v>254</v>
      </c>
      <c r="H116" s="44" t="s">
        <v>273</v>
      </c>
      <c r="I116" s="44" t="s">
        <v>547</v>
      </c>
      <c r="J116" s="44" t="s">
        <v>547</v>
      </c>
      <c r="K116" s="44" t="s">
        <v>257</v>
      </c>
      <c r="L116" s="44" t="s">
        <v>274</v>
      </c>
      <c r="M116" s="44" t="s">
        <v>547</v>
      </c>
      <c r="N116" s="44" t="s">
        <v>547</v>
      </c>
      <c r="O116" s="44" t="s">
        <v>258</v>
      </c>
      <c r="P116" s="44" t="s">
        <v>275</v>
      </c>
      <c r="Q116" s="44" t="s">
        <v>547</v>
      </c>
      <c r="R116" s="46">
        <v>1</v>
      </c>
      <c r="S116" s="44">
        <v>1</v>
      </c>
      <c r="T116" s="44" t="s">
        <v>137</v>
      </c>
      <c r="U116" s="44" t="s">
        <v>169</v>
      </c>
      <c r="V116" s="44" t="s">
        <v>462</v>
      </c>
      <c r="W116" s="44" t="s">
        <v>526</v>
      </c>
      <c r="X116" s="44" t="s">
        <v>526</v>
      </c>
      <c r="Y116" s="44"/>
      <c r="Z116" s="44"/>
      <c r="AA116" s="44"/>
      <c r="AB116" s="44" t="s">
        <v>262</v>
      </c>
      <c r="AC116" s="44" t="s">
        <v>262</v>
      </c>
      <c r="AD116" s="44" t="s">
        <v>262</v>
      </c>
      <c r="AE116" s="44" t="s">
        <v>262</v>
      </c>
      <c r="AF116" s="44" t="s">
        <v>263</v>
      </c>
      <c r="AG116" s="44" t="s">
        <v>263</v>
      </c>
      <c r="AH116" s="44" t="s">
        <v>262</v>
      </c>
      <c r="AI116" s="44">
        <v>0.05</v>
      </c>
      <c r="AJ116" s="47" t="s">
        <v>263</v>
      </c>
    </row>
    <row r="117" spans="1:36" x14ac:dyDescent="0.45">
      <c r="A117" s="43">
        <v>103</v>
      </c>
      <c r="C117" s="44" t="s">
        <v>252</v>
      </c>
      <c r="D117" s="44" t="s">
        <v>84</v>
      </c>
      <c r="E117" s="45"/>
      <c r="F117" s="44" t="s">
        <v>686</v>
      </c>
      <c r="G117" s="44" t="s">
        <v>254</v>
      </c>
      <c r="H117" s="44" t="s">
        <v>387</v>
      </c>
      <c r="I117" s="44" t="s">
        <v>687</v>
      </c>
      <c r="J117" s="44" t="s">
        <v>688</v>
      </c>
      <c r="K117" s="44" t="s">
        <v>257</v>
      </c>
      <c r="L117" s="44" t="s">
        <v>387</v>
      </c>
      <c r="M117" s="44" t="s">
        <v>689</v>
      </c>
      <c r="N117" s="44" t="s">
        <v>690</v>
      </c>
      <c r="O117" s="44" t="s">
        <v>258</v>
      </c>
      <c r="P117" s="44" t="s">
        <v>387</v>
      </c>
      <c r="Q117" s="44" t="s">
        <v>691</v>
      </c>
      <c r="R117" s="46">
        <v>1</v>
      </c>
      <c r="S117" s="44">
        <v>10</v>
      </c>
      <c r="T117" s="44" t="s">
        <v>128</v>
      </c>
      <c r="U117" s="44" t="s">
        <v>169</v>
      </c>
      <c r="V117" s="44" t="s">
        <v>636</v>
      </c>
      <c r="W117" s="44" t="s">
        <v>194</v>
      </c>
      <c r="X117" s="44" t="s">
        <v>194</v>
      </c>
      <c r="Y117" s="44"/>
      <c r="Z117" s="44"/>
      <c r="AA117" s="44"/>
      <c r="AB117" s="44" t="s">
        <v>262</v>
      </c>
      <c r="AC117" s="44" t="s">
        <v>262</v>
      </c>
      <c r="AD117" s="44" t="s">
        <v>262</v>
      </c>
      <c r="AE117" s="44" t="s">
        <v>262</v>
      </c>
      <c r="AF117" s="44" t="s">
        <v>263</v>
      </c>
      <c r="AG117" s="44" t="s">
        <v>263</v>
      </c>
      <c r="AH117" s="44" t="s">
        <v>262</v>
      </c>
      <c r="AI117" s="44">
        <v>0.05</v>
      </c>
      <c r="AJ117" s="47" t="s">
        <v>263</v>
      </c>
    </row>
    <row r="118" spans="1:36" x14ac:dyDescent="0.45">
      <c r="A118" s="43">
        <v>104</v>
      </c>
      <c r="C118" s="44" t="s">
        <v>252</v>
      </c>
      <c r="D118" s="44" t="s">
        <v>84</v>
      </c>
      <c r="E118" s="45"/>
      <c r="F118" s="44" t="s">
        <v>686</v>
      </c>
      <c r="G118" s="44" t="s">
        <v>254</v>
      </c>
      <c r="H118" s="44" t="s">
        <v>673</v>
      </c>
      <c r="I118" s="44" t="s">
        <v>692</v>
      </c>
      <c r="J118" s="44" t="s">
        <v>688</v>
      </c>
      <c r="K118" s="44" t="s">
        <v>257</v>
      </c>
      <c r="L118" s="44" t="s">
        <v>673</v>
      </c>
      <c r="M118" s="44" t="s">
        <v>693</v>
      </c>
      <c r="N118" s="44" t="s">
        <v>690</v>
      </c>
      <c r="O118" s="44" t="s">
        <v>258</v>
      </c>
      <c r="P118" s="44" t="s">
        <v>673</v>
      </c>
      <c r="Q118" s="44" t="s">
        <v>694</v>
      </c>
      <c r="R118" s="46">
        <v>0.5</v>
      </c>
      <c r="S118" s="44">
        <v>10</v>
      </c>
      <c r="T118" s="44" t="s">
        <v>128</v>
      </c>
      <c r="U118" s="44" t="s">
        <v>169</v>
      </c>
      <c r="V118" s="44" t="s">
        <v>636</v>
      </c>
      <c r="W118" s="44" t="s">
        <v>194</v>
      </c>
      <c r="X118" s="44" t="s">
        <v>194</v>
      </c>
      <c r="Y118" s="44"/>
      <c r="Z118" s="44"/>
      <c r="AA118" s="44"/>
      <c r="AB118" s="44" t="s">
        <v>262</v>
      </c>
      <c r="AC118" s="44" t="s">
        <v>262</v>
      </c>
      <c r="AD118" s="44" t="s">
        <v>262</v>
      </c>
      <c r="AE118" s="44" t="s">
        <v>262</v>
      </c>
      <c r="AF118" s="44" t="s">
        <v>263</v>
      </c>
      <c r="AG118" s="44" t="s">
        <v>263</v>
      </c>
      <c r="AH118" s="44" t="s">
        <v>262</v>
      </c>
      <c r="AI118" s="44">
        <v>0.05</v>
      </c>
      <c r="AJ118" s="47" t="s">
        <v>263</v>
      </c>
    </row>
    <row r="119" spans="1:36" x14ac:dyDescent="0.45">
      <c r="A119" s="43">
        <v>105</v>
      </c>
      <c r="C119" s="44" t="s">
        <v>252</v>
      </c>
      <c r="D119" s="44" t="s">
        <v>84</v>
      </c>
      <c r="E119" s="45"/>
      <c r="F119" s="44" t="s">
        <v>709</v>
      </c>
      <c r="G119" s="44" t="s">
        <v>254</v>
      </c>
      <c r="H119" s="44" t="s">
        <v>661</v>
      </c>
      <c r="I119" s="44" t="s">
        <v>710</v>
      </c>
      <c r="J119" s="44" t="s">
        <v>711</v>
      </c>
      <c r="K119" s="44" t="s">
        <v>257</v>
      </c>
      <c r="L119" s="44" t="s">
        <v>661</v>
      </c>
      <c r="M119" s="44" t="s">
        <v>712</v>
      </c>
      <c r="N119" s="44" t="s">
        <v>713</v>
      </c>
      <c r="O119" s="44" t="s">
        <v>258</v>
      </c>
      <c r="P119" s="44" t="s">
        <v>661</v>
      </c>
      <c r="Q119" s="44" t="s">
        <v>714</v>
      </c>
      <c r="R119" s="46">
        <v>0.33</v>
      </c>
      <c r="S119" s="44">
        <v>1</v>
      </c>
      <c r="T119" s="44" t="s">
        <v>133</v>
      </c>
      <c r="U119" s="44" t="s">
        <v>169</v>
      </c>
      <c r="V119" s="44" t="s">
        <v>636</v>
      </c>
      <c r="W119" s="44" t="s">
        <v>715</v>
      </c>
      <c r="X119" s="44" t="s">
        <v>715</v>
      </c>
      <c r="Y119" s="44"/>
      <c r="Z119" s="44"/>
      <c r="AA119" s="44"/>
      <c r="AB119" s="44" t="s">
        <v>262</v>
      </c>
      <c r="AC119" s="44" t="s">
        <v>262</v>
      </c>
      <c r="AD119" s="44" t="s">
        <v>262</v>
      </c>
      <c r="AE119" s="44" t="s">
        <v>262</v>
      </c>
      <c r="AF119" s="44" t="s">
        <v>263</v>
      </c>
      <c r="AG119" s="44" t="s">
        <v>263</v>
      </c>
      <c r="AH119" s="44" t="s">
        <v>262</v>
      </c>
      <c r="AI119" s="44">
        <v>0.05</v>
      </c>
      <c r="AJ119" s="47" t="s">
        <v>263</v>
      </c>
    </row>
    <row r="120" spans="1:36" x14ac:dyDescent="0.45">
      <c r="A120" s="43">
        <v>105</v>
      </c>
      <c r="C120" s="44" t="s">
        <v>252</v>
      </c>
      <c r="D120" s="44" t="s">
        <v>84</v>
      </c>
      <c r="E120" s="45"/>
      <c r="F120" s="44" t="s">
        <v>709</v>
      </c>
      <c r="G120" s="44" t="s">
        <v>254</v>
      </c>
      <c r="H120" s="44" t="s">
        <v>673</v>
      </c>
      <c r="I120" s="44" t="s">
        <v>716</v>
      </c>
      <c r="J120" s="44" t="s">
        <v>711</v>
      </c>
      <c r="K120" s="44" t="s">
        <v>257</v>
      </c>
      <c r="L120" s="44" t="s">
        <v>673</v>
      </c>
      <c r="M120" s="44" t="s">
        <v>717</v>
      </c>
      <c r="N120" s="44" t="s">
        <v>713</v>
      </c>
      <c r="O120" s="44" t="s">
        <v>258</v>
      </c>
      <c r="P120" s="44" t="s">
        <v>673</v>
      </c>
      <c r="Q120" s="44" t="s">
        <v>718</v>
      </c>
      <c r="R120" s="46">
        <v>0.5</v>
      </c>
      <c r="S120" s="44">
        <v>1</v>
      </c>
      <c r="T120" s="44" t="s">
        <v>133</v>
      </c>
      <c r="U120" s="44" t="s">
        <v>169</v>
      </c>
      <c r="V120" s="44" t="s">
        <v>636</v>
      </c>
      <c r="W120" s="44" t="s">
        <v>715</v>
      </c>
      <c r="X120" s="44" t="s">
        <v>715</v>
      </c>
      <c r="Y120" s="44"/>
      <c r="Z120" s="44"/>
      <c r="AA120" s="44"/>
      <c r="AB120" s="44" t="s">
        <v>262</v>
      </c>
      <c r="AC120" s="44" t="s">
        <v>262</v>
      </c>
      <c r="AD120" s="44" t="s">
        <v>262</v>
      </c>
      <c r="AE120" s="44" t="s">
        <v>262</v>
      </c>
      <c r="AF120" s="44" t="s">
        <v>263</v>
      </c>
      <c r="AG120" s="44" t="s">
        <v>263</v>
      </c>
      <c r="AH120" s="44" t="s">
        <v>262</v>
      </c>
      <c r="AI120" s="44">
        <v>0.05</v>
      </c>
      <c r="AJ120" s="47" t="s">
        <v>263</v>
      </c>
    </row>
    <row r="121" spans="1:36" x14ac:dyDescent="0.45">
      <c r="A121" s="43">
        <v>105</v>
      </c>
      <c r="C121" s="44" t="s">
        <v>252</v>
      </c>
      <c r="D121" s="44" t="s">
        <v>84</v>
      </c>
      <c r="E121" s="45"/>
      <c r="F121" s="44" t="s">
        <v>709</v>
      </c>
      <c r="G121" s="44" t="s">
        <v>254</v>
      </c>
      <c r="H121" s="44" t="s">
        <v>387</v>
      </c>
      <c r="I121" s="44" t="s">
        <v>719</v>
      </c>
      <c r="J121" s="44" t="s">
        <v>711</v>
      </c>
      <c r="K121" s="44" t="s">
        <v>257</v>
      </c>
      <c r="L121" s="44" t="s">
        <v>387</v>
      </c>
      <c r="M121" s="44" t="s">
        <v>720</v>
      </c>
      <c r="N121" s="44" t="s">
        <v>713</v>
      </c>
      <c r="O121" s="44" t="s">
        <v>258</v>
      </c>
      <c r="P121" s="44" t="s">
        <v>387</v>
      </c>
      <c r="Q121" s="44" t="s">
        <v>721</v>
      </c>
      <c r="R121" s="46">
        <v>1</v>
      </c>
      <c r="S121" s="44">
        <v>1</v>
      </c>
      <c r="T121" s="44" t="s">
        <v>133</v>
      </c>
      <c r="U121" s="44" t="s">
        <v>169</v>
      </c>
      <c r="V121" s="44" t="s">
        <v>636</v>
      </c>
      <c r="W121" s="44" t="s">
        <v>715</v>
      </c>
      <c r="X121" s="44" t="s">
        <v>715</v>
      </c>
      <c r="Y121" s="44"/>
      <c r="Z121" s="44"/>
      <c r="AA121" s="44"/>
      <c r="AB121" s="44" t="s">
        <v>262</v>
      </c>
      <c r="AC121" s="44" t="s">
        <v>262</v>
      </c>
      <c r="AD121" s="44" t="s">
        <v>262</v>
      </c>
      <c r="AE121" s="44" t="s">
        <v>262</v>
      </c>
      <c r="AF121" s="44" t="s">
        <v>263</v>
      </c>
      <c r="AG121" s="44" t="s">
        <v>263</v>
      </c>
      <c r="AH121" s="44" t="s">
        <v>262</v>
      </c>
      <c r="AI121" s="44">
        <v>0.05</v>
      </c>
      <c r="AJ121" s="47" t="s">
        <v>263</v>
      </c>
    </row>
    <row r="122" spans="1:36" x14ac:dyDescent="0.45">
      <c r="A122" s="43">
        <v>105</v>
      </c>
      <c r="C122" s="44" t="s">
        <v>252</v>
      </c>
      <c r="D122" s="44" t="s">
        <v>84</v>
      </c>
      <c r="E122" s="45"/>
      <c r="F122" s="44" t="s">
        <v>709</v>
      </c>
      <c r="G122" s="44" t="s">
        <v>254</v>
      </c>
      <c r="H122" s="44" t="s">
        <v>722</v>
      </c>
      <c r="I122" s="44" t="s">
        <v>723</v>
      </c>
      <c r="J122" s="44" t="s">
        <v>711</v>
      </c>
      <c r="K122" s="44" t="s">
        <v>257</v>
      </c>
      <c r="L122" s="44" t="s">
        <v>722</v>
      </c>
      <c r="M122" s="44" t="s">
        <v>724</v>
      </c>
      <c r="N122" s="44" t="s">
        <v>713</v>
      </c>
      <c r="O122" s="44" t="s">
        <v>258</v>
      </c>
      <c r="P122" s="44" t="s">
        <v>722</v>
      </c>
      <c r="Q122" s="44" t="s">
        <v>725</v>
      </c>
      <c r="R122" s="46">
        <v>1.5</v>
      </c>
      <c r="S122" s="44">
        <v>1</v>
      </c>
      <c r="T122" s="44" t="s">
        <v>133</v>
      </c>
      <c r="U122" s="44" t="s">
        <v>169</v>
      </c>
      <c r="V122" s="44" t="s">
        <v>636</v>
      </c>
      <c r="W122" s="44" t="s">
        <v>715</v>
      </c>
      <c r="X122" s="44" t="s">
        <v>715</v>
      </c>
      <c r="Y122" s="44"/>
      <c r="Z122" s="44"/>
      <c r="AA122" s="44"/>
      <c r="AB122" s="44" t="s">
        <v>262</v>
      </c>
      <c r="AC122" s="44" t="s">
        <v>262</v>
      </c>
      <c r="AD122" s="44" t="s">
        <v>262</v>
      </c>
      <c r="AE122" s="44" t="s">
        <v>262</v>
      </c>
      <c r="AF122" s="44" t="s">
        <v>263</v>
      </c>
      <c r="AG122" s="44" t="s">
        <v>263</v>
      </c>
      <c r="AH122" s="44" t="s">
        <v>262</v>
      </c>
      <c r="AI122" s="44">
        <v>0.05</v>
      </c>
      <c r="AJ122" s="47" t="s">
        <v>263</v>
      </c>
    </row>
    <row r="123" spans="1:36" x14ac:dyDescent="0.45">
      <c r="A123" s="43">
        <v>105</v>
      </c>
      <c r="C123" s="44" t="s">
        <v>252</v>
      </c>
      <c r="D123" s="44" t="s">
        <v>84</v>
      </c>
      <c r="E123" s="45"/>
      <c r="F123" s="44" t="s">
        <v>749</v>
      </c>
      <c r="G123" s="44" t="s">
        <v>254</v>
      </c>
      <c r="H123" s="44" t="s">
        <v>661</v>
      </c>
      <c r="I123" s="44" t="s">
        <v>750</v>
      </c>
      <c r="J123" s="44" t="s">
        <v>751</v>
      </c>
      <c r="K123" s="44" t="s">
        <v>257</v>
      </c>
      <c r="L123" s="44" t="s">
        <v>661</v>
      </c>
      <c r="M123" s="44" t="s">
        <v>752</v>
      </c>
      <c r="N123" s="44" t="s">
        <v>753</v>
      </c>
      <c r="O123" s="44" t="s">
        <v>258</v>
      </c>
      <c r="P123" s="44" t="s">
        <v>661</v>
      </c>
      <c r="Q123" s="44" t="s">
        <v>754</v>
      </c>
      <c r="R123" s="46">
        <v>0.33</v>
      </c>
      <c r="S123" s="44">
        <v>1</v>
      </c>
      <c r="T123" s="44" t="s">
        <v>133</v>
      </c>
      <c r="U123" s="44" t="s">
        <v>169</v>
      </c>
      <c r="V123" s="44" t="s">
        <v>636</v>
      </c>
      <c r="W123" s="44" t="s">
        <v>715</v>
      </c>
      <c r="X123" s="44" t="s">
        <v>715</v>
      </c>
      <c r="Y123" s="44"/>
      <c r="Z123" s="44"/>
      <c r="AA123" s="44"/>
      <c r="AB123" s="44" t="s">
        <v>262</v>
      </c>
      <c r="AC123" s="44" t="s">
        <v>262</v>
      </c>
      <c r="AD123" s="44" t="s">
        <v>262</v>
      </c>
      <c r="AE123" s="44" t="s">
        <v>262</v>
      </c>
      <c r="AF123" s="44" t="s">
        <v>263</v>
      </c>
      <c r="AG123" s="44" t="s">
        <v>263</v>
      </c>
      <c r="AH123" s="44" t="s">
        <v>262</v>
      </c>
      <c r="AI123" s="44">
        <v>0.05</v>
      </c>
      <c r="AJ123" s="47" t="s">
        <v>263</v>
      </c>
    </row>
    <row r="124" spans="1:36" x14ac:dyDescent="0.45">
      <c r="A124" s="43">
        <v>105</v>
      </c>
      <c r="C124" s="44" t="s">
        <v>252</v>
      </c>
      <c r="D124" s="44" t="s">
        <v>84</v>
      </c>
      <c r="E124" s="45"/>
      <c r="F124" s="44" t="s">
        <v>749</v>
      </c>
      <c r="G124" s="44" t="s">
        <v>254</v>
      </c>
      <c r="H124" s="44" t="s">
        <v>673</v>
      </c>
      <c r="I124" s="44" t="s">
        <v>755</v>
      </c>
      <c r="J124" s="44" t="s">
        <v>751</v>
      </c>
      <c r="K124" s="44" t="s">
        <v>257</v>
      </c>
      <c r="L124" s="44" t="s">
        <v>673</v>
      </c>
      <c r="M124" s="44" t="s">
        <v>756</v>
      </c>
      <c r="N124" s="44" t="s">
        <v>753</v>
      </c>
      <c r="O124" s="44" t="s">
        <v>258</v>
      </c>
      <c r="P124" s="44" t="s">
        <v>673</v>
      </c>
      <c r="Q124" s="44" t="s">
        <v>757</v>
      </c>
      <c r="R124" s="46">
        <v>0.5</v>
      </c>
      <c r="S124" s="44">
        <v>1</v>
      </c>
      <c r="T124" s="44" t="s">
        <v>133</v>
      </c>
      <c r="U124" s="44" t="s">
        <v>169</v>
      </c>
      <c r="V124" s="44" t="s">
        <v>636</v>
      </c>
      <c r="W124" s="44" t="s">
        <v>715</v>
      </c>
      <c r="X124" s="44" t="s">
        <v>715</v>
      </c>
      <c r="Y124" s="44"/>
      <c r="Z124" s="44"/>
      <c r="AA124" s="44"/>
      <c r="AB124" s="44" t="s">
        <v>262</v>
      </c>
      <c r="AC124" s="44" t="s">
        <v>262</v>
      </c>
      <c r="AD124" s="44" t="s">
        <v>262</v>
      </c>
      <c r="AE124" s="44" t="s">
        <v>262</v>
      </c>
      <c r="AF124" s="44" t="s">
        <v>263</v>
      </c>
      <c r="AG124" s="44" t="s">
        <v>263</v>
      </c>
      <c r="AH124" s="44" t="s">
        <v>262</v>
      </c>
      <c r="AI124" s="44">
        <v>0.05</v>
      </c>
      <c r="AJ124" s="47" t="s">
        <v>263</v>
      </c>
    </row>
    <row r="125" spans="1:36" x14ac:dyDescent="0.45">
      <c r="A125" s="43">
        <v>105</v>
      </c>
      <c r="C125" s="44" t="s">
        <v>252</v>
      </c>
      <c r="D125" s="44" t="s">
        <v>84</v>
      </c>
      <c r="E125" s="45"/>
      <c r="F125" s="44" t="s">
        <v>749</v>
      </c>
      <c r="G125" s="44" t="s">
        <v>254</v>
      </c>
      <c r="H125" s="44" t="s">
        <v>677</v>
      </c>
      <c r="I125" s="44" t="s">
        <v>758</v>
      </c>
      <c r="J125" s="44" t="s">
        <v>751</v>
      </c>
      <c r="K125" s="44" t="s">
        <v>257</v>
      </c>
      <c r="L125" s="44" t="s">
        <v>677</v>
      </c>
      <c r="M125" s="44" t="s">
        <v>759</v>
      </c>
      <c r="N125" s="44" t="s">
        <v>753</v>
      </c>
      <c r="O125" s="44" t="s">
        <v>258</v>
      </c>
      <c r="P125" s="44" t="s">
        <v>677</v>
      </c>
      <c r="Q125" s="44" t="s">
        <v>760</v>
      </c>
      <c r="R125" s="46">
        <v>0.75</v>
      </c>
      <c r="S125" s="44">
        <v>1</v>
      </c>
      <c r="T125" s="44" t="s">
        <v>133</v>
      </c>
      <c r="U125" s="44" t="s">
        <v>169</v>
      </c>
      <c r="V125" s="44" t="s">
        <v>636</v>
      </c>
      <c r="W125" s="44" t="s">
        <v>715</v>
      </c>
      <c r="X125" s="44" t="s">
        <v>715</v>
      </c>
      <c r="Y125" s="44"/>
      <c r="Z125" s="44"/>
      <c r="AA125" s="44"/>
      <c r="AB125" s="44" t="s">
        <v>262</v>
      </c>
      <c r="AC125" s="44" t="s">
        <v>262</v>
      </c>
      <c r="AD125" s="44" t="s">
        <v>262</v>
      </c>
      <c r="AE125" s="44" t="s">
        <v>262</v>
      </c>
      <c r="AF125" s="44" t="s">
        <v>263</v>
      </c>
      <c r="AG125" s="44" t="s">
        <v>263</v>
      </c>
      <c r="AH125" s="44" t="s">
        <v>262</v>
      </c>
      <c r="AI125" s="44">
        <v>0.05</v>
      </c>
      <c r="AJ125" s="47" t="s">
        <v>263</v>
      </c>
    </row>
    <row r="126" spans="1:36" x14ac:dyDescent="0.45">
      <c r="A126" s="43">
        <v>105</v>
      </c>
      <c r="C126" s="44" t="s">
        <v>252</v>
      </c>
      <c r="D126" s="44" t="s">
        <v>84</v>
      </c>
      <c r="E126" s="45"/>
      <c r="F126" s="44" t="s">
        <v>749</v>
      </c>
      <c r="G126" s="44" t="s">
        <v>254</v>
      </c>
      <c r="H126" s="44" t="s">
        <v>387</v>
      </c>
      <c r="I126" s="44" t="s">
        <v>761</v>
      </c>
      <c r="J126" s="44" t="s">
        <v>751</v>
      </c>
      <c r="K126" s="44" t="s">
        <v>257</v>
      </c>
      <c r="L126" s="44" t="s">
        <v>387</v>
      </c>
      <c r="M126" s="44" t="s">
        <v>762</v>
      </c>
      <c r="N126" s="44" t="s">
        <v>753</v>
      </c>
      <c r="O126" s="44" t="s">
        <v>258</v>
      </c>
      <c r="P126" s="44" t="s">
        <v>387</v>
      </c>
      <c r="Q126" s="44" t="s">
        <v>763</v>
      </c>
      <c r="R126" s="46">
        <v>1</v>
      </c>
      <c r="S126" s="44">
        <v>1</v>
      </c>
      <c r="T126" s="44" t="s">
        <v>133</v>
      </c>
      <c r="U126" s="44" t="s">
        <v>169</v>
      </c>
      <c r="V126" s="44" t="s">
        <v>636</v>
      </c>
      <c r="W126" s="44" t="s">
        <v>715</v>
      </c>
      <c r="X126" s="44" t="s">
        <v>715</v>
      </c>
      <c r="Y126" s="44"/>
      <c r="Z126" s="44"/>
      <c r="AA126" s="44"/>
      <c r="AB126" s="44" t="s">
        <v>262</v>
      </c>
      <c r="AC126" s="44" t="s">
        <v>262</v>
      </c>
      <c r="AD126" s="44" t="s">
        <v>262</v>
      </c>
      <c r="AE126" s="44" t="s">
        <v>262</v>
      </c>
      <c r="AF126" s="44" t="s">
        <v>263</v>
      </c>
      <c r="AG126" s="44" t="s">
        <v>263</v>
      </c>
      <c r="AH126" s="44" t="s">
        <v>262</v>
      </c>
      <c r="AI126" s="44">
        <v>0.05</v>
      </c>
      <c r="AJ126" s="47" t="s">
        <v>263</v>
      </c>
    </row>
    <row r="127" spans="1:36" x14ac:dyDescent="0.45">
      <c r="A127" s="43">
        <v>105</v>
      </c>
      <c r="C127" s="44" t="s">
        <v>252</v>
      </c>
      <c r="D127" s="44" t="s">
        <v>84</v>
      </c>
      <c r="E127" s="45"/>
      <c r="F127" s="44" t="s">
        <v>749</v>
      </c>
      <c r="G127" s="44" t="s">
        <v>254</v>
      </c>
      <c r="H127" s="44" t="s">
        <v>722</v>
      </c>
      <c r="I127" s="44" t="s">
        <v>764</v>
      </c>
      <c r="J127" s="44" t="s">
        <v>751</v>
      </c>
      <c r="K127" s="44" t="s">
        <v>257</v>
      </c>
      <c r="L127" s="44" t="s">
        <v>722</v>
      </c>
      <c r="M127" s="44" t="s">
        <v>765</v>
      </c>
      <c r="N127" s="44" t="s">
        <v>753</v>
      </c>
      <c r="O127" s="44" t="s">
        <v>258</v>
      </c>
      <c r="P127" s="44" t="s">
        <v>722</v>
      </c>
      <c r="Q127" s="44" t="s">
        <v>766</v>
      </c>
      <c r="R127" s="46">
        <v>1.5</v>
      </c>
      <c r="S127" s="44">
        <v>1</v>
      </c>
      <c r="T127" s="44" t="s">
        <v>133</v>
      </c>
      <c r="U127" s="44" t="s">
        <v>169</v>
      </c>
      <c r="V127" s="44" t="s">
        <v>636</v>
      </c>
      <c r="W127" s="44" t="s">
        <v>715</v>
      </c>
      <c r="X127" s="44" t="s">
        <v>715</v>
      </c>
      <c r="Y127" s="44"/>
      <c r="Z127" s="44"/>
      <c r="AA127" s="44"/>
      <c r="AB127" s="44" t="s">
        <v>262</v>
      </c>
      <c r="AC127" s="44" t="s">
        <v>262</v>
      </c>
      <c r="AD127" s="44" t="s">
        <v>262</v>
      </c>
      <c r="AE127" s="44" t="s">
        <v>262</v>
      </c>
      <c r="AF127" s="44" t="s">
        <v>263</v>
      </c>
      <c r="AG127" s="44" t="s">
        <v>263</v>
      </c>
      <c r="AH127" s="44" t="s">
        <v>262</v>
      </c>
      <c r="AI127" s="44">
        <v>0.05</v>
      </c>
      <c r="AJ127" s="47" t="s">
        <v>263</v>
      </c>
    </row>
    <row r="128" spans="1:36" x14ac:dyDescent="0.45">
      <c r="A128" s="43">
        <v>106</v>
      </c>
      <c r="C128" s="44" t="s">
        <v>252</v>
      </c>
      <c r="D128" s="44" t="s">
        <v>84</v>
      </c>
      <c r="E128" s="45"/>
      <c r="F128" s="44" t="s">
        <v>709</v>
      </c>
      <c r="G128" s="44" t="s">
        <v>254</v>
      </c>
      <c r="H128" s="44" t="s">
        <v>726</v>
      </c>
      <c r="I128" s="44" t="s">
        <v>727</v>
      </c>
      <c r="J128" s="44" t="s">
        <v>711</v>
      </c>
      <c r="K128" s="44" t="s">
        <v>257</v>
      </c>
      <c r="L128" s="44" t="s">
        <v>726</v>
      </c>
      <c r="M128" s="44" t="s">
        <v>728</v>
      </c>
      <c r="N128" s="44" t="s">
        <v>713</v>
      </c>
      <c r="O128" s="44" t="s">
        <v>258</v>
      </c>
      <c r="P128" s="44" t="s">
        <v>726</v>
      </c>
      <c r="Q128" s="44" t="s">
        <v>729</v>
      </c>
      <c r="R128" s="46">
        <v>10</v>
      </c>
      <c r="S128" s="44">
        <v>1</v>
      </c>
      <c r="T128" s="44" t="s">
        <v>133</v>
      </c>
      <c r="U128" s="44" t="s">
        <v>169</v>
      </c>
      <c r="V128" s="44" t="s">
        <v>636</v>
      </c>
      <c r="W128" s="44" t="s">
        <v>715</v>
      </c>
      <c r="X128" s="44" t="s">
        <v>715</v>
      </c>
      <c r="Y128" s="44"/>
      <c r="Z128" s="44"/>
      <c r="AA128" s="44"/>
      <c r="AB128" s="44" t="s">
        <v>262</v>
      </c>
      <c r="AC128" s="44" t="s">
        <v>262</v>
      </c>
      <c r="AD128" s="44" t="s">
        <v>262</v>
      </c>
      <c r="AE128" s="44" t="s">
        <v>262</v>
      </c>
      <c r="AF128" s="44" t="s">
        <v>263</v>
      </c>
      <c r="AG128" s="44" t="s">
        <v>263</v>
      </c>
      <c r="AH128" s="44" t="s">
        <v>262</v>
      </c>
      <c r="AI128" s="44">
        <v>0.05</v>
      </c>
      <c r="AJ128" s="47" t="s">
        <v>263</v>
      </c>
    </row>
    <row r="129" spans="1:36" x14ac:dyDescent="0.45">
      <c r="A129" s="43">
        <v>107</v>
      </c>
      <c r="C129" s="44" t="s">
        <v>252</v>
      </c>
      <c r="D129" s="44" t="s">
        <v>84</v>
      </c>
      <c r="E129" s="45"/>
      <c r="F129" s="44" t="s">
        <v>709</v>
      </c>
      <c r="G129" s="44" t="s">
        <v>254</v>
      </c>
      <c r="H129" s="44" t="s">
        <v>730</v>
      </c>
      <c r="I129" s="44" t="s">
        <v>731</v>
      </c>
      <c r="J129" s="44" t="s">
        <v>711</v>
      </c>
      <c r="K129" s="44" t="s">
        <v>257</v>
      </c>
      <c r="L129" s="44" t="s">
        <v>730</v>
      </c>
      <c r="M129" s="44" t="s">
        <v>732</v>
      </c>
      <c r="N129" s="44" t="s">
        <v>713</v>
      </c>
      <c r="O129" s="44" t="s">
        <v>258</v>
      </c>
      <c r="P129" s="44" t="s">
        <v>730</v>
      </c>
      <c r="Q129" s="44" t="s">
        <v>733</v>
      </c>
      <c r="R129" s="46">
        <v>5</v>
      </c>
      <c r="S129" s="44">
        <v>1</v>
      </c>
      <c r="T129" s="44" t="s">
        <v>133</v>
      </c>
      <c r="U129" s="44" t="s">
        <v>169</v>
      </c>
      <c r="V129" s="44" t="s">
        <v>636</v>
      </c>
      <c r="W129" s="44" t="s">
        <v>715</v>
      </c>
      <c r="X129" s="44" t="s">
        <v>715</v>
      </c>
      <c r="Y129" s="44"/>
      <c r="Z129" s="44"/>
      <c r="AA129" s="44"/>
      <c r="AB129" s="44" t="s">
        <v>262</v>
      </c>
      <c r="AC129" s="44" t="s">
        <v>262</v>
      </c>
      <c r="AD129" s="44" t="s">
        <v>262</v>
      </c>
      <c r="AE129" s="44" t="s">
        <v>262</v>
      </c>
      <c r="AF129" s="44" t="s">
        <v>263</v>
      </c>
      <c r="AG129" s="44" t="s">
        <v>263</v>
      </c>
      <c r="AH129" s="44" t="s">
        <v>262</v>
      </c>
      <c r="AI129" s="44">
        <v>0.05</v>
      </c>
      <c r="AJ129" s="47" t="s">
        <v>263</v>
      </c>
    </row>
    <row r="130" spans="1:36" x14ac:dyDescent="0.45">
      <c r="A130" s="43">
        <v>107</v>
      </c>
      <c r="C130" s="44" t="s">
        <v>252</v>
      </c>
      <c r="D130" s="44" t="s">
        <v>84</v>
      </c>
      <c r="E130" s="45"/>
      <c r="F130" s="44" t="s">
        <v>709</v>
      </c>
      <c r="G130" s="44" t="s">
        <v>254</v>
      </c>
      <c r="H130" s="44" t="s">
        <v>734</v>
      </c>
      <c r="I130" s="44" t="s">
        <v>735</v>
      </c>
      <c r="J130" s="44" t="s">
        <v>711</v>
      </c>
      <c r="K130" s="44" t="s">
        <v>257</v>
      </c>
      <c r="L130" s="44" t="s">
        <v>734</v>
      </c>
      <c r="M130" s="44" t="s">
        <v>736</v>
      </c>
      <c r="N130" s="44" t="s">
        <v>713</v>
      </c>
      <c r="O130" s="44" t="s">
        <v>258</v>
      </c>
      <c r="P130" s="44" t="s">
        <v>734</v>
      </c>
      <c r="Q130" s="44" t="s">
        <v>737</v>
      </c>
      <c r="R130" s="46">
        <v>3</v>
      </c>
      <c r="S130" s="44">
        <v>1</v>
      </c>
      <c r="T130" s="44" t="s">
        <v>133</v>
      </c>
      <c r="U130" s="44" t="s">
        <v>169</v>
      </c>
      <c r="V130" s="44" t="s">
        <v>636</v>
      </c>
      <c r="W130" s="44" t="s">
        <v>715</v>
      </c>
      <c r="X130" s="44" t="s">
        <v>715</v>
      </c>
      <c r="Y130" s="44"/>
      <c r="Z130" s="44"/>
      <c r="AA130" s="44"/>
      <c r="AB130" s="44" t="s">
        <v>262</v>
      </c>
      <c r="AC130" s="44" t="s">
        <v>262</v>
      </c>
      <c r="AD130" s="44" t="s">
        <v>262</v>
      </c>
      <c r="AE130" s="44" t="s">
        <v>262</v>
      </c>
      <c r="AF130" s="44" t="s">
        <v>263</v>
      </c>
      <c r="AG130" s="44" t="s">
        <v>263</v>
      </c>
      <c r="AH130" s="44" t="s">
        <v>262</v>
      </c>
      <c r="AI130" s="44">
        <v>0.05</v>
      </c>
      <c r="AJ130" s="47" t="s">
        <v>263</v>
      </c>
    </row>
    <row r="131" spans="1:36" x14ac:dyDescent="0.45">
      <c r="A131" s="43">
        <v>108</v>
      </c>
      <c r="C131" s="44" t="s">
        <v>252</v>
      </c>
      <c r="D131" s="44" t="s">
        <v>84</v>
      </c>
      <c r="E131" s="45"/>
      <c r="F131" s="44" t="s">
        <v>191</v>
      </c>
      <c r="G131" s="44" t="s">
        <v>254</v>
      </c>
      <c r="H131" s="44" t="s">
        <v>645</v>
      </c>
      <c r="I131" s="44" t="s">
        <v>646</v>
      </c>
      <c r="J131" s="44" t="s">
        <v>199</v>
      </c>
      <c r="K131" s="44" t="s">
        <v>257</v>
      </c>
      <c r="L131" s="44" t="s">
        <v>645</v>
      </c>
      <c r="M131" s="44" t="s">
        <v>647</v>
      </c>
      <c r="N131" s="44" t="s">
        <v>205</v>
      </c>
      <c r="O131" s="44" t="s">
        <v>258</v>
      </c>
      <c r="P131" s="44" t="s">
        <v>645</v>
      </c>
      <c r="Q131" s="44" t="s">
        <v>648</v>
      </c>
      <c r="R131" s="49">
        <v>0.33</v>
      </c>
      <c r="S131" s="44">
        <v>10</v>
      </c>
      <c r="T131" s="44" t="s">
        <v>128</v>
      </c>
      <c r="U131" s="44" t="s">
        <v>169</v>
      </c>
      <c r="V131" s="44" t="s">
        <v>636</v>
      </c>
      <c r="W131" s="44" t="s">
        <v>191</v>
      </c>
      <c r="X131" s="44" t="s">
        <v>191</v>
      </c>
      <c r="Y131" s="44"/>
      <c r="Z131" s="44"/>
      <c r="AA131" s="44"/>
      <c r="AB131" s="44" t="s">
        <v>262</v>
      </c>
      <c r="AC131" s="44" t="s">
        <v>262</v>
      </c>
      <c r="AD131" s="44" t="s">
        <v>262</v>
      </c>
      <c r="AE131" s="44" t="s">
        <v>262</v>
      </c>
      <c r="AF131" s="44" t="s">
        <v>263</v>
      </c>
      <c r="AG131" s="44" t="s">
        <v>263</v>
      </c>
      <c r="AH131" s="44" t="s">
        <v>262</v>
      </c>
      <c r="AI131" s="44">
        <v>0</v>
      </c>
      <c r="AJ131" s="47" t="s">
        <v>263</v>
      </c>
    </row>
    <row r="132" spans="1:36" x14ac:dyDescent="0.45">
      <c r="A132" s="43">
        <v>108</v>
      </c>
      <c r="C132" s="44" t="s">
        <v>252</v>
      </c>
      <c r="D132" s="44" t="s">
        <v>84</v>
      </c>
      <c r="E132" s="45"/>
      <c r="F132" s="44" t="s">
        <v>191</v>
      </c>
      <c r="G132" s="44" t="s">
        <v>254</v>
      </c>
      <c r="H132" s="44" t="s">
        <v>649</v>
      </c>
      <c r="I132" s="44" t="s">
        <v>650</v>
      </c>
      <c r="J132" s="44" t="s">
        <v>199</v>
      </c>
      <c r="K132" s="44" t="s">
        <v>257</v>
      </c>
      <c r="L132" s="44" t="s">
        <v>649</v>
      </c>
      <c r="M132" s="44" t="s">
        <v>651</v>
      </c>
      <c r="N132" s="44" t="s">
        <v>205</v>
      </c>
      <c r="O132" s="44" t="s">
        <v>258</v>
      </c>
      <c r="P132" s="44" t="s">
        <v>649</v>
      </c>
      <c r="Q132" s="44" t="s">
        <v>652</v>
      </c>
      <c r="R132" s="49">
        <v>0.33</v>
      </c>
      <c r="S132" s="44">
        <v>10</v>
      </c>
      <c r="T132" s="44" t="s">
        <v>128</v>
      </c>
      <c r="U132" s="44" t="s">
        <v>169</v>
      </c>
      <c r="V132" s="44" t="s">
        <v>636</v>
      </c>
      <c r="W132" s="44" t="s">
        <v>191</v>
      </c>
      <c r="X132" s="44" t="s">
        <v>191</v>
      </c>
      <c r="Y132" s="44"/>
      <c r="Z132" s="44"/>
      <c r="AA132" s="44"/>
      <c r="AB132" s="44" t="s">
        <v>262</v>
      </c>
      <c r="AC132" s="44" t="s">
        <v>262</v>
      </c>
      <c r="AD132" s="44" t="s">
        <v>262</v>
      </c>
      <c r="AE132" s="44" t="s">
        <v>262</v>
      </c>
      <c r="AF132" s="44" t="s">
        <v>263</v>
      </c>
      <c r="AG132" s="44" t="s">
        <v>263</v>
      </c>
      <c r="AH132" s="44" t="s">
        <v>262</v>
      </c>
      <c r="AI132" s="44">
        <v>0</v>
      </c>
      <c r="AJ132" s="47" t="s">
        <v>263</v>
      </c>
    </row>
    <row r="133" spans="1:36" x14ac:dyDescent="0.45">
      <c r="A133" s="43">
        <v>108</v>
      </c>
      <c r="C133" s="44" t="s">
        <v>252</v>
      </c>
      <c r="D133" s="44" t="s">
        <v>84</v>
      </c>
      <c r="E133" s="45"/>
      <c r="F133" s="44" t="s">
        <v>191</v>
      </c>
      <c r="G133" s="44" t="s">
        <v>254</v>
      </c>
      <c r="H133" s="44" t="s">
        <v>653</v>
      </c>
      <c r="I133" s="44" t="s">
        <v>654</v>
      </c>
      <c r="J133" s="44" t="s">
        <v>199</v>
      </c>
      <c r="K133" s="44" t="s">
        <v>257</v>
      </c>
      <c r="L133" s="44" t="s">
        <v>653</v>
      </c>
      <c r="M133" s="44" t="s">
        <v>655</v>
      </c>
      <c r="N133" s="44" t="s">
        <v>205</v>
      </c>
      <c r="O133" s="44" t="s">
        <v>258</v>
      </c>
      <c r="P133" s="44" t="s">
        <v>653</v>
      </c>
      <c r="Q133" s="44" t="s">
        <v>656</v>
      </c>
      <c r="R133" s="49">
        <v>0.33</v>
      </c>
      <c r="S133" s="44">
        <v>10</v>
      </c>
      <c r="T133" s="44" t="s">
        <v>128</v>
      </c>
      <c r="U133" s="44" t="s">
        <v>169</v>
      </c>
      <c r="V133" s="44" t="s">
        <v>636</v>
      </c>
      <c r="W133" s="44" t="s">
        <v>191</v>
      </c>
      <c r="X133" s="44" t="s">
        <v>191</v>
      </c>
      <c r="Y133" s="44"/>
      <c r="Z133" s="44"/>
      <c r="AA133" s="44"/>
      <c r="AB133" s="44" t="s">
        <v>262</v>
      </c>
      <c r="AC133" s="44" t="s">
        <v>262</v>
      </c>
      <c r="AD133" s="44" t="s">
        <v>262</v>
      </c>
      <c r="AE133" s="44" t="s">
        <v>262</v>
      </c>
      <c r="AF133" s="44" t="s">
        <v>263</v>
      </c>
      <c r="AG133" s="44" t="s">
        <v>263</v>
      </c>
      <c r="AH133" s="44" t="s">
        <v>262</v>
      </c>
      <c r="AI133" s="44">
        <v>0</v>
      </c>
      <c r="AJ133" s="47" t="s">
        <v>263</v>
      </c>
    </row>
    <row r="134" spans="1:36" s="37" customFormat="1" x14ac:dyDescent="0.45">
      <c r="A134" s="43">
        <v>108</v>
      </c>
      <c r="B134" s="81"/>
      <c r="C134" s="44" t="s">
        <v>252</v>
      </c>
      <c r="D134" s="44" t="s">
        <v>84</v>
      </c>
      <c r="E134" s="45"/>
      <c r="F134" s="44" t="s">
        <v>191</v>
      </c>
      <c r="G134" s="44" t="s">
        <v>254</v>
      </c>
      <c r="H134" s="44" t="s">
        <v>657</v>
      </c>
      <c r="I134" s="44" t="s">
        <v>658</v>
      </c>
      <c r="J134" s="44" t="s">
        <v>199</v>
      </c>
      <c r="K134" s="44" t="s">
        <v>257</v>
      </c>
      <c r="L134" s="44" t="s">
        <v>657</v>
      </c>
      <c r="M134" s="44" t="s">
        <v>659</v>
      </c>
      <c r="N134" s="44" t="s">
        <v>205</v>
      </c>
      <c r="O134" s="44" t="s">
        <v>258</v>
      </c>
      <c r="P134" s="44" t="s">
        <v>657</v>
      </c>
      <c r="Q134" s="44" t="s">
        <v>660</v>
      </c>
      <c r="R134" s="49">
        <v>0.33</v>
      </c>
      <c r="S134" s="44">
        <v>10</v>
      </c>
      <c r="T134" s="44" t="s">
        <v>128</v>
      </c>
      <c r="U134" s="44" t="s">
        <v>169</v>
      </c>
      <c r="V134" s="44" t="s">
        <v>636</v>
      </c>
      <c r="W134" s="44" t="s">
        <v>191</v>
      </c>
      <c r="X134" s="44" t="s">
        <v>191</v>
      </c>
      <c r="Y134" s="44"/>
      <c r="Z134" s="44"/>
      <c r="AA134" s="44"/>
      <c r="AB134" s="44" t="s">
        <v>262</v>
      </c>
      <c r="AC134" s="44" t="s">
        <v>262</v>
      </c>
      <c r="AD134" s="44" t="s">
        <v>262</v>
      </c>
      <c r="AE134" s="44" t="s">
        <v>262</v>
      </c>
      <c r="AF134" s="44" t="s">
        <v>263</v>
      </c>
      <c r="AG134" s="44" t="s">
        <v>263</v>
      </c>
      <c r="AH134" s="44" t="s">
        <v>262</v>
      </c>
      <c r="AI134" s="44">
        <v>0</v>
      </c>
      <c r="AJ134" s="47" t="s">
        <v>263</v>
      </c>
    </row>
    <row r="135" spans="1:36" s="37" customFormat="1" x14ac:dyDescent="0.45">
      <c r="A135" s="43">
        <v>108</v>
      </c>
      <c r="B135" s="81"/>
      <c r="C135" s="44" t="s">
        <v>252</v>
      </c>
      <c r="D135" s="44" t="s">
        <v>84</v>
      </c>
      <c r="E135" s="45"/>
      <c r="F135" s="44" t="s">
        <v>191</v>
      </c>
      <c r="G135" s="44" t="s">
        <v>254</v>
      </c>
      <c r="H135" s="44" t="s">
        <v>661</v>
      </c>
      <c r="I135" s="44" t="s">
        <v>662</v>
      </c>
      <c r="J135" s="44" t="s">
        <v>199</v>
      </c>
      <c r="K135" s="44" t="s">
        <v>257</v>
      </c>
      <c r="L135" s="44" t="s">
        <v>661</v>
      </c>
      <c r="M135" s="44" t="s">
        <v>663</v>
      </c>
      <c r="N135" s="44" t="s">
        <v>205</v>
      </c>
      <c r="O135" s="44" t="s">
        <v>258</v>
      </c>
      <c r="P135" s="44" t="s">
        <v>661</v>
      </c>
      <c r="Q135" s="44" t="s">
        <v>664</v>
      </c>
      <c r="R135" s="46">
        <v>0.33</v>
      </c>
      <c r="S135" s="44">
        <v>10</v>
      </c>
      <c r="T135" s="44" t="s">
        <v>128</v>
      </c>
      <c r="U135" s="44" t="s">
        <v>169</v>
      </c>
      <c r="V135" s="44" t="s">
        <v>636</v>
      </c>
      <c r="W135" s="44" t="s">
        <v>191</v>
      </c>
      <c r="X135" s="44" t="s">
        <v>191</v>
      </c>
      <c r="Y135" s="44"/>
      <c r="Z135" s="44"/>
      <c r="AA135" s="44"/>
      <c r="AB135" s="44" t="s">
        <v>262</v>
      </c>
      <c r="AC135" s="44" t="s">
        <v>262</v>
      </c>
      <c r="AD135" s="44" t="s">
        <v>262</v>
      </c>
      <c r="AE135" s="44" t="s">
        <v>262</v>
      </c>
      <c r="AF135" s="44" t="s">
        <v>263</v>
      </c>
      <c r="AG135" s="44" t="s">
        <v>263</v>
      </c>
      <c r="AH135" s="44" t="s">
        <v>262</v>
      </c>
      <c r="AI135" s="44">
        <v>0</v>
      </c>
      <c r="AJ135" s="47" t="s">
        <v>263</v>
      </c>
    </row>
    <row r="136" spans="1:36" x14ac:dyDescent="0.45">
      <c r="A136" s="43">
        <v>109</v>
      </c>
      <c r="C136" s="44" t="s">
        <v>252</v>
      </c>
      <c r="D136" s="44" t="s">
        <v>84</v>
      </c>
      <c r="E136" s="45"/>
      <c r="F136" s="44" t="s">
        <v>191</v>
      </c>
      <c r="G136" s="44" t="s">
        <v>254</v>
      </c>
      <c r="H136" s="44" t="s">
        <v>632</v>
      </c>
      <c r="I136" s="44" t="s">
        <v>633</v>
      </c>
      <c r="J136" s="44" t="s">
        <v>199</v>
      </c>
      <c r="K136" s="44" t="s">
        <v>257</v>
      </c>
      <c r="L136" s="44" t="s">
        <v>632</v>
      </c>
      <c r="M136" s="44" t="s">
        <v>634</v>
      </c>
      <c r="N136" s="44" t="s">
        <v>205</v>
      </c>
      <c r="O136" s="44" t="s">
        <v>258</v>
      </c>
      <c r="P136" s="44" t="s">
        <v>632</v>
      </c>
      <c r="Q136" s="44" t="s">
        <v>635</v>
      </c>
      <c r="R136" s="49">
        <v>0.25</v>
      </c>
      <c r="S136" s="44">
        <v>10</v>
      </c>
      <c r="T136" s="44" t="s">
        <v>128</v>
      </c>
      <c r="U136" s="44" t="s">
        <v>169</v>
      </c>
      <c r="V136" s="44" t="s">
        <v>636</v>
      </c>
      <c r="W136" s="44" t="s">
        <v>191</v>
      </c>
      <c r="X136" s="44" t="s">
        <v>191</v>
      </c>
      <c r="Y136" s="44"/>
      <c r="Z136" s="44"/>
      <c r="AA136" s="44"/>
      <c r="AB136" s="44" t="s">
        <v>262</v>
      </c>
      <c r="AC136" s="44" t="s">
        <v>262</v>
      </c>
      <c r="AD136" s="44" t="s">
        <v>262</v>
      </c>
      <c r="AE136" s="44" t="s">
        <v>262</v>
      </c>
      <c r="AF136" s="44" t="s">
        <v>263</v>
      </c>
      <c r="AG136" s="44" t="s">
        <v>263</v>
      </c>
      <c r="AH136" s="44" t="s">
        <v>262</v>
      </c>
      <c r="AI136" s="44">
        <v>0</v>
      </c>
      <c r="AJ136" s="47" t="s">
        <v>263</v>
      </c>
    </row>
    <row r="137" spans="1:36" x14ac:dyDescent="0.45">
      <c r="A137" s="43">
        <v>109</v>
      </c>
      <c r="C137" s="44" t="s">
        <v>252</v>
      </c>
      <c r="D137" s="44" t="s">
        <v>84</v>
      </c>
      <c r="E137" s="45"/>
      <c r="F137" s="44" t="s">
        <v>191</v>
      </c>
      <c r="G137" s="44" t="s">
        <v>254</v>
      </c>
      <c r="H137" s="44" t="s">
        <v>637</v>
      </c>
      <c r="I137" s="44" t="s">
        <v>638</v>
      </c>
      <c r="J137" s="44" t="s">
        <v>199</v>
      </c>
      <c r="K137" s="44" t="s">
        <v>257</v>
      </c>
      <c r="L137" s="44" t="s">
        <v>637</v>
      </c>
      <c r="M137" s="44" t="s">
        <v>639</v>
      </c>
      <c r="N137" s="44" t="s">
        <v>205</v>
      </c>
      <c r="O137" s="44" t="s">
        <v>258</v>
      </c>
      <c r="P137" s="44" t="s">
        <v>637</v>
      </c>
      <c r="Q137" s="44" t="s">
        <v>640</v>
      </c>
      <c r="R137" s="49">
        <v>0.25</v>
      </c>
      <c r="S137" s="44">
        <v>10</v>
      </c>
      <c r="T137" s="44" t="s">
        <v>128</v>
      </c>
      <c r="U137" s="44" t="s">
        <v>169</v>
      </c>
      <c r="V137" s="44" t="s">
        <v>636</v>
      </c>
      <c r="W137" s="44" t="s">
        <v>191</v>
      </c>
      <c r="X137" s="44" t="s">
        <v>191</v>
      </c>
      <c r="Y137" s="44"/>
      <c r="Z137" s="44"/>
      <c r="AA137" s="44"/>
      <c r="AB137" s="44" t="s">
        <v>262</v>
      </c>
      <c r="AC137" s="44" t="s">
        <v>262</v>
      </c>
      <c r="AD137" s="44" t="s">
        <v>262</v>
      </c>
      <c r="AE137" s="44" t="s">
        <v>262</v>
      </c>
      <c r="AF137" s="44" t="s">
        <v>263</v>
      </c>
      <c r="AG137" s="44" t="s">
        <v>263</v>
      </c>
      <c r="AH137" s="44" t="s">
        <v>262</v>
      </c>
      <c r="AI137" s="44">
        <v>0</v>
      </c>
      <c r="AJ137" s="47" t="s">
        <v>263</v>
      </c>
    </row>
    <row r="138" spans="1:36" x14ac:dyDescent="0.45">
      <c r="A138" s="43">
        <v>109</v>
      </c>
      <c r="C138" s="44" t="s">
        <v>252</v>
      </c>
      <c r="D138" s="44" t="s">
        <v>84</v>
      </c>
      <c r="E138" s="45"/>
      <c r="F138" s="44" t="s">
        <v>191</v>
      </c>
      <c r="G138" s="44" t="s">
        <v>254</v>
      </c>
      <c r="H138" s="44" t="s">
        <v>641</v>
      </c>
      <c r="I138" s="44" t="s">
        <v>642</v>
      </c>
      <c r="J138" s="44" t="s">
        <v>199</v>
      </c>
      <c r="K138" s="44" t="s">
        <v>257</v>
      </c>
      <c r="L138" s="44" t="s">
        <v>641</v>
      </c>
      <c r="M138" s="44" t="s">
        <v>643</v>
      </c>
      <c r="N138" s="44" t="s">
        <v>205</v>
      </c>
      <c r="O138" s="44" t="s">
        <v>258</v>
      </c>
      <c r="P138" s="44" t="s">
        <v>641</v>
      </c>
      <c r="Q138" s="44" t="s">
        <v>644</v>
      </c>
      <c r="R138" s="46">
        <v>0.25</v>
      </c>
      <c r="S138" s="44">
        <v>10</v>
      </c>
      <c r="T138" s="44" t="s">
        <v>128</v>
      </c>
      <c r="U138" s="44" t="s">
        <v>169</v>
      </c>
      <c r="V138" s="44" t="s">
        <v>636</v>
      </c>
      <c r="W138" s="44" t="s">
        <v>191</v>
      </c>
      <c r="X138" s="44" t="s">
        <v>191</v>
      </c>
      <c r="Y138" s="44"/>
      <c r="Z138" s="44"/>
      <c r="AA138" s="44"/>
      <c r="AB138" s="44" t="s">
        <v>262</v>
      </c>
      <c r="AC138" s="44" t="s">
        <v>262</v>
      </c>
      <c r="AD138" s="44" t="s">
        <v>262</v>
      </c>
      <c r="AE138" s="44" t="s">
        <v>262</v>
      </c>
      <c r="AF138" s="44" t="s">
        <v>263</v>
      </c>
      <c r="AG138" s="44" t="s">
        <v>263</v>
      </c>
      <c r="AH138" s="44" t="s">
        <v>262</v>
      </c>
      <c r="AI138" s="44">
        <v>0</v>
      </c>
      <c r="AJ138" s="47" t="s">
        <v>263</v>
      </c>
    </row>
    <row r="139" spans="1:36" x14ac:dyDescent="0.45">
      <c r="A139" s="43">
        <v>109</v>
      </c>
      <c r="C139" s="44" t="s">
        <v>252</v>
      </c>
      <c r="D139" s="44" t="s">
        <v>84</v>
      </c>
      <c r="E139" s="45"/>
      <c r="F139" s="44" t="s">
        <v>191</v>
      </c>
      <c r="G139" s="44" t="s">
        <v>254</v>
      </c>
      <c r="H139" s="44" t="s">
        <v>665</v>
      </c>
      <c r="I139" s="44" t="s">
        <v>666</v>
      </c>
      <c r="J139" s="44" t="s">
        <v>199</v>
      </c>
      <c r="K139" s="44" t="s">
        <v>257</v>
      </c>
      <c r="L139" s="44" t="s">
        <v>665</v>
      </c>
      <c r="M139" s="44" t="s">
        <v>667</v>
      </c>
      <c r="N139" s="44" t="s">
        <v>205</v>
      </c>
      <c r="O139" s="44" t="s">
        <v>258</v>
      </c>
      <c r="P139" s="44" t="s">
        <v>665</v>
      </c>
      <c r="Q139" s="44" t="s">
        <v>668</v>
      </c>
      <c r="R139" s="49">
        <v>0.5</v>
      </c>
      <c r="S139" s="44">
        <v>10</v>
      </c>
      <c r="T139" s="44" t="s">
        <v>128</v>
      </c>
      <c r="U139" s="44" t="s">
        <v>169</v>
      </c>
      <c r="V139" s="44" t="s">
        <v>636</v>
      </c>
      <c r="W139" s="44" t="s">
        <v>191</v>
      </c>
      <c r="X139" s="44" t="s">
        <v>191</v>
      </c>
      <c r="Y139" s="44"/>
      <c r="Z139" s="44"/>
      <c r="AA139" s="44"/>
      <c r="AB139" s="44" t="s">
        <v>262</v>
      </c>
      <c r="AC139" s="44" t="s">
        <v>262</v>
      </c>
      <c r="AD139" s="44" t="s">
        <v>262</v>
      </c>
      <c r="AE139" s="44" t="s">
        <v>262</v>
      </c>
      <c r="AF139" s="44" t="s">
        <v>263</v>
      </c>
      <c r="AG139" s="44" t="s">
        <v>263</v>
      </c>
      <c r="AH139" s="44" t="s">
        <v>262</v>
      </c>
      <c r="AI139" s="44">
        <v>0</v>
      </c>
      <c r="AJ139" s="47" t="s">
        <v>263</v>
      </c>
    </row>
    <row r="140" spans="1:36" x14ac:dyDescent="0.45">
      <c r="A140" s="43">
        <v>109</v>
      </c>
      <c r="C140" s="44" t="s">
        <v>252</v>
      </c>
      <c r="D140" s="44" t="s">
        <v>84</v>
      </c>
      <c r="E140" s="45"/>
      <c r="F140" s="44" t="s">
        <v>191</v>
      </c>
      <c r="G140" s="44" t="s">
        <v>254</v>
      </c>
      <c r="H140" s="44" t="s">
        <v>669</v>
      </c>
      <c r="I140" s="44" t="s">
        <v>670</v>
      </c>
      <c r="J140" s="44" t="s">
        <v>199</v>
      </c>
      <c r="K140" s="44" t="s">
        <v>257</v>
      </c>
      <c r="L140" s="44" t="s">
        <v>669</v>
      </c>
      <c r="M140" s="44" t="s">
        <v>671</v>
      </c>
      <c r="N140" s="44" t="s">
        <v>205</v>
      </c>
      <c r="O140" s="44" t="s">
        <v>258</v>
      </c>
      <c r="P140" s="44" t="s">
        <v>669</v>
      </c>
      <c r="Q140" s="44" t="s">
        <v>672</v>
      </c>
      <c r="R140" s="49">
        <v>0.5</v>
      </c>
      <c r="S140" s="44">
        <v>10</v>
      </c>
      <c r="T140" s="44" t="s">
        <v>128</v>
      </c>
      <c r="U140" s="44" t="s">
        <v>169</v>
      </c>
      <c r="V140" s="44" t="s">
        <v>636</v>
      </c>
      <c r="W140" s="44" t="s">
        <v>191</v>
      </c>
      <c r="X140" s="44" t="s">
        <v>191</v>
      </c>
      <c r="Y140" s="44"/>
      <c r="Z140" s="44"/>
      <c r="AA140" s="44"/>
      <c r="AB140" s="44" t="s">
        <v>262</v>
      </c>
      <c r="AC140" s="44" t="s">
        <v>262</v>
      </c>
      <c r="AD140" s="44" t="s">
        <v>262</v>
      </c>
      <c r="AE140" s="44" t="s">
        <v>262</v>
      </c>
      <c r="AF140" s="44" t="s">
        <v>263</v>
      </c>
      <c r="AG140" s="44" t="s">
        <v>263</v>
      </c>
      <c r="AH140" s="44" t="s">
        <v>262</v>
      </c>
      <c r="AI140" s="44">
        <v>0</v>
      </c>
      <c r="AJ140" s="47" t="s">
        <v>263</v>
      </c>
    </row>
    <row r="141" spans="1:36" x14ac:dyDescent="0.45">
      <c r="A141" s="43">
        <v>109</v>
      </c>
      <c r="C141" s="44" t="s">
        <v>252</v>
      </c>
      <c r="D141" s="44" t="s">
        <v>84</v>
      </c>
      <c r="E141" s="45"/>
      <c r="F141" s="44" t="s">
        <v>191</v>
      </c>
      <c r="G141" s="44" t="s">
        <v>254</v>
      </c>
      <c r="H141" s="44" t="s">
        <v>673</v>
      </c>
      <c r="I141" s="44" t="s">
        <v>674</v>
      </c>
      <c r="J141" s="44" t="s">
        <v>199</v>
      </c>
      <c r="K141" s="44" t="s">
        <v>257</v>
      </c>
      <c r="L141" s="44" t="s">
        <v>673</v>
      </c>
      <c r="M141" s="44" t="s">
        <v>675</v>
      </c>
      <c r="N141" s="44" t="s">
        <v>205</v>
      </c>
      <c r="O141" s="44" t="s">
        <v>258</v>
      </c>
      <c r="P141" s="44" t="s">
        <v>673</v>
      </c>
      <c r="Q141" s="44" t="s">
        <v>676</v>
      </c>
      <c r="R141" s="46">
        <v>0.5</v>
      </c>
      <c r="S141" s="44">
        <v>10</v>
      </c>
      <c r="T141" s="44" t="s">
        <v>128</v>
      </c>
      <c r="U141" s="44" t="s">
        <v>169</v>
      </c>
      <c r="V141" s="44" t="s">
        <v>636</v>
      </c>
      <c r="W141" s="44" t="s">
        <v>191</v>
      </c>
      <c r="X141" s="44" t="s">
        <v>191</v>
      </c>
      <c r="Y141" s="44"/>
      <c r="Z141" s="44"/>
      <c r="AA141" s="44"/>
      <c r="AB141" s="44" t="s">
        <v>262</v>
      </c>
      <c r="AC141" s="44" t="s">
        <v>262</v>
      </c>
      <c r="AD141" s="44" t="s">
        <v>262</v>
      </c>
      <c r="AE141" s="44" t="s">
        <v>262</v>
      </c>
      <c r="AF141" s="44" t="s">
        <v>263</v>
      </c>
      <c r="AG141" s="44" t="s">
        <v>263</v>
      </c>
      <c r="AH141" s="44" t="s">
        <v>262</v>
      </c>
      <c r="AI141" s="44">
        <v>0</v>
      </c>
      <c r="AJ141" s="47" t="s">
        <v>263</v>
      </c>
    </row>
    <row r="142" spans="1:36" x14ac:dyDescent="0.45">
      <c r="A142" s="43">
        <v>109</v>
      </c>
      <c r="C142" s="44" t="s">
        <v>252</v>
      </c>
      <c r="D142" s="44" t="s">
        <v>84</v>
      </c>
      <c r="E142" s="45"/>
      <c r="F142" s="44" t="s">
        <v>191</v>
      </c>
      <c r="G142" s="44" t="s">
        <v>254</v>
      </c>
      <c r="H142" s="44" t="s">
        <v>677</v>
      </c>
      <c r="I142" s="44" t="s">
        <v>678</v>
      </c>
      <c r="J142" s="44" t="s">
        <v>199</v>
      </c>
      <c r="K142" s="44" t="s">
        <v>257</v>
      </c>
      <c r="L142" s="44" t="s">
        <v>677</v>
      </c>
      <c r="M142" s="44" t="s">
        <v>679</v>
      </c>
      <c r="N142" s="44" t="s">
        <v>205</v>
      </c>
      <c r="O142" s="44" t="s">
        <v>258</v>
      </c>
      <c r="P142" s="44" t="s">
        <v>677</v>
      </c>
      <c r="Q142" s="44" t="s">
        <v>680</v>
      </c>
      <c r="R142" s="46">
        <v>0.75</v>
      </c>
      <c r="S142" s="44">
        <v>10</v>
      </c>
      <c r="T142" s="44" t="s">
        <v>128</v>
      </c>
      <c r="U142" s="44" t="s">
        <v>169</v>
      </c>
      <c r="V142" s="44" t="s">
        <v>636</v>
      </c>
      <c r="W142" s="44" t="s">
        <v>191</v>
      </c>
      <c r="X142" s="44" t="s">
        <v>191</v>
      </c>
      <c r="Y142" s="44"/>
      <c r="Z142" s="44"/>
      <c r="AA142" s="44"/>
      <c r="AB142" s="44" t="s">
        <v>262</v>
      </c>
      <c r="AC142" s="44" t="s">
        <v>262</v>
      </c>
      <c r="AD142" s="44" t="s">
        <v>262</v>
      </c>
      <c r="AE142" s="44" t="s">
        <v>262</v>
      </c>
      <c r="AF142" s="44" t="s">
        <v>263</v>
      </c>
      <c r="AG142" s="44" t="s">
        <v>263</v>
      </c>
      <c r="AH142" s="44" t="s">
        <v>262</v>
      </c>
      <c r="AI142" s="44">
        <v>0</v>
      </c>
      <c r="AJ142" s="47" t="s">
        <v>263</v>
      </c>
    </row>
    <row r="143" spans="1:36" x14ac:dyDescent="0.45">
      <c r="A143" s="43">
        <v>111</v>
      </c>
      <c r="C143" s="50" t="s">
        <v>252</v>
      </c>
      <c r="D143" s="50" t="s">
        <v>84</v>
      </c>
      <c r="E143" s="50"/>
      <c r="F143" s="44" t="s">
        <v>695</v>
      </c>
      <c r="G143" s="44" t="s">
        <v>254</v>
      </c>
      <c r="H143" s="50" t="s">
        <v>387</v>
      </c>
      <c r="I143" s="44" t="s">
        <v>696</v>
      </c>
      <c r="J143" s="44" t="s">
        <v>695</v>
      </c>
      <c r="K143" s="44" t="s">
        <v>257</v>
      </c>
      <c r="L143" s="50" t="s">
        <v>387</v>
      </c>
      <c r="M143" s="44" t="s">
        <v>696</v>
      </c>
      <c r="N143" s="44" t="s">
        <v>695</v>
      </c>
      <c r="O143" s="44" t="s">
        <v>258</v>
      </c>
      <c r="P143" s="50" t="s">
        <v>387</v>
      </c>
      <c r="Q143" s="44" t="s">
        <v>696</v>
      </c>
      <c r="R143" s="46">
        <v>1</v>
      </c>
      <c r="S143" s="44">
        <v>10</v>
      </c>
      <c r="T143" s="44" t="s">
        <v>128</v>
      </c>
      <c r="U143" s="50" t="s">
        <v>169</v>
      </c>
      <c r="V143" s="50" t="s">
        <v>636</v>
      </c>
      <c r="W143" s="50" t="s">
        <v>194</v>
      </c>
      <c r="X143" s="50" t="s">
        <v>194</v>
      </c>
      <c r="Y143" s="50"/>
      <c r="Z143" s="50"/>
      <c r="AA143" s="50"/>
      <c r="AB143" s="50" t="s">
        <v>262</v>
      </c>
      <c r="AC143" s="50" t="s">
        <v>262</v>
      </c>
      <c r="AD143" s="50" t="s">
        <v>262</v>
      </c>
      <c r="AE143" s="50" t="s">
        <v>262</v>
      </c>
      <c r="AF143" s="50" t="s">
        <v>263</v>
      </c>
      <c r="AG143" s="50" t="s">
        <v>263</v>
      </c>
      <c r="AH143" s="50" t="s">
        <v>262</v>
      </c>
      <c r="AI143" s="44">
        <v>0.05</v>
      </c>
      <c r="AJ143" s="51" t="s">
        <v>263</v>
      </c>
    </row>
    <row r="144" spans="1:36" x14ac:dyDescent="0.45">
      <c r="A144" s="43">
        <v>112</v>
      </c>
      <c r="C144" s="50" t="s">
        <v>252</v>
      </c>
      <c r="D144" s="50" t="s">
        <v>84</v>
      </c>
      <c r="E144" s="50"/>
      <c r="F144" s="44" t="s">
        <v>695</v>
      </c>
      <c r="G144" s="44" t="s">
        <v>254</v>
      </c>
      <c r="H144" s="50" t="s">
        <v>673</v>
      </c>
      <c r="I144" s="44" t="s">
        <v>697</v>
      </c>
      <c r="J144" s="44" t="s">
        <v>695</v>
      </c>
      <c r="K144" s="44" t="s">
        <v>257</v>
      </c>
      <c r="L144" s="50" t="s">
        <v>673</v>
      </c>
      <c r="M144" s="44" t="s">
        <v>697</v>
      </c>
      <c r="N144" s="44" t="s">
        <v>695</v>
      </c>
      <c r="O144" s="44" t="s">
        <v>258</v>
      </c>
      <c r="P144" s="50" t="s">
        <v>673</v>
      </c>
      <c r="Q144" s="44" t="s">
        <v>697</v>
      </c>
      <c r="R144" s="46">
        <v>0.5</v>
      </c>
      <c r="S144" s="44">
        <v>10</v>
      </c>
      <c r="T144" s="44" t="s">
        <v>128</v>
      </c>
      <c r="U144" s="50" t="s">
        <v>169</v>
      </c>
      <c r="V144" s="50" t="s">
        <v>636</v>
      </c>
      <c r="W144" s="50" t="s">
        <v>194</v>
      </c>
      <c r="X144" s="50" t="s">
        <v>194</v>
      </c>
      <c r="Y144" s="50"/>
      <c r="Z144" s="50"/>
      <c r="AA144" s="50"/>
      <c r="AB144" s="50" t="s">
        <v>262</v>
      </c>
      <c r="AC144" s="50" t="s">
        <v>262</v>
      </c>
      <c r="AD144" s="50" t="s">
        <v>262</v>
      </c>
      <c r="AE144" s="50" t="s">
        <v>262</v>
      </c>
      <c r="AF144" s="50" t="s">
        <v>263</v>
      </c>
      <c r="AG144" s="50" t="s">
        <v>263</v>
      </c>
      <c r="AH144" s="50" t="s">
        <v>262</v>
      </c>
      <c r="AI144" s="44">
        <v>0.05</v>
      </c>
      <c r="AJ144" s="51" t="s">
        <v>263</v>
      </c>
    </row>
    <row r="145" spans="1:36" x14ac:dyDescent="0.45">
      <c r="A145" s="43">
        <v>113</v>
      </c>
      <c r="C145" s="50" t="s">
        <v>252</v>
      </c>
      <c r="D145" s="50" t="s">
        <v>84</v>
      </c>
      <c r="E145" s="50"/>
      <c r="F145" s="44" t="s">
        <v>695</v>
      </c>
      <c r="G145" s="44" t="s">
        <v>254</v>
      </c>
      <c r="H145" s="50" t="s">
        <v>698</v>
      </c>
      <c r="I145" s="44" t="s">
        <v>699</v>
      </c>
      <c r="J145" s="44" t="s">
        <v>695</v>
      </c>
      <c r="K145" s="44" t="s">
        <v>257</v>
      </c>
      <c r="L145" s="50" t="s">
        <v>698</v>
      </c>
      <c r="M145" s="44" t="s">
        <v>699</v>
      </c>
      <c r="N145" s="44" t="s">
        <v>695</v>
      </c>
      <c r="O145" s="44" t="s">
        <v>258</v>
      </c>
      <c r="P145" s="50" t="s">
        <v>698</v>
      </c>
      <c r="Q145" s="44" t="s">
        <v>699</v>
      </c>
      <c r="R145" s="46">
        <v>0.7</v>
      </c>
      <c r="S145" s="44">
        <v>10</v>
      </c>
      <c r="T145" s="44" t="s">
        <v>128</v>
      </c>
      <c r="U145" s="50" t="s">
        <v>169</v>
      </c>
      <c r="V145" s="50" t="s">
        <v>636</v>
      </c>
      <c r="W145" s="50" t="s">
        <v>194</v>
      </c>
      <c r="X145" s="50" t="s">
        <v>194</v>
      </c>
      <c r="Y145" s="50"/>
      <c r="Z145" s="50"/>
      <c r="AA145" s="50"/>
      <c r="AB145" s="50" t="s">
        <v>262</v>
      </c>
      <c r="AC145" s="50" t="s">
        <v>262</v>
      </c>
      <c r="AD145" s="50" t="s">
        <v>262</v>
      </c>
      <c r="AE145" s="50" t="s">
        <v>262</v>
      </c>
      <c r="AF145" s="50" t="s">
        <v>263</v>
      </c>
      <c r="AG145" s="50" t="s">
        <v>263</v>
      </c>
      <c r="AH145" s="50" t="s">
        <v>262</v>
      </c>
      <c r="AI145" s="44">
        <v>0.05</v>
      </c>
      <c r="AJ145" s="51" t="s">
        <v>263</v>
      </c>
    </row>
    <row r="146" spans="1:36" x14ac:dyDescent="0.45">
      <c r="A146" s="43">
        <v>114</v>
      </c>
      <c r="C146" s="44" t="s">
        <v>252</v>
      </c>
      <c r="D146" s="44" t="s">
        <v>84</v>
      </c>
      <c r="E146" s="45"/>
      <c r="F146" s="44" t="s">
        <v>682</v>
      </c>
      <c r="G146" s="44" t="s">
        <v>254</v>
      </c>
      <c r="H146" s="44" t="s">
        <v>273</v>
      </c>
      <c r="I146" s="44" t="s">
        <v>682</v>
      </c>
      <c r="J146" s="44" t="s">
        <v>1418</v>
      </c>
      <c r="K146" s="44" t="s">
        <v>257</v>
      </c>
      <c r="L146" s="44" t="s">
        <v>274</v>
      </c>
      <c r="M146" s="44" t="s">
        <v>1418</v>
      </c>
      <c r="N146" s="44" t="s">
        <v>1419</v>
      </c>
      <c r="O146" s="44" t="s">
        <v>258</v>
      </c>
      <c r="P146" s="44" t="s">
        <v>275</v>
      </c>
      <c r="Q146" s="44" t="s">
        <v>1419</v>
      </c>
      <c r="R146" s="46">
        <v>1</v>
      </c>
      <c r="S146" s="44">
        <v>10</v>
      </c>
      <c r="T146" s="44" t="s">
        <v>128</v>
      </c>
      <c r="U146" s="44" t="s">
        <v>169</v>
      </c>
      <c r="V146" s="44" t="s">
        <v>636</v>
      </c>
      <c r="W146" s="44" t="s">
        <v>681</v>
      </c>
      <c r="X146" s="44" t="s">
        <v>682</v>
      </c>
      <c r="Y146" s="44"/>
      <c r="Z146" s="44"/>
      <c r="AA146" s="44"/>
      <c r="AB146" s="44" t="s">
        <v>262</v>
      </c>
      <c r="AC146" s="44" t="s">
        <v>262</v>
      </c>
      <c r="AD146" s="44" t="s">
        <v>262</v>
      </c>
      <c r="AE146" s="44" t="s">
        <v>262</v>
      </c>
      <c r="AF146" s="44" t="s">
        <v>263</v>
      </c>
      <c r="AG146" s="44" t="s">
        <v>263</v>
      </c>
      <c r="AH146" s="44" t="s">
        <v>262</v>
      </c>
      <c r="AI146" s="44">
        <v>0</v>
      </c>
      <c r="AJ146" s="47" t="s">
        <v>263</v>
      </c>
    </row>
    <row r="147" spans="1:36" x14ac:dyDescent="0.45">
      <c r="A147" s="43">
        <v>115</v>
      </c>
      <c r="C147" s="44" t="s">
        <v>252</v>
      </c>
      <c r="D147" s="44" t="s">
        <v>84</v>
      </c>
      <c r="E147" s="45"/>
      <c r="F147" s="44" t="s">
        <v>683</v>
      </c>
      <c r="G147" s="44" t="s">
        <v>254</v>
      </c>
      <c r="H147" s="44" t="s">
        <v>273</v>
      </c>
      <c r="I147" s="44" t="s">
        <v>683</v>
      </c>
      <c r="J147" s="44" t="s">
        <v>684</v>
      </c>
      <c r="K147" s="44" t="s">
        <v>257</v>
      </c>
      <c r="L147" s="44" t="s">
        <v>274</v>
      </c>
      <c r="M147" s="44" t="s">
        <v>684</v>
      </c>
      <c r="N147" s="44" t="s">
        <v>685</v>
      </c>
      <c r="O147" s="44" t="s">
        <v>258</v>
      </c>
      <c r="P147" s="44" t="s">
        <v>275</v>
      </c>
      <c r="Q147" s="44" t="s">
        <v>685</v>
      </c>
      <c r="R147" s="46">
        <v>1</v>
      </c>
      <c r="S147" s="44">
        <v>10</v>
      </c>
      <c r="T147" s="44" t="s">
        <v>128</v>
      </c>
      <c r="U147" s="44" t="s">
        <v>169</v>
      </c>
      <c r="V147" s="44" t="s">
        <v>636</v>
      </c>
      <c r="W147" s="44" t="s">
        <v>681</v>
      </c>
      <c r="X147" s="44" t="s">
        <v>682</v>
      </c>
      <c r="Y147" s="44"/>
      <c r="Z147" s="44"/>
      <c r="AA147" s="44"/>
      <c r="AB147" s="44" t="s">
        <v>262</v>
      </c>
      <c r="AC147" s="44" t="s">
        <v>262</v>
      </c>
      <c r="AD147" s="44" t="s">
        <v>262</v>
      </c>
      <c r="AE147" s="44" t="s">
        <v>262</v>
      </c>
      <c r="AF147" s="44" t="s">
        <v>263</v>
      </c>
      <c r="AG147" s="44" t="s">
        <v>263</v>
      </c>
      <c r="AH147" s="44" t="s">
        <v>262</v>
      </c>
      <c r="AI147" s="44">
        <v>0</v>
      </c>
      <c r="AJ147" s="47" t="s">
        <v>263</v>
      </c>
    </row>
    <row r="148" spans="1:36" x14ac:dyDescent="0.45">
      <c r="A148" s="43">
        <v>116</v>
      </c>
      <c r="C148" s="44" t="s">
        <v>252</v>
      </c>
      <c r="D148" s="44" t="s">
        <v>84</v>
      </c>
      <c r="E148" s="45"/>
      <c r="F148" s="44" t="s">
        <v>700</v>
      </c>
      <c r="G148" s="44" t="s">
        <v>254</v>
      </c>
      <c r="H148" s="44" t="s">
        <v>273</v>
      </c>
      <c r="I148" s="44" t="s">
        <v>700</v>
      </c>
      <c r="J148" s="44" t="s">
        <v>701</v>
      </c>
      <c r="K148" s="44" t="s">
        <v>257</v>
      </c>
      <c r="L148" s="44" t="s">
        <v>274</v>
      </c>
      <c r="M148" s="44" t="s">
        <v>701</v>
      </c>
      <c r="N148" s="44" t="s">
        <v>702</v>
      </c>
      <c r="O148" s="44" t="s">
        <v>258</v>
      </c>
      <c r="P148" s="44" t="s">
        <v>275</v>
      </c>
      <c r="Q148" s="44" t="s">
        <v>702</v>
      </c>
      <c r="R148" s="46">
        <v>1</v>
      </c>
      <c r="S148" s="44">
        <v>1</v>
      </c>
      <c r="T148" s="44" t="s">
        <v>137</v>
      </c>
      <c r="U148" s="44" t="s">
        <v>169</v>
      </c>
      <c r="V148" s="44" t="s">
        <v>636</v>
      </c>
      <c r="W148" s="44" t="s">
        <v>194</v>
      </c>
      <c r="X148" s="44" t="s">
        <v>194</v>
      </c>
      <c r="Y148" s="44"/>
      <c r="Z148" s="44"/>
      <c r="AA148" s="44"/>
      <c r="AB148" s="44" t="s">
        <v>262</v>
      </c>
      <c r="AC148" s="44" t="s">
        <v>262</v>
      </c>
      <c r="AD148" s="44" t="s">
        <v>262</v>
      </c>
      <c r="AE148" s="44" t="s">
        <v>262</v>
      </c>
      <c r="AF148" s="44" t="s">
        <v>263</v>
      </c>
      <c r="AG148" s="44" t="s">
        <v>263</v>
      </c>
      <c r="AH148" s="44" t="s">
        <v>262</v>
      </c>
      <c r="AI148" s="44">
        <v>0</v>
      </c>
      <c r="AJ148" s="47" t="s">
        <v>263</v>
      </c>
    </row>
    <row r="149" spans="1:36" x14ac:dyDescent="0.45">
      <c r="A149" s="43">
        <v>117</v>
      </c>
      <c r="C149" s="44" t="s">
        <v>252</v>
      </c>
      <c r="D149" s="44" t="s">
        <v>84</v>
      </c>
      <c r="E149" s="45"/>
      <c r="F149" s="44" t="s">
        <v>703</v>
      </c>
      <c r="G149" s="44" t="s">
        <v>254</v>
      </c>
      <c r="H149" s="44" t="s">
        <v>387</v>
      </c>
      <c r="I149" s="44" t="s">
        <v>704</v>
      </c>
      <c r="J149" s="44" t="s">
        <v>703</v>
      </c>
      <c r="K149" s="44" t="s">
        <v>257</v>
      </c>
      <c r="L149" s="44" t="s">
        <v>387</v>
      </c>
      <c r="M149" s="44" t="s">
        <v>704</v>
      </c>
      <c r="N149" s="44" t="s">
        <v>703</v>
      </c>
      <c r="O149" s="44" t="s">
        <v>258</v>
      </c>
      <c r="P149" s="44" t="s">
        <v>387</v>
      </c>
      <c r="Q149" s="44" t="s">
        <v>704</v>
      </c>
      <c r="R149" s="46">
        <v>1</v>
      </c>
      <c r="S149" s="44">
        <v>10</v>
      </c>
      <c r="T149" s="44" t="s">
        <v>128</v>
      </c>
      <c r="U149" s="44" t="s">
        <v>169</v>
      </c>
      <c r="V149" s="44" t="s">
        <v>636</v>
      </c>
      <c r="W149" s="44" t="s">
        <v>194</v>
      </c>
      <c r="X149" s="44" t="s">
        <v>194</v>
      </c>
      <c r="Y149" s="44"/>
      <c r="Z149" s="44"/>
      <c r="AA149" s="44"/>
      <c r="AB149" s="44" t="s">
        <v>262</v>
      </c>
      <c r="AC149" s="44" t="s">
        <v>262</v>
      </c>
      <c r="AD149" s="44" t="s">
        <v>262</v>
      </c>
      <c r="AE149" s="44" t="s">
        <v>262</v>
      </c>
      <c r="AF149" s="44" t="s">
        <v>263</v>
      </c>
      <c r="AG149" s="44" t="s">
        <v>263</v>
      </c>
      <c r="AH149" s="44" t="s">
        <v>262</v>
      </c>
      <c r="AI149" s="44">
        <v>0.05</v>
      </c>
      <c r="AJ149" s="47" t="s">
        <v>263</v>
      </c>
    </row>
    <row r="150" spans="1:36" x14ac:dyDescent="0.45">
      <c r="A150" s="43">
        <v>118</v>
      </c>
      <c r="C150" s="44" t="s">
        <v>252</v>
      </c>
      <c r="D150" s="44" t="s">
        <v>84</v>
      </c>
      <c r="E150" s="45"/>
      <c r="F150" s="44" t="s">
        <v>705</v>
      </c>
      <c r="G150" s="44" t="s">
        <v>254</v>
      </c>
      <c r="H150" s="50" t="s">
        <v>387</v>
      </c>
      <c r="I150" s="44" t="s">
        <v>706</v>
      </c>
      <c r="J150" s="44" t="s">
        <v>705</v>
      </c>
      <c r="K150" s="44" t="s">
        <v>257</v>
      </c>
      <c r="L150" s="50" t="s">
        <v>387</v>
      </c>
      <c r="M150" s="44" t="s">
        <v>706</v>
      </c>
      <c r="N150" s="44" t="s">
        <v>705</v>
      </c>
      <c r="O150" s="44" t="s">
        <v>258</v>
      </c>
      <c r="P150" s="50" t="s">
        <v>387</v>
      </c>
      <c r="Q150" s="44" t="s">
        <v>706</v>
      </c>
      <c r="R150" s="46">
        <v>1</v>
      </c>
      <c r="S150" s="44">
        <v>10</v>
      </c>
      <c r="T150" s="44" t="s">
        <v>128</v>
      </c>
      <c r="U150" s="44" t="s">
        <v>169</v>
      </c>
      <c r="V150" s="44" t="s">
        <v>636</v>
      </c>
      <c r="W150" s="44" t="s">
        <v>194</v>
      </c>
      <c r="X150" s="44" t="s">
        <v>194</v>
      </c>
      <c r="Y150" s="44"/>
      <c r="Z150" s="44"/>
      <c r="AA150" s="44"/>
      <c r="AB150" s="44" t="s">
        <v>262</v>
      </c>
      <c r="AC150" s="44" t="s">
        <v>262</v>
      </c>
      <c r="AD150" s="44" t="s">
        <v>262</v>
      </c>
      <c r="AE150" s="44" t="s">
        <v>262</v>
      </c>
      <c r="AF150" s="44" t="s">
        <v>263</v>
      </c>
      <c r="AG150" s="44" t="s">
        <v>263</v>
      </c>
      <c r="AH150" s="44" t="s">
        <v>262</v>
      </c>
      <c r="AI150" s="44">
        <v>0.05</v>
      </c>
      <c r="AJ150" s="47" t="s">
        <v>263</v>
      </c>
    </row>
    <row r="151" spans="1:36" x14ac:dyDescent="0.45">
      <c r="A151" s="43">
        <v>119</v>
      </c>
      <c r="C151" s="44" t="s">
        <v>252</v>
      </c>
      <c r="D151" s="44" t="s">
        <v>84</v>
      </c>
      <c r="E151" s="45"/>
      <c r="F151" s="44" t="s">
        <v>705</v>
      </c>
      <c r="G151" s="44" t="s">
        <v>254</v>
      </c>
      <c r="H151" s="50" t="s">
        <v>673</v>
      </c>
      <c r="I151" s="44" t="s">
        <v>707</v>
      </c>
      <c r="J151" s="44" t="s">
        <v>705</v>
      </c>
      <c r="K151" s="44" t="s">
        <v>257</v>
      </c>
      <c r="L151" s="50" t="s">
        <v>673</v>
      </c>
      <c r="M151" s="44" t="s">
        <v>707</v>
      </c>
      <c r="N151" s="44" t="s">
        <v>705</v>
      </c>
      <c r="O151" s="44" t="s">
        <v>258</v>
      </c>
      <c r="P151" s="50" t="s">
        <v>673</v>
      </c>
      <c r="Q151" s="44" t="s">
        <v>707</v>
      </c>
      <c r="R151" s="46">
        <v>0.5</v>
      </c>
      <c r="S151" s="44">
        <v>10</v>
      </c>
      <c r="T151" s="44" t="s">
        <v>128</v>
      </c>
      <c r="U151" s="44" t="s">
        <v>169</v>
      </c>
      <c r="V151" s="44" t="s">
        <v>636</v>
      </c>
      <c r="W151" s="44" t="s">
        <v>194</v>
      </c>
      <c r="X151" s="44" t="s">
        <v>194</v>
      </c>
      <c r="Y151" s="44"/>
      <c r="Z151" s="44"/>
      <c r="AA151" s="44"/>
      <c r="AB151" s="44" t="s">
        <v>262</v>
      </c>
      <c r="AC151" s="44" t="s">
        <v>262</v>
      </c>
      <c r="AD151" s="44" t="s">
        <v>262</v>
      </c>
      <c r="AE151" s="44" t="s">
        <v>262</v>
      </c>
      <c r="AF151" s="44" t="s">
        <v>263</v>
      </c>
      <c r="AG151" s="44" t="s">
        <v>263</v>
      </c>
      <c r="AH151" s="44" t="s">
        <v>262</v>
      </c>
      <c r="AI151" s="44">
        <v>0.05</v>
      </c>
      <c r="AJ151" s="47" t="s">
        <v>263</v>
      </c>
    </row>
    <row r="152" spans="1:36" x14ac:dyDescent="0.45">
      <c r="A152" s="43">
        <v>120</v>
      </c>
      <c r="C152" s="44" t="s">
        <v>252</v>
      </c>
      <c r="D152" s="44" t="s">
        <v>84</v>
      </c>
      <c r="E152" s="45"/>
      <c r="F152" s="44" t="s">
        <v>705</v>
      </c>
      <c r="G152" s="44" t="s">
        <v>254</v>
      </c>
      <c r="H152" s="50" t="s">
        <v>698</v>
      </c>
      <c r="I152" s="44" t="s">
        <v>708</v>
      </c>
      <c r="J152" s="44" t="s">
        <v>705</v>
      </c>
      <c r="K152" s="44" t="s">
        <v>257</v>
      </c>
      <c r="L152" s="50" t="s">
        <v>698</v>
      </c>
      <c r="M152" s="44" t="s">
        <v>708</v>
      </c>
      <c r="N152" s="44" t="s">
        <v>705</v>
      </c>
      <c r="O152" s="44" t="s">
        <v>258</v>
      </c>
      <c r="P152" s="50" t="s">
        <v>698</v>
      </c>
      <c r="Q152" s="44" t="s">
        <v>708</v>
      </c>
      <c r="R152" s="46">
        <v>0.7</v>
      </c>
      <c r="S152" s="44">
        <v>10</v>
      </c>
      <c r="T152" s="44" t="s">
        <v>128</v>
      </c>
      <c r="U152" s="44" t="s">
        <v>169</v>
      </c>
      <c r="V152" s="44" t="s">
        <v>636</v>
      </c>
      <c r="W152" s="44" t="s">
        <v>194</v>
      </c>
      <c r="X152" s="44" t="s">
        <v>194</v>
      </c>
      <c r="Y152" s="44"/>
      <c r="Z152" s="44"/>
      <c r="AA152" s="44"/>
      <c r="AB152" s="44" t="s">
        <v>262</v>
      </c>
      <c r="AC152" s="44" t="s">
        <v>262</v>
      </c>
      <c r="AD152" s="44" t="s">
        <v>262</v>
      </c>
      <c r="AE152" s="44" t="s">
        <v>262</v>
      </c>
      <c r="AF152" s="44" t="s">
        <v>263</v>
      </c>
      <c r="AG152" s="44" t="s">
        <v>263</v>
      </c>
      <c r="AH152" s="44" t="s">
        <v>262</v>
      </c>
      <c r="AI152" s="44">
        <v>0.05</v>
      </c>
      <c r="AJ152" s="47" t="s">
        <v>263</v>
      </c>
    </row>
    <row r="153" spans="1:36" x14ac:dyDescent="0.45">
      <c r="A153" s="43">
        <v>121</v>
      </c>
      <c r="C153" s="44" t="s">
        <v>252</v>
      </c>
      <c r="D153" s="44" t="s">
        <v>84</v>
      </c>
      <c r="E153" s="45"/>
      <c r="F153" s="44" t="s">
        <v>767</v>
      </c>
      <c r="G153" s="44" t="s">
        <v>254</v>
      </c>
      <c r="H153" s="44" t="s">
        <v>661</v>
      </c>
      <c r="I153" s="44" t="s">
        <v>768</v>
      </c>
      <c r="J153" s="44" t="s">
        <v>769</v>
      </c>
      <c r="K153" s="44" t="s">
        <v>257</v>
      </c>
      <c r="L153" s="44" t="s">
        <v>661</v>
      </c>
      <c r="M153" s="44" t="s">
        <v>770</v>
      </c>
      <c r="N153" s="44" t="s">
        <v>771</v>
      </c>
      <c r="O153" s="44" t="s">
        <v>258</v>
      </c>
      <c r="P153" s="44" t="s">
        <v>661</v>
      </c>
      <c r="Q153" s="44" t="s">
        <v>772</v>
      </c>
      <c r="R153" s="46">
        <v>0.33</v>
      </c>
      <c r="S153" s="44">
        <v>1</v>
      </c>
      <c r="T153" s="44" t="s">
        <v>133</v>
      </c>
      <c r="U153" s="44" t="s">
        <v>169</v>
      </c>
      <c r="V153" s="44" t="s">
        <v>636</v>
      </c>
      <c r="W153" s="44" t="s">
        <v>715</v>
      </c>
      <c r="X153" s="44" t="s">
        <v>715</v>
      </c>
      <c r="Y153" s="44"/>
      <c r="Z153" s="44"/>
      <c r="AA153" s="44"/>
      <c r="AB153" s="44" t="s">
        <v>262</v>
      </c>
      <c r="AC153" s="44" t="s">
        <v>262</v>
      </c>
      <c r="AD153" s="44" t="s">
        <v>262</v>
      </c>
      <c r="AE153" s="44" t="s">
        <v>262</v>
      </c>
      <c r="AF153" s="44" t="s">
        <v>263</v>
      </c>
      <c r="AG153" s="44" t="s">
        <v>263</v>
      </c>
      <c r="AH153" s="44" t="s">
        <v>262</v>
      </c>
      <c r="AI153" s="44">
        <v>0</v>
      </c>
      <c r="AJ153" s="47" t="s">
        <v>263</v>
      </c>
    </row>
    <row r="154" spans="1:36" x14ac:dyDescent="0.45">
      <c r="A154" s="43">
        <v>121</v>
      </c>
      <c r="C154" s="44" t="s">
        <v>252</v>
      </c>
      <c r="D154" s="44" t="s">
        <v>84</v>
      </c>
      <c r="E154" s="45"/>
      <c r="F154" s="44" t="s">
        <v>767</v>
      </c>
      <c r="G154" s="44" t="s">
        <v>254</v>
      </c>
      <c r="H154" s="44" t="s">
        <v>673</v>
      </c>
      <c r="I154" s="44" t="s">
        <v>773</v>
      </c>
      <c r="J154" s="44" t="s">
        <v>769</v>
      </c>
      <c r="K154" s="44" t="s">
        <v>257</v>
      </c>
      <c r="L154" s="44" t="s">
        <v>673</v>
      </c>
      <c r="M154" s="44" t="s">
        <v>774</v>
      </c>
      <c r="N154" s="44" t="s">
        <v>771</v>
      </c>
      <c r="O154" s="44" t="s">
        <v>258</v>
      </c>
      <c r="P154" s="44" t="s">
        <v>673</v>
      </c>
      <c r="Q154" s="44" t="s">
        <v>775</v>
      </c>
      <c r="R154" s="46">
        <v>0.5</v>
      </c>
      <c r="S154" s="44">
        <v>1</v>
      </c>
      <c r="T154" s="44" t="s">
        <v>133</v>
      </c>
      <c r="U154" s="44" t="s">
        <v>169</v>
      </c>
      <c r="V154" s="44" t="s">
        <v>636</v>
      </c>
      <c r="W154" s="44" t="s">
        <v>715</v>
      </c>
      <c r="X154" s="44" t="s">
        <v>715</v>
      </c>
      <c r="Y154" s="44"/>
      <c r="Z154" s="44"/>
      <c r="AA154" s="44"/>
      <c r="AB154" s="44" t="s">
        <v>262</v>
      </c>
      <c r="AC154" s="44" t="s">
        <v>262</v>
      </c>
      <c r="AD154" s="44" t="s">
        <v>262</v>
      </c>
      <c r="AE154" s="44" t="s">
        <v>262</v>
      </c>
      <c r="AF154" s="44" t="s">
        <v>263</v>
      </c>
      <c r="AG154" s="44" t="s">
        <v>263</v>
      </c>
      <c r="AH154" s="44" t="s">
        <v>262</v>
      </c>
      <c r="AI154" s="44">
        <v>0</v>
      </c>
      <c r="AJ154" s="47" t="s">
        <v>263</v>
      </c>
    </row>
    <row r="155" spans="1:36" x14ac:dyDescent="0.45">
      <c r="A155" s="43">
        <v>121</v>
      </c>
      <c r="C155" s="44" t="s">
        <v>252</v>
      </c>
      <c r="D155" s="44" t="s">
        <v>84</v>
      </c>
      <c r="E155" s="45"/>
      <c r="F155" s="44" t="s">
        <v>767</v>
      </c>
      <c r="G155" s="44" t="s">
        <v>254</v>
      </c>
      <c r="H155" s="44" t="s">
        <v>677</v>
      </c>
      <c r="I155" s="44" t="s">
        <v>776</v>
      </c>
      <c r="J155" s="44" t="s">
        <v>769</v>
      </c>
      <c r="K155" s="44" t="s">
        <v>257</v>
      </c>
      <c r="L155" s="44" t="s">
        <v>677</v>
      </c>
      <c r="M155" s="44" t="s">
        <v>777</v>
      </c>
      <c r="N155" s="44" t="s">
        <v>771</v>
      </c>
      <c r="O155" s="44" t="s">
        <v>258</v>
      </c>
      <c r="P155" s="44" t="s">
        <v>677</v>
      </c>
      <c r="Q155" s="44" t="s">
        <v>778</v>
      </c>
      <c r="R155" s="46">
        <v>0.75</v>
      </c>
      <c r="S155" s="44">
        <v>1</v>
      </c>
      <c r="T155" s="44" t="s">
        <v>133</v>
      </c>
      <c r="U155" s="44" t="s">
        <v>169</v>
      </c>
      <c r="V155" s="44" t="s">
        <v>636</v>
      </c>
      <c r="W155" s="44" t="s">
        <v>715</v>
      </c>
      <c r="X155" s="44" t="s">
        <v>715</v>
      </c>
      <c r="Y155" s="44"/>
      <c r="Z155" s="44"/>
      <c r="AA155" s="44"/>
      <c r="AB155" s="44" t="s">
        <v>262</v>
      </c>
      <c r="AC155" s="44" t="s">
        <v>262</v>
      </c>
      <c r="AD155" s="44" t="s">
        <v>262</v>
      </c>
      <c r="AE155" s="44" t="s">
        <v>262</v>
      </c>
      <c r="AF155" s="44" t="s">
        <v>263</v>
      </c>
      <c r="AG155" s="44" t="s">
        <v>263</v>
      </c>
      <c r="AH155" s="44" t="s">
        <v>262</v>
      </c>
      <c r="AI155" s="44">
        <v>0</v>
      </c>
      <c r="AJ155" s="47" t="s">
        <v>263</v>
      </c>
    </row>
    <row r="156" spans="1:36" x14ac:dyDescent="0.45">
      <c r="A156" s="43">
        <v>121</v>
      </c>
      <c r="C156" s="44" t="s">
        <v>252</v>
      </c>
      <c r="D156" s="44" t="s">
        <v>84</v>
      </c>
      <c r="E156" s="45"/>
      <c r="F156" s="44" t="s">
        <v>767</v>
      </c>
      <c r="G156" s="44" t="s">
        <v>254</v>
      </c>
      <c r="H156" s="44" t="s">
        <v>387</v>
      </c>
      <c r="I156" s="44" t="s">
        <v>779</v>
      </c>
      <c r="J156" s="44" t="s">
        <v>769</v>
      </c>
      <c r="K156" s="44" t="s">
        <v>257</v>
      </c>
      <c r="L156" s="44" t="s">
        <v>387</v>
      </c>
      <c r="M156" s="44" t="s">
        <v>780</v>
      </c>
      <c r="N156" s="44" t="s">
        <v>771</v>
      </c>
      <c r="O156" s="44" t="s">
        <v>258</v>
      </c>
      <c r="P156" s="44" t="s">
        <v>387</v>
      </c>
      <c r="Q156" s="44" t="s">
        <v>781</v>
      </c>
      <c r="R156" s="46">
        <v>1</v>
      </c>
      <c r="S156" s="44">
        <v>1</v>
      </c>
      <c r="T156" s="44" t="s">
        <v>133</v>
      </c>
      <c r="U156" s="44" t="s">
        <v>169</v>
      </c>
      <c r="V156" s="44" t="s">
        <v>636</v>
      </c>
      <c r="W156" s="44" t="s">
        <v>715</v>
      </c>
      <c r="X156" s="44" t="s">
        <v>715</v>
      </c>
      <c r="Y156" s="44"/>
      <c r="Z156" s="44"/>
      <c r="AA156" s="44"/>
      <c r="AB156" s="44" t="s">
        <v>262</v>
      </c>
      <c r="AC156" s="44" t="s">
        <v>262</v>
      </c>
      <c r="AD156" s="44" t="s">
        <v>262</v>
      </c>
      <c r="AE156" s="44" t="s">
        <v>262</v>
      </c>
      <c r="AF156" s="44" t="s">
        <v>263</v>
      </c>
      <c r="AG156" s="44" t="s">
        <v>263</v>
      </c>
      <c r="AH156" s="44" t="s">
        <v>262</v>
      </c>
      <c r="AI156" s="44">
        <v>0</v>
      </c>
      <c r="AJ156" s="47" t="s">
        <v>263</v>
      </c>
    </row>
    <row r="157" spans="1:36" x14ac:dyDescent="0.45">
      <c r="A157" s="43">
        <v>121</v>
      </c>
      <c r="C157" s="44" t="s">
        <v>252</v>
      </c>
      <c r="D157" s="44" t="s">
        <v>84</v>
      </c>
      <c r="E157" s="45"/>
      <c r="F157" s="44" t="s">
        <v>782</v>
      </c>
      <c r="G157" s="44" t="s">
        <v>254</v>
      </c>
      <c r="H157" s="44" t="s">
        <v>783</v>
      </c>
      <c r="I157" s="44" t="s">
        <v>784</v>
      </c>
      <c r="J157" s="44" t="s">
        <v>1420</v>
      </c>
      <c r="K157" s="44" t="s">
        <v>257</v>
      </c>
      <c r="L157" s="44" t="s">
        <v>783</v>
      </c>
      <c r="M157" s="44" t="s">
        <v>785</v>
      </c>
      <c r="N157" s="44" t="s">
        <v>786</v>
      </c>
      <c r="O157" s="44" t="s">
        <v>258</v>
      </c>
      <c r="P157" s="44" t="s">
        <v>783</v>
      </c>
      <c r="Q157" s="44" t="s">
        <v>787</v>
      </c>
      <c r="R157" s="46">
        <v>0.35</v>
      </c>
      <c r="S157" s="44">
        <v>1</v>
      </c>
      <c r="T157" s="44" t="s">
        <v>133</v>
      </c>
      <c r="U157" s="44" t="s">
        <v>169</v>
      </c>
      <c r="V157" s="44" t="s">
        <v>636</v>
      </c>
      <c r="W157" s="44" t="s">
        <v>715</v>
      </c>
      <c r="X157" s="44" t="s">
        <v>715</v>
      </c>
      <c r="Y157" s="44"/>
      <c r="Z157" s="44"/>
      <c r="AA157" s="44"/>
      <c r="AB157" s="44" t="s">
        <v>262</v>
      </c>
      <c r="AC157" s="44" t="s">
        <v>262</v>
      </c>
      <c r="AD157" s="44" t="s">
        <v>262</v>
      </c>
      <c r="AE157" s="44" t="s">
        <v>262</v>
      </c>
      <c r="AF157" s="44" t="s">
        <v>263</v>
      </c>
      <c r="AG157" s="44" t="s">
        <v>263</v>
      </c>
      <c r="AH157" s="44" t="s">
        <v>262</v>
      </c>
      <c r="AI157" s="44">
        <v>0</v>
      </c>
      <c r="AJ157" s="47" t="s">
        <v>263</v>
      </c>
    </row>
    <row r="158" spans="1:36" x14ac:dyDescent="0.45">
      <c r="A158" s="43">
        <v>121</v>
      </c>
      <c r="C158" s="44" t="s">
        <v>252</v>
      </c>
      <c r="D158" s="44" t="s">
        <v>84</v>
      </c>
      <c r="E158" s="45"/>
      <c r="F158" s="44" t="s">
        <v>782</v>
      </c>
      <c r="G158" s="44" t="s">
        <v>254</v>
      </c>
      <c r="H158" s="44" t="s">
        <v>673</v>
      </c>
      <c r="I158" s="44" t="s">
        <v>788</v>
      </c>
      <c r="J158" s="44" t="s">
        <v>1420</v>
      </c>
      <c r="K158" s="44" t="s">
        <v>257</v>
      </c>
      <c r="L158" s="44" t="s">
        <v>673</v>
      </c>
      <c r="M158" s="44" t="s">
        <v>789</v>
      </c>
      <c r="N158" s="44" t="s">
        <v>786</v>
      </c>
      <c r="O158" s="44" t="s">
        <v>258</v>
      </c>
      <c r="P158" s="44" t="s">
        <v>673</v>
      </c>
      <c r="Q158" s="44" t="s">
        <v>790</v>
      </c>
      <c r="R158" s="46">
        <v>0.5</v>
      </c>
      <c r="S158" s="44">
        <v>1</v>
      </c>
      <c r="T158" s="44" t="s">
        <v>133</v>
      </c>
      <c r="U158" s="44" t="s">
        <v>169</v>
      </c>
      <c r="V158" s="44" t="s">
        <v>636</v>
      </c>
      <c r="W158" s="44" t="s">
        <v>715</v>
      </c>
      <c r="X158" s="44" t="s">
        <v>715</v>
      </c>
      <c r="Y158" s="44"/>
      <c r="Z158" s="44"/>
      <c r="AA158" s="44"/>
      <c r="AB158" s="44" t="s">
        <v>262</v>
      </c>
      <c r="AC158" s="44" t="s">
        <v>262</v>
      </c>
      <c r="AD158" s="44" t="s">
        <v>262</v>
      </c>
      <c r="AE158" s="44" t="s">
        <v>262</v>
      </c>
      <c r="AF158" s="44" t="s">
        <v>263</v>
      </c>
      <c r="AG158" s="44" t="s">
        <v>263</v>
      </c>
      <c r="AH158" s="44" t="s">
        <v>262</v>
      </c>
      <c r="AI158" s="44">
        <v>0</v>
      </c>
      <c r="AJ158" s="47" t="s">
        <v>263</v>
      </c>
    </row>
    <row r="159" spans="1:36" x14ac:dyDescent="0.45">
      <c r="A159" s="43">
        <v>121</v>
      </c>
      <c r="C159" s="44" t="s">
        <v>252</v>
      </c>
      <c r="D159" s="44" t="s">
        <v>84</v>
      </c>
      <c r="E159" s="45"/>
      <c r="F159" s="44" t="s">
        <v>782</v>
      </c>
      <c r="G159" s="44" t="s">
        <v>254</v>
      </c>
      <c r="H159" s="44" t="s">
        <v>677</v>
      </c>
      <c r="I159" s="44" t="s">
        <v>791</v>
      </c>
      <c r="J159" s="44" t="s">
        <v>1420</v>
      </c>
      <c r="K159" s="44" t="s">
        <v>257</v>
      </c>
      <c r="L159" s="44" t="s">
        <v>677</v>
      </c>
      <c r="M159" s="44" t="s">
        <v>792</v>
      </c>
      <c r="N159" s="44" t="s">
        <v>786</v>
      </c>
      <c r="O159" s="44" t="s">
        <v>258</v>
      </c>
      <c r="P159" s="44" t="s">
        <v>677</v>
      </c>
      <c r="Q159" s="44" t="s">
        <v>793</v>
      </c>
      <c r="R159" s="46">
        <v>0.75</v>
      </c>
      <c r="S159" s="44">
        <v>1</v>
      </c>
      <c r="T159" s="44" t="s">
        <v>133</v>
      </c>
      <c r="U159" s="44" t="s">
        <v>169</v>
      </c>
      <c r="V159" s="44" t="s">
        <v>636</v>
      </c>
      <c r="W159" s="44" t="s">
        <v>715</v>
      </c>
      <c r="X159" s="44" t="s">
        <v>715</v>
      </c>
      <c r="Y159" s="44"/>
      <c r="Z159" s="44"/>
      <c r="AA159" s="44"/>
      <c r="AB159" s="44" t="s">
        <v>262</v>
      </c>
      <c r="AC159" s="44" t="s">
        <v>262</v>
      </c>
      <c r="AD159" s="44" t="s">
        <v>262</v>
      </c>
      <c r="AE159" s="44" t="s">
        <v>262</v>
      </c>
      <c r="AF159" s="44" t="s">
        <v>263</v>
      </c>
      <c r="AG159" s="44" t="s">
        <v>263</v>
      </c>
      <c r="AH159" s="44" t="s">
        <v>262</v>
      </c>
      <c r="AI159" s="44">
        <v>0</v>
      </c>
      <c r="AJ159" s="47" t="s">
        <v>263</v>
      </c>
    </row>
    <row r="160" spans="1:36" x14ac:dyDescent="0.45">
      <c r="A160" s="43">
        <v>121</v>
      </c>
      <c r="C160" s="44" t="s">
        <v>252</v>
      </c>
      <c r="D160" s="44" t="s">
        <v>84</v>
      </c>
      <c r="E160" s="45"/>
      <c r="F160" s="44" t="s">
        <v>782</v>
      </c>
      <c r="G160" s="44" t="s">
        <v>254</v>
      </c>
      <c r="H160" s="44" t="s">
        <v>387</v>
      </c>
      <c r="I160" s="44" t="s">
        <v>794</v>
      </c>
      <c r="J160" s="44" t="s">
        <v>1420</v>
      </c>
      <c r="K160" s="44" t="s">
        <v>257</v>
      </c>
      <c r="L160" s="44" t="s">
        <v>387</v>
      </c>
      <c r="M160" s="44" t="s">
        <v>795</v>
      </c>
      <c r="N160" s="44" t="s">
        <v>786</v>
      </c>
      <c r="O160" s="44" t="s">
        <v>258</v>
      </c>
      <c r="P160" s="44" t="s">
        <v>387</v>
      </c>
      <c r="Q160" s="44" t="s">
        <v>796</v>
      </c>
      <c r="R160" s="46">
        <v>1</v>
      </c>
      <c r="S160" s="44">
        <v>1</v>
      </c>
      <c r="T160" s="44" t="s">
        <v>133</v>
      </c>
      <c r="U160" s="44" t="s">
        <v>169</v>
      </c>
      <c r="V160" s="44" t="s">
        <v>636</v>
      </c>
      <c r="W160" s="44" t="s">
        <v>715</v>
      </c>
      <c r="X160" s="44" t="s">
        <v>715</v>
      </c>
      <c r="Y160" s="44"/>
      <c r="Z160" s="44"/>
      <c r="AA160" s="44"/>
      <c r="AB160" s="44" t="s">
        <v>262</v>
      </c>
      <c r="AC160" s="44" t="s">
        <v>262</v>
      </c>
      <c r="AD160" s="44" t="s">
        <v>262</v>
      </c>
      <c r="AE160" s="44" t="s">
        <v>262</v>
      </c>
      <c r="AF160" s="44" t="s">
        <v>263</v>
      </c>
      <c r="AG160" s="44" t="s">
        <v>263</v>
      </c>
      <c r="AH160" s="44" t="s">
        <v>262</v>
      </c>
      <c r="AI160" s="44">
        <v>0</v>
      </c>
      <c r="AJ160" s="47" t="s">
        <v>263</v>
      </c>
    </row>
    <row r="161" spans="1:36" x14ac:dyDescent="0.45">
      <c r="A161" s="43">
        <v>122</v>
      </c>
      <c r="C161" s="44" t="s">
        <v>252</v>
      </c>
      <c r="D161" s="44" t="s">
        <v>84</v>
      </c>
      <c r="E161" s="45"/>
      <c r="F161" s="44" t="s">
        <v>738</v>
      </c>
      <c r="G161" s="44" t="s">
        <v>254</v>
      </c>
      <c r="H161" s="44" t="s">
        <v>661</v>
      </c>
      <c r="I161" s="44" t="s">
        <v>738</v>
      </c>
      <c r="J161" s="44" t="s">
        <v>739</v>
      </c>
      <c r="K161" s="44" t="s">
        <v>257</v>
      </c>
      <c r="L161" s="44" t="s">
        <v>661</v>
      </c>
      <c r="M161" s="44" t="s">
        <v>740</v>
      </c>
      <c r="N161" s="44" t="s">
        <v>741</v>
      </c>
      <c r="O161" s="44" t="s">
        <v>258</v>
      </c>
      <c r="P161" s="44" t="s">
        <v>661</v>
      </c>
      <c r="Q161" s="44" t="s">
        <v>742</v>
      </c>
      <c r="R161" s="46">
        <v>0.33</v>
      </c>
      <c r="S161" s="44">
        <v>1</v>
      </c>
      <c r="T161" s="44" t="s">
        <v>133</v>
      </c>
      <c r="U161" s="44" t="s">
        <v>169</v>
      </c>
      <c r="V161" s="44" t="s">
        <v>636</v>
      </c>
      <c r="W161" s="44" t="s">
        <v>715</v>
      </c>
      <c r="X161" s="44" t="s">
        <v>715</v>
      </c>
      <c r="Y161" s="44"/>
      <c r="Z161" s="44"/>
      <c r="AA161" s="44"/>
      <c r="AB161" s="44" t="s">
        <v>262</v>
      </c>
      <c r="AC161" s="44" t="s">
        <v>262</v>
      </c>
      <c r="AD161" s="44" t="s">
        <v>262</v>
      </c>
      <c r="AE161" s="44" t="s">
        <v>262</v>
      </c>
      <c r="AF161" s="44" t="s">
        <v>263</v>
      </c>
      <c r="AG161" s="44" t="s">
        <v>263</v>
      </c>
      <c r="AH161" s="44" t="s">
        <v>262</v>
      </c>
      <c r="AI161" s="44">
        <v>0.05</v>
      </c>
      <c r="AJ161" s="47" t="s">
        <v>263</v>
      </c>
    </row>
    <row r="162" spans="1:36" x14ac:dyDescent="0.45">
      <c r="A162" s="43">
        <v>122</v>
      </c>
      <c r="C162" s="44" t="s">
        <v>252</v>
      </c>
      <c r="D162" s="44" t="s">
        <v>84</v>
      </c>
      <c r="E162" s="45"/>
      <c r="F162" s="44" t="s">
        <v>738</v>
      </c>
      <c r="G162" s="44" t="s">
        <v>254</v>
      </c>
      <c r="H162" s="44" t="s">
        <v>673</v>
      </c>
      <c r="I162" s="44" t="s">
        <v>738</v>
      </c>
      <c r="J162" s="44" t="s">
        <v>739</v>
      </c>
      <c r="K162" s="44" t="s">
        <v>257</v>
      </c>
      <c r="L162" s="44" t="s">
        <v>673</v>
      </c>
      <c r="M162" s="44" t="s">
        <v>743</v>
      </c>
      <c r="N162" s="44" t="s">
        <v>741</v>
      </c>
      <c r="O162" s="44" t="s">
        <v>258</v>
      </c>
      <c r="P162" s="44" t="s">
        <v>673</v>
      </c>
      <c r="Q162" s="44" t="s">
        <v>744</v>
      </c>
      <c r="R162" s="46">
        <v>0.5</v>
      </c>
      <c r="S162" s="44">
        <v>1</v>
      </c>
      <c r="T162" s="44" t="s">
        <v>133</v>
      </c>
      <c r="U162" s="44" t="s">
        <v>169</v>
      </c>
      <c r="V162" s="44" t="s">
        <v>636</v>
      </c>
      <c r="W162" s="44" t="s">
        <v>715</v>
      </c>
      <c r="X162" s="44" t="s">
        <v>715</v>
      </c>
      <c r="Y162" s="44"/>
      <c r="Z162" s="44"/>
      <c r="AA162" s="44"/>
      <c r="AB162" s="44" t="s">
        <v>262</v>
      </c>
      <c r="AC162" s="44" t="s">
        <v>262</v>
      </c>
      <c r="AD162" s="44" t="s">
        <v>262</v>
      </c>
      <c r="AE162" s="44" t="s">
        <v>262</v>
      </c>
      <c r="AF162" s="44" t="s">
        <v>263</v>
      </c>
      <c r="AG162" s="44" t="s">
        <v>263</v>
      </c>
      <c r="AH162" s="44" t="s">
        <v>262</v>
      </c>
      <c r="AI162" s="44">
        <v>0.05</v>
      </c>
      <c r="AJ162" s="47" t="s">
        <v>263</v>
      </c>
    </row>
    <row r="163" spans="1:36" x14ac:dyDescent="0.45">
      <c r="A163" s="43">
        <v>122</v>
      </c>
      <c r="C163" s="44" t="s">
        <v>252</v>
      </c>
      <c r="D163" s="44" t="s">
        <v>84</v>
      </c>
      <c r="E163" s="45"/>
      <c r="F163" s="44" t="s">
        <v>738</v>
      </c>
      <c r="G163" s="44" t="s">
        <v>254</v>
      </c>
      <c r="H163" s="44" t="s">
        <v>387</v>
      </c>
      <c r="I163" s="44" t="s">
        <v>738</v>
      </c>
      <c r="J163" s="44" t="s">
        <v>739</v>
      </c>
      <c r="K163" s="44" t="s">
        <v>257</v>
      </c>
      <c r="L163" s="44" t="s">
        <v>387</v>
      </c>
      <c r="M163" s="44" t="s">
        <v>745</v>
      </c>
      <c r="N163" s="44" t="s">
        <v>741</v>
      </c>
      <c r="O163" s="44" t="s">
        <v>258</v>
      </c>
      <c r="P163" s="44" t="s">
        <v>387</v>
      </c>
      <c r="Q163" s="44" t="s">
        <v>746</v>
      </c>
      <c r="R163" s="46">
        <v>1</v>
      </c>
      <c r="S163" s="44">
        <v>1</v>
      </c>
      <c r="T163" s="44" t="s">
        <v>133</v>
      </c>
      <c r="U163" s="44" t="s">
        <v>169</v>
      </c>
      <c r="V163" s="44" t="s">
        <v>636</v>
      </c>
      <c r="W163" s="44" t="s">
        <v>715</v>
      </c>
      <c r="X163" s="44" t="s">
        <v>715</v>
      </c>
      <c r="Y163" s="44"/>
      <c r="Z163" s="44"/>
      <c r="AA163" s="44"/>
      <c r="AB163" s="44" t="s">
        <v>262</v>
      </c>
      <c r="AC163" s="44" t="s">
        <v>262</v>
      </c>
      <c r="AD163" s="44" t="s">
        <v>262</v>
      </c>
      <c r="AE163" s="44" t="s">
        <v>262</v>
      </c>
      <c r="AF163" s="44" t="s">
        <v>263</v>
      </c>
      <c r="AG163" s="44" t="s">
        <v>263</v>
      </c>
      <c r="AH163" s="44" t="s">
        <v>262</v>
      </c>
      <c r="AI163" s="44">
        <v>0.05</v>
      </c>
      <c r="AJ163" s="47" t="s">
        <v>263</v>
      </c>
    </row>
    <row r="164" spans="1:36" x14ac:dyDescent="0.45">
      <c r="A164" s="43">
        <v>122</v>
      </c>
      <c r="C164" s="44" t="s">
        <v>252</v>
      </c>
      <c r="D164" s="44" t="s">
        <v>84</v>
      </c>
      <c r="E164" s="45"/>
      <c r="F164" s="44" t="s">
        <v>738</v>
      </c>
      <c r="G164" s="44" t="s">
        <v>254</v>
      </c>
      <c r="H164" s="44" t="s">
        <v>722</v>
      </c>
      <c r="I164" s="44" t="s">
        <v>738</v>
      </c>
      <c r="J164" s="44" t="s">
        <v>739</v>
      </c>
      <c r="K164" s="44" t="s">
        <v>257</v>
      </c>
      <c r="L164" s="44" t="s">
        <v>722</v>
      </c>
      <c r="M164" s="44" t="s">
        <v>747</v>
      </c>
      <c r="N164" s="44" t="s">
        <v>741</v>
      </c>
      <c r="O164" s="44" t="s">
        <v>258</v>
      </c>
      <c r="P164" s="44" t="s">
        <v>722</v>
      </c>
      <c r="Q164" s="44" t="s">
        <v>748</v>
      </c>
      <c r="R164" s="46">
        <v>1.5</v>
      </c>
      <c r="S164" s="44">
        <v>1</v>
      </c>
      <c r="T164" s="44" t="s">
        <v>133</v>
      </c>
      <c r="U164" s="44" t="s">
        <v>169</v>
      </c>
      <c r="V164" s="44" t="s">
        <v>636</v>
      </c>
      <c r="W164" s="44" t="s">
        <v>715</v>
      </c>
      <c r="X164" s="44" t="s">
        <v>715</v>
      </c>
      <c r="Y164" s="44"/>
      <c r="Z164" s="44"/>
      <c r="AA164" s="44"/>
      <c r="AB164" s="44" t="s">
        <v>262</v>
      </c>
      <c r="AC164" s="44" t="s">
        <v>262</v>
      </c>
      <c r="AD164" s="44" t="s">
        <v>262</v>
      </c>
      <c r="AE164" s="44" t="s">
        <v>262</v>
      </c>
      <c r="AF164" s="44" t="s">
        <v>263</v>
      </c>
      <c r="AG164" s="44" t="s">
        <v>263</v>
      </c>
      <c r="AH164" s="44" t="s">
        <v>262</v>
      </c>
      <c r="AI164" s="44">
        <v>0.05</v>
      </c>
      <c r="AJ164" s="47" t="s">
        <v>263</v>
      </c>
    </row>
    <row r="165" spans="1:36" x14ac:dyDescent="0.45">
      <c r="A165" s="43">
        <v>123</v>
      </c>
      <c r="C165" s="44" t="s">
        <v>252</v>
      </c>
      <c r="D165" s="44" t="s">
        <v>84</v>
      </c>
      <c r="E165" s="45"/>
      <c r="F165" s="44" t="s">
        <v>797</v>
      </c>
      <c r="G165" s="44" t="s">
        <v>254</v>
      </c>
      <c r="H165" s="44" t="s">
        <v>273</v>
      </c>
      <c r="I165" s="44" t="s">
        <v>797</v>
      </c>
      <c r="J165" s="44" t="s">
        <v>1421</v>
      </c>
      <c r="K165" s="44" t="s">
        <v>257</v>
      </c>
      <c r="L165" s="44" t="s">
        <v>274</v>
      </c>
      <c r="M165" s="44" t="s">
        <v>1421</v>
      </c>
      <c r="N165" s="44" t="s">
        <v>1422</v>
      </c>
      <c r="O165" s="44" t="s">
        <v>258</v>
      </c>
      <c r="P165" s="44" t="s">
        <v>275</v>
      </c>
      <c r="Q165" s="44" t="s">
        <v>1422</v>
      </c>
      <c r="R165" s="46">
        <v>1</v>
      </c>
      <c r="S165" s="44">
        <v>1</v>
      </c>
      <c r="T165" s="44" t="s">
        <v>137</v>
      </c>
      <c r="U165" s="44" t="s">
        <v>169</v>
      </c>
      <c r="V165" s="44" t="s">
        <v>636</v>
      </c>
      <c r="W165" s="44" t="s">
        <v>681</v>
      </c>
      <c r="X165" s="44" t="s">
        <v>797</v>
      </c>
      <c r="Y165" s="44"/>
      <c r="Z165" s="44"/>
      <c r="AA165" s="44"/>
      <c r="AB165" s="44" t="s">
        <v>262</v>
      </c>
      <c r="AC165" s="44" t="s">
        <v>262</v>
      </c>
      <c r="AD165" s="44" t="s">
        <v>262</v>
      </c>
      <c r="AE165" s="44" t="s">
        <v>262</v>
      </c>
      <c r="AF165" s="44" t="s">
        <v>263</v>
      </c>
      <c r="AG165" s="44" t="s">
        <v>263</v>
      </c>
      <c r="AH165" s="44" t="s">
        <v>262</v>
      </c>
      <c r="AI165" s="44">
        <v>0</v>
      </c>
      <c r="AJ165" s="47" t="s">
        <v>263</v>
      </c>
    </row>
    <row r="166" spans="1:36" x14ac:dyDescent="0.45">
      <c r="A166" s="43">
        <v>124</v>
      </c>
      <c r="C166" s="44" t="s">
        <v>252</v>
      </c>
      <c r="D166" s="44" t="s">
        <v>84</v>
      </c>
      <c r="E166" s="45"/>
      <c r="F166" s="44" t="s">
        <v>836</v>
      </c>
      <c r="G166" s="44"/>
      <c r="H166" s="44" t="s">
        <v>273</v>
      </c>
      <c r="I166" s="44" t="s">
        <v>836</v>
      </c>
      <c r="J166" s="44" t="s">
        <v>837</v>
      </c>
      <c r="K166" s="44"/>
      <c r="L166" s="44" t="s">
        <v>274</v>
      </c>
      <c r="M166" s="44" t="s">
        <v>837</v>
      </c>
      <c r="N166" s="44" t="s">
        <v>838</v>
      </c>
      <c r="O166" s="44"/>
      <c r="P166" s="44" t="s">
        <v>275</v>
      </c>
      <c r="Q166" s="44" t="s">
        <v>838</v>
      </c>
      <c r="R166" s="46">
        <v>1</v>
      </c>
      <c r="S166" s="44">
        <v>1</v>
      </c>
      <c r="T166" s="44" t="s">
        <v>137</v>
      </c>
      <c r="U166" s="44" t="s">
        <v>169</v>
      </c>
      <c r="V166" s="44" t="s">
        <v>805</v>
      </c>
      <c r="W166" s="44" t="s">
        <v>806</v>
      </c>
      <c r="X166" s="44" t="s">
        <v>839</v>
      </c>
      <c r="Y166" s="44"/>
      <c r="Z166" s="44"/>
      <c r="AA166" s="44"/>
      <c r="AB166" s="44" t="s">
        <v>262</v>
      </c>
      <c r="AC166" s="44" t="s">
        <v>262</v>
      </c>
      <c r="AD166" s="44" t="s">
        <v>262</v>
      </c>
      <c r="AE166" s="44" t="s">
        <v>262</v>
      </c>
      <c r="AF166" s="44" t="s">
        <v>263</v>
      </c>
      <c r="AG166" s="44" t="s">
        <v>263</v>
      </c>
      <c r="AH166" s="44" t="s">
        <v>262</v>
      </c>
      <c r="AI166" s="44">
        <v>0.05</v>
      </c>
      <c r="AJ166" s="47" t="s">
        <v>263</v>
      </c>
    </row>
    <row r="167" spans="1:36" x14ac:dyDescent="0.45">
      <c r="A167" s="43">
        <v>125</v>
      </c>
      <c r="C167" s="44" t="s">
        <v>252</v>
      </c>
      <c r="D167" s="44" t="s">
        <v>84</v>
      </c>
      <c r="E167" s="45"/>
      <c r="F167" s="44" t="s">
        <v>840</v>
      </c>
      <c r="G167" s="44"/>
      <c r="H167" s="44" t="s">
        <v>273</v>
      </c>
      <c r="I167" s="44" t="s">
        <v>841</v>
      </c>
      <c r="J167" s="44" t="s">
        <v>842</v>
      </c>
      <c r="K167" s="44"/>
      <c r="L167" s="44" t="s">
        <v>274</v>
      </c>
      <c r="M167" s="44" t="s">
        <v>843</v>
      </c>
      <c r="N167" s="44" t="s">
        <v>844</v>
      </c>
      <c r="O167" s="44"/>
      <c r="P167" s="44" t="s">
        <v>275</v>
      </c>
      <c r="Q167" s="44" t="s">
        <v>845</v>
      </c>
      <c r="R167" s="46">
        <v>1</v>
      </c>
      <c r="S167" s="44">
        <v>1</v>
      </c>
      <c r="T167" s="44" t="s">
        <v>137</v>
      </c>
      <c r="U167" s="44" t="s">
        <v>169</v>
      </c>
      <c r="V167" s="44" t="s">
        <v>805</v>
      </c>
      <c r="W167" s="44" t="s">
        <v>806</v>
      </c>
      <c r="X167" s="44" t="s">
        <v>839</v>
      </c>
      <c r="Y167" s="44"/>
      <c r="Z167" s="44"/>
      <c r="AA167" s="44"/>
      <c r="AB167" s="44" t="s">
        <v>262</v>
      </c>
      <c r="AC167" s="44" t="s">
        <v>262</v>
      </c>
      <c r="AD167" s="44" t="s">
        <v>262</v>
      </c>
      <c r="AE167" s="44" t="s">
        <v>262</v>
      </c>
      <c r="AF167" s="44" t="s">
        <v>263</v>
      </c>
      <c r="AG167" s="44" t="s">
        <v>263</v>
      </c>
      <c r="AH167" s="44" t="s">
        <v>262</v>
      </c>
      <c r="AI167" s="44">
        <v>0.05</v>
      </c>
      <c r="AJ167" s="47" t="s">
        <v>263</v>
      </c>
    </row>
    <row r="168" spans="1:36" x14ac:dyDescent="0.45">
      <c r="A168" s="43">
        <v>126</v>
      </c>
      <c r="C168" s="44" t="s">
        <v>252</v>
      </c>
      <c r="D168" s="44" t="s">
        <v>84</v>
      </c>
      <c r="E168" s="45"/>
      <c r="F168" s="44" t="s">
        <v>840</v>
      </c>
      <c r="G168" s="44"/>
      <c r="H168" s="44" t="s">
        <v>846</v>
      </c>
      <c r="I168" s="44" t="s">
        <v>847</v>
      </c>
      <c r="J168" s="44" t="s">
        <v>842</v>
      </c>
      <c r="K168" s="44"/>
      <c r="L168" s="44" t="s">
        <v>848</v>
      </c>
      <c r="M168" s="44" t="s">
        <v>849</v>
      </c>
      <c r="N168" s="44" t="s">
        <v>844</v>
      </c>
      <c r="O168" s="44"/>
      <c r="P168" s="44" t="s">
        <v>848</v>
      </c>
      <c r="Q168" s="44" t="s">
        <v>850</v>
      </c>
      <c r="R168" s="46">
        <v>1</v>
      </c>
      <c r="S168" s="44">
        <v>1</v>
      </c>
      <c r="T168" s="44" t="s">
        <v>137</v>
      </c>
      <c r="U168" s="44" t="s">
        <v>169</v>
      </c>
      <c r="V168" s="44" t="s">
        <v>805</v>
      </c>
      <c r="W168" s="44" t="s">
        <v>806</v>
      </c>
      <c r="X168" s="44" t="s">
        <v>839</v>
      </c>
      <c r="Y168" s="44"/>
      <c r="Z168" s="44"/>
      <c r="AA168" s="44"/>
      <c r="AB168" s="44" t="s">
        <v>262</v>
      </c>
      <c r="AC168" s="44" t="s">
        <v>262</v>
      </c>
      <c r="AD168" s="44" t="s">
        <v>262</v>
      </c>
      <c r="AE168" s="44" t="s">
        <v>262</v>
      </c>
      <c r="AF168" s="44" t="s">
        <v>263</v>
      </c>
      <c r="AG168" s="44" t="s">
        <v>263</v>
      </c>
      <c r="AH168" s="44" t="s">
        <v>262</v>
      </c>
      <c r="AI168" s="44">
        <v>0.05</v>
      </c>
      <c r="AJ168" s="47" t="s">
        <v>263</v>
      </c>
    </row>
    <row r="169" spans="1:36" x14ac:dyDescent="0.45">
      <c r="A169" s="43">
        <v>127</v>
      </c>
      <c r="C169" s="44" t="s">
        <v>252</v>
      </c>
      <c r="D169" s="44" t="s">
        <v>84</v>
      </c>
      <c r="E169" s="45"/>
      <c r="F169" s="44" t="s">
        <v>840</v>
      </c>
      <c r="G169" s="44"/>
      <c r="H169" s="44" t="s">
        <v>851</v>
      </c>
      <c r="I169" s="44" t="s">
        <v>852</v>
      </c>
      <c r="J169" s="44" t="s">
        <v>842</v>
      </c>
      <c r="K169" s="44"/>
      <c r="L169" s="44" t="s">
        <v>853</v>
      </c>
      <c r="M169" s="44" t="s">
        <v>854</v>
      </c>
      <c r="N169" s="44" t="s">
        <v>844</v>
      </c>
      <c r="O169" s="44"/>
      <c r="P169" s="44" t="s">
        <v>853</v>
      </c>
      <c r="Q169" s="44" t="s">
        <v>855</v>
      </c>
      <c r="R169" s="46">
        <v>1</v>
      </c>
      <c r="S169" s="44">
        <v>1</v>
      </c>
      <c r="T169" s="44" t="s">
        <v>137</v>
      </c>
      <c r="U169" s="44" t="s">
        <v>169</v>
      </c>
      <c r="V169" s="44" t="s">
        <v>805</v>
      </c>
      <c r="W169" s="44" t="s">
        <v>806</v>
      </c>
      <c r="X169" s="44" t="s">
        <v>839</v>
      </c>
      <c r="Y169" s="44"/>
      <c r="Z169" s="44"/>
      <c r="AA169" s="44"/>
      <c r="AB169" s="44" t="s">
        <v>262</v>
      </c>
      <c r="AC169" s="44" t="s">
        <v>262</v>
      </c>
      <c r="AD169" s="44" t="s">
        <v>262</v>
      </c>
      <c r="AE169" s="44" t="s">
        <v>262</v>
      </c>
      <c r="AF169" s="44" t="s">
        <v>263</v>
      </c>
      <c r="AG169" s="44" t="s">
        <v>263</v>
      </c>
      <c r="AH169" s="44" t="s">
        <v>262</v>
      </c>
      <c r="AI169" s="44">
        <v>0.05</v>
      </c>
      <c r="AJ169" s="47" t="s">
        <v>263</v>
      </c>
    </row>
    <row r="170" spans="1:36" x14ac:dyDescent="0.45">
      <c r="A170" s="43">
        <v>128</v>
      </c>
      <c r="C170" s="44" t="s">
        <v>252</v>
      </c>
      <c r="D170" s="44" t="s">
        <v>84</v>
      </c>
      <c r="E170" s="45"/>
      <c r="F170" s="44" t="s">
        <v>840</v>
      </c>
      <c r="G170" s="44"/>
      <c r="H170" s="44" t="s">
        <v>856</v>
      </c>
      <c r="I170" s="44" t="s">
        <v>857</v>
      </c>
      <c r="J170" s="44" t="s">
        <v>842</v>
      </c>
      <c r="K170" s="44"/>
      <c r="L170" s="44" t="s">
        <v>858</v>
      </c>
      <c r="M170" s="44" t="s">
        <v>859</v>
      </c>
      <c r="N170" s="44" t="s">
        <v>844</v>
      </c>
      <c r="O170" s="44"/>
      <c r="P170" s="44" t="s">
        <v>858</v>
      </c>
      <c r="Q170" s="44" t="s">
        <v>860</v>
      </c>
      <c r="R170" s="46">
        <v>1</v>
      </c>
      <c r="S170" s="44">
        <v>1</v>
      </c>
      <c r="T170" s="44" t="s">
        <v>137</v>
      </c>
      <c r="U170" s="44" t="s">
        <v>169</v>
      </c>
      <c r="V170" s="44" t="s">
        <v>805</v>
      </c>
      <c r="W170" s="44" t="s">
        <v>806</v>
      </c>
      <c r="X170" s="44" t="s">
        <v>839</v>
      </c>
      <c r="Y170" s="44"/>
      <c r="Z170" s="44"/>
      <c r="AA170" s="44"/>
      <c r="AB170" s="44" t="s">
        <v>262</v>
      </c>
      <c r="AC170" s="44" t="s">
        <v>262</v>
      </c>
      <c r="AD170" s="44" t="s">
        <v>262</v>
      </c>
      <c r="AE170" s="44" t="s">
        <v>262</v>
      </c>
      <c r="AF170" s="44" t="s">
        <v>263</v>
      </c>
      <c r="AG170" s="44" t="s">
        <v>263</v>
      </c>
      <c r="AH170" s="44" t="s">
        <v>262</v>
      </c>
      <c r="AI170" s="44">
        <v>0.05</v>
      </c>
      <c r="AJ170" s="47" t="s">
        <v>263</v>
      </c>
    </row>
    <row r="171" spans="1:36" x14ac:dyDescent="0.45">
      <c r="A171" s="43">
        <v>129</v>
      </c>
      <c r="C171" s="44" t="s">
        <v>252</v>
      </c>
      <c r="D171" s="44" t="s">
        <v>84</v>
      </c>
      <c r="E171" s="45"/>
      <c r="F171" s="44" t="s">
        <v>798</v>
      </c>
      <c r="G171" s="44"/>
      <c r="H171" s="44" t="s">
        <v>799</v>
      </c>
      <c r="I171" s="44" t="s">
        <v>800</v>
      </c>
      <c r="J171" s="44" t="s">
        <v>801</v>
      </c>
      <c r="K171" s="44"/>
      <c r="L171" s="44" t="s">
        <v>799</v>
      </c>
      <c r="M171" s="44" t="s">
        <v>802</v>
      </c>
      <c r="N171" s="44" t="s">
        <v>803</v>
      </c>
      <c r="O171" s="44"/>
      <c r="P171" s="44" t="s">
        <v>799</v>
      </c>
      <c r="Q171" s="44" t="s">
        <v>804</v>
      </c>
      <c r="R171" s="46">
        <v>10.5</v>
      </c>
      <c r="S171" s="44">
        <v>1</v>
      </c>
      <c r="T171" s="44" t="s">
        <v>131</v>
      </c>
      <c r="U171" s="44" t="s">
        <v>169</v>
      </c>
      <c r="V171" s="44" t="s">
        <v>805</v>
      </c>
      <c r="W171" s="44" t="s">
        <v>806</v>
      </c>
      <c r="X171" s="44" t="s">
        <v>806</v>
      </c>
      <c r="Y171" s="44"/>
      <c r="Z171" s="44"/>
      <c r="AA171" s="44"/>
      <c r="AB171" s="44" t="s">
        <v>262</v>
      </c>
      <c r="AC171" s="44" t="s">
        <v>262</v>
      </c>
      <c r="AD171" s="44" t="s">
        <v>262</v>
      </c>
      <c r="AE171" s="44" t="s">
        <v>262</v>
      </c>
      <c r="AF171" s="44" t="s">
        <v>263</v>
      </c>
      <c r="AG171" s="44" t="s">
        <v>262</v>
      </c>
      <c r="AH171" s="44" t="s">
        <v>262</v>
      </c>
      <c r="AI171" s="44">
        <v>0.05</v>
      </c>
      <c r="AJ171" s="47" t="s">
        <v>263</v>
      </c>
    </row>
    <row r="172" spans="1:36" x14ac:dyDescent="0.45">
      <c r="A172" s="43">
        <v>130</v>
      </c>
      <c r="C172" s="44" t="s">
        <v>252</v>
      </c>
      <c r="D172" s="44" t="s">
        <v>84</v>
      </c>
      <c r="E172" s="45"/>
      <c r="F172" s="44" t="s">
        <v>798</v>
      </c>
      <c r="G172" s="44"/>
      <c r="H172" s="44" t="s">
        <v>807</v>
      </c>
      <c r="I172" s="44" t="s">
        <v>808</v>
      </c>
      <c r="J172" s="44" t="s">
        <v>801</v>
      </c>
      <c r="K172" s="44"/>
      <c r="L172" s="44" t="s">
        <v>807</v>
      </c>
      <c r="M172" s="44" t="s">
        <v>809</v>
      </c>
      <c r="N172" s="44" t="s">
        <v>803</v>
      </c>
      <c r="O172" s="44"/>
      <c r="P172" s="44" t="s">
        <v>807</v>
      </c>
      <c r="Q172" s="44" t="s">
        <v>810</v>
      </c>
      <c r="R172" s="46">
        <v>5</v>
      </c>
      <c r="S172" s="44">
        <v>1</v>
      </c>
      <c r="T172" s="44" t="s">
        <v>131</v>
      </c>
      <c r="U172" s="44" t="s">
        <v>169</v>
      </c>
      <c r="V172" s="44" t="s">
        <v>805</v>
      </c>
      <c r="W172" s="44" t="s">
        <v>806</v>
      </c>
      <c r="X172" s="44" t="s">
        <v>806</v>
      </c>
      <c r="Y172" s="44"/>
      <c r="Z172" s="44"/>
      <c r="AA172" s="44"/>
      <c r="AB172" s="44" t="s">
        <v>262</v>
      </c>
      <c r="AC172" s="44" t="s">
        <v>262</v>
      </c>
      <c r="AD172" s="44" t="s">
        <v>262</v>
      </c>
      <c r="AE172" s="44" t="s">
        <v>262</v>
      </c>
      <c r="AF172" s="44" t="s">
        <v>263</v>
      </c>
      <c r="AG172" s="44" t="s">
        <v>262</v>
      </c>
      <c r="AH172" s="44" t="s">
        <v>262</v>
      </c>
      <c r="AI172" s="44">
        <v>0.05</v>
      </c>
      <c r="AJ172" s="47" t="s">
        <v>263</v>
      </c>
    </row>
    <row r="173" spans="1:36" x14ac:dyDescent="0.45">
      <c r="A173" s="43">
        <v>131</v>
      </c>
      <c r="C173" s="44" t="s">
        <v>252</v>
      </c>
      <c r="D173" s="44" t="s">
        <v>84</v>
      </c>
      <c r="E173" s="45"/>
      <c r="F173" s="44" t="s">
        <v>798</v>
      </c>
      <c r="G173" s="44"/>
      <c r="H173" s="44" t="s">
        <v>811</v>
      </c>
      <c r="I173" s="44" t="s">
        <v>812</v>
      </c>
      <c r="J173" s="44" t="s">
        <v>801</v>
      </c>
      <c r="K173" s="44"/>
      <c r="L173" s="44" t="s">
        <v>811</v>
      </c>
      <c r="M173" s="44" t="s">
        <v>813</v>
      </c>
      <c r="N173" s="44" t="s">
        <v>803</v>
      </c>
      <c r="O173" s="44"/>
      <c r="P173" s="44" t="s">
        <v>811</v>
      </c>
      <c r="Q173" s="44" t="s">
        <v>814</v>
      </c>
      <c r="R173" s="46">
        <v>33</v>
      </c>
      <c r="S173" s="44">
        <v>1</v>
      </c>
      <c r="T173" s="44" t="s">
        <v>131</v>
      </c>
      <c r="U173" s="44" t="s">
        <v>169</v>
      </c>
      <c r="V173" s="44" t="s">
        <v>805</v>
      </c>
      <c r="W173" s="44" t="s">
        <v>806</v>
      </c>
      <c r="X173" s="44" t="s">
        <v>806</v>
      </c>
      <c r="Y173" s="44"/>
      <c r="Z173" s="44"/>
      <c r="AA173" s="44"/>
      <c r="AB173" s="44" t="s">
        <v>262</v>
      </c>
      <c r="AC173" s="44" t="s">
        <v>262</v>
      </c>
      <c r="AD173" s="44" t="s">
        <v>262</v>
      </c>
      <c r="AE173" s="44" t="s">
        <v>262</v>
      </c>
      <c r="AF173" s="44" t="s">
        <v>263</v>
      </c>
      <c r="AG173" s="44" t="s">
        <v>262</v>
      </c>
      <c r="AH173" s="44" t="s">
        <v>262</v>
      </c>
      <c r="AI173" s="44">
        <v>0.05</v>
      </c>
      <c r="AJ173" s="47" t="s">
        <v>263</v>
      </c>
    </row>
    <row r="174" spans="1:36" x14ac:dyDescent="0.45">
      <c r="A174" s="43">
        <v>132</v>
      </c>
      <c r="C174" s="44" t="s">
        <v>252</v>
      </c>
      <c r="D174" s="44" t="s">
        <v>84</v>
      </c>
      <c r="E174" s="45"/>
      <c r="F174" s="44" t="s">
        <v>798</v>
      </c>
      <c r="G174" s="44"/>
      <c r="H174" s="44" t="s">
        <v>815</v>
      </c>
      <c r="I174" s="44" t="s">
        <v>816</v>
      </c>
      <c r="J174" s="44" t="s">
        <v>801</v>
      </c>
      <c r="K174" s="44"/>
      <c r="L174" s="44" t="s">
        <v>815</v>
      </c>
      <c r="M174" s="44" t="s">
        <v>817</v>
      </c>
      <c r="N174" s="44" t="s">
        <v>803</v>
      </c>
      <c r="O174" s="44"/>
      <c r="P174" s="44" t="s">
        <v>815</v>
      </c>
      <c r="Q174" s="44" t="s">
        <v>818</v>
      </c>
      <c r="R174" s="46">
        <v>35</v>
      </c>
      <c r="S174" s="44">
        <v>1</v>
      </c>
      <c r="T174" s="44" t="s">
        <v>131</v>
      </c>
      <c r="U174" s="44" t="s">
        <v>169</v>
      </c>
      <c r="V174" s="44" t="s">
        <v>805</v>
      </c>
      <c r="W174" s="44" t="s">
        <v>806</v>
      </c>
      <c r="X174" s="44" t="s">
        <v>806</v>
      </c>
      <c r="Y174" s="44"/>
      <c r="Z174" s="44"/>
      <c r="AA174" s="44"/>
      <c r="AB174" s="44" t="s">
        <v>262</v>
      </c>
      <c r="AC174" s="44" t="s">
        <v>262</v>
      </c>
      <c r="AD174" s="44" t="s">
        <v>262</v>
      </c>
      <c r="AE174" s="44" t="s">
        <v>262</v>
      </c>
      <c r="AF174" s="44" t="s">
        <v>263</v>
      </c>
      <c r="AG174" s="44" t="s">
        <v>262</v>
      </c>
      <c r="AH174" s="44" t="s">
        <v>262</v>
      </c>
      <c r="AI174" s="44">
        <v>0.05</v>
      </c>
      <c r="AJ174" s="47" t="s">
        <v>263</v>
      </c>
    </row>
    <row r="175" spans="1:36" x14ac:dyDescent="0.45">
      <c r="A175" s="43">
        <v>133</v>
      </c>
      <c r="C175" s="44" t="s">
        <v>252</v>
      </c>
      <c r="D175" s="44" t="s">
        <v>84</v>
      </c>
      <c r="E175" s="45"/>
      <c r="F175" s="44" t="s">
        <v>798</v>
      </c>
      <c r="G175" s="44"/>
      <c r="H175" s="44" t="s">
        <v>819</v>
      </c>
      <c r="I175" s="44" t="s">
        <v>820</v>
      </c>
      <c r="J175" s="44" t="s">
        <v>801</v>
      </c>
      <c r="K175" s="44"/>
      <c r="L175" s="44" t="s">
        <v>819</v>
      </c>
      <c r="M175" s="44" t="s">
        <v>821</v>
      </c>
      <c r="N175" s="44" t="s">
        <v>803</v>
      </c>
      <c r="O175" s="44"/>
      <c r="P175" s="44" t="s">
        <v>819</v>
      </c>
      <c r="Q175" s="44" t="s">
        <v>822</v>
      </c>
      <c r="R175" s="46">
        <v>7.5</v>
      </c>
      <c r="S175" s="44">
        <v>1</v>
      </c>
      <c r="T175" s="44" t="s">
        <v>131</v>
      </c>
      <c r="U175" s="44" t="s">
        <v>169</v>
      </c>
      <c r="V175" s="44" t="s">
        <v>805</v>
      </c>
      <c r="W175" s="44" t="s">
        <v>806</v>
      </c>
      <c r="X175" s="44" t="s">
        <v>806</v>
      </c>
      <c r="Y175" s="44"/>
      <c r="Z175" s="44"/>
      <c r="AA175" s="44"/>
      <c r="AB175" s="44" t="s">
        <v>262</v>
      </c>
      <c r="AC175" s="44" t="s">
        <v>262</v>
      </c>
      <c r="AD175" s="44" t="s">
        <v>262</v>
      </c>
      <c r="AE175" s="44" t="s">
        <v>262</v>
      </c>
      <c r="AF175" s="44" t="s">
        <v>263</v>
      </c>
      <c r="AG175" s="44" t="s">
        <v>262</v>
      </c>
      <c r="AH175" s="44" t="s">
        <v>262</v>
      </c>
      <c r="AI175" s="44">
        <v>0.05</v>
      </c>
      <c r="AJ175" s="47" t="s">
        <v>263</v>
      </c>
    </row>
    <row r="176" spans="1:36" x14ac:dyDescent="0.45">
      <c r="A176" s="43">
        <v>134</v>
      </c>
      <c r="C176" s="44" t="s">
        <v>252</v>
      </c>
      <c r="D176" s="44" t="s">
        <v>84</v>
      </c>
      <c r="E176" s="45"/>
      <c r="F176" s="44" t="s">
        <v>861</v>
      </c>
      <c r="G176" s="44"/>
      <c r="H176" s="44" t="s">
        <v>273</v>
      </c>
      <c r="I176" s="44" t="s">
        <v>861</v>
      </c>
      <c r="J176" s="44" t="s">
        <v>862</v>
      </c>
      <c r="K176" s="44"/>
      <c r="L176" s="44" t="s">
        <v>274</v>
      </c>
      <c r="M176" s="44" t="s">
        <v>862</v>
      </c>
      <c r="N176" s="44" t="s">
        <v>863</v>
      </c>
      <c r="O176" s="44"/>
      <c r="P176" s="44" t="s">
        <v>275</v>
      </c>
      <c r="Q176" s="44" t="s">
        <v>863</v>
      </c>
      <c r="R176" s="46">
        <v>1</v>
      </c>
      <c r="S176" s="44">
        <v>1</v>
      </c>
      <c r="T176" s="44" t="s">
        <v>137</v>
      </c>
      <c r="U176" s="44" t="s">
        <v>169</v>
      </c>
      <c r="V176" s="44" t="s">
        <v>805</v>
      </c>
      <c r="W176" s="44" t="s">
        <v>806</v>
      </c>
      <c r="X176" s="44" t="s">
        <v>839</v>
      </c>
      <c r="Y176" s="44"/>
      <c r="Z176" s="44"/>
      <c r="AA176" s="44"/>
      <c r="AB176" s="44" t="s">
        <v>262</v>
      </c>
      <c r="AC176" s="44" t="s">
        <v>262</v>
      </c>
      <c r="AD176" s="44" t="s">
        <v>262</v>
      </c>
      <c r="AE176" s="44" t="s">
        <v>262</v>
      </c>
      <c r="AF176" s="44" t="s">
        <v>263</v>
      </c>
      <c r="AG176" s="44" t="s">
        <v>263</v>
      </c>
      <c r="AH176" s="44" t="s">
        <v>262</v>
      </c>
      <c r="AI176" s="44">
        <v>0.05</v>
      </c>
      <c r="AJ176" s="47" t="s">
        <v>263</v>
      </c>
    </row>
    <row r="177" spans="1:36" x14ac:dyDescent="0.45">
      <c r="A177" s="43">
        <v>135</v>
      </c>
      <c r="C177" s="44" t="s">
        <v>252</v>
      </c>
      <c r="D177" s="44" t="s">
        <v>84</v>
      </c>
      <c r="E177" s="45"/>
      <c r="F177" s="44" t="s">
        <v>1424</v>
      </c>
      <c r="G177" s="44"/>
      <c r="H177" s="44" t="s">
        <v>864</v>
      </c>
      <c r="I177" s="44" t="s">
        <v>865</v>
      </c>
      <c r="J177" s="44" t="s">
        <v>866</v>
      </c>
      <c r="K177" s="44"/>
      <c r="L177" s="44" t="s">
        <v>867</v>
      </c>
      <c r="M177" s="44" t="s">
        <v>868</v>
      </c>
      <c r="N177" s="44" t="s">
        <v>869</v>
      </c>
      <c r="O177" s="44"/>
      <c r="P177" s="44" t="s">
        <v>867</v>
      </c>
      <c r="Q177" s="44" t="s">
        <v>870</v>
      </c>
      <c r="R177" s="46">
        <v>1</v>
      </c>
      <c r="S177" s="44">
        <v>1</v>
      </c>
      <c r="T177" s="44" t="s">
        <v>137</v>
      </c>
      <c r="U177" s="44" t="s">
        <v>169</v>
      </c>
      <c r="V177" s="44" t="s">
        <v>805</v>
      </c>
      <c r="W177" s="44" t="s">
        <v>806</v>
      </c>
      <c r="X177" s="44" t="s">
        <v>839</v>
      </c>
      <c r="Y177" s="44"/>
      <c r="Z177" s="44"/>
      <c r="AA177" s="44"/>
      <c r="AB177" s="44" t="s">
        <v>262</v>
      </c>
      <c r="AC177" s="44" t="s">
        <v>262</v>
      </c>
      <c r="AD177" s="44" t="s">
        <v>262</v>
      </c>
      <c r="AE177" s="44" t="s">
        <v>262</v>
      </c>
      <c r="AF177" s="44" t="s">
        <v>263</v>
      </c>
      <c r="AG177" s="44" t="s">
        <v>263</v>
      </c>
      <c r="AH177" s="44" t="s">
        <v>262</v>
      </c>
      <c r="AI177" s="44">
        <v>0.05</v>
      </c>
      <c r="AJ177" s="47" t="s">
        <v>263</v>
      </c>
    </row>
    <row r="178" spans="1:36" x14ac:dyDescent="0.45">
      <c r="A178" s="43">
        <v>136</v>
      </c>
      <c r="C178" s="44" t="s">
        <v>252</v>
      </c>
      <c r="D178" s="44" t="s">
        <v>84</v>
      </c>
      <c r="E178" s="45"/>
      <c r="F178" s="44" t="s">
        <v>1424</v>
      </c>
      <c r="G178" s="44"/>
      <c r="H178" s="44" t="s">
        <v>871</v>
      </c>
      <c r="I178" s="44" t="s">
        <v>872</v>
      </c>
      <c r="J178" s="44" t="s">
        <v>866</v>
      </c>
      <c r="K178" s="44"/>
      <c r="L178" s="44" t="s">
        <v>873</v>
      </c>
      <c r="M178" s="44" t="s">
        <v>874</v>
      </c>
      <c r="N178" s="44" t="s">
        <v>869</v>
      </c>
      <c r="O178" s="44"/>
      <c r="P178" s="44" t="s">
        <v>873</v>
      </c>
      <c r="Q178" s="44" t="s">
        <v>875</v>
      </c>
      <c r="R178" s="46">
        <v>1</v>
      </c>
      <c r="S178" s="44">
        <v>1</v>
      </c>
      <c r="T178" s="44" t="s">
        <v>137</v>
      </c>
      <c r="U178" s="44" t="s">
        <v>169</v>
      </c>
      <c r="V178" s="44" t="s">
        <v>805</v>
      </c>
      <c r="W178" s="44" t="s">
        <v>806</v>
      </c>
      <c r="X178" s="44" t="s">
        <v>839</v>
      </c>
      <c r="Y178" s="44"/>
      <c r="Z178" s="44"/>
      <c r="AA178" s="44"/>
      <c r="AB178" s="44" t="s">
        <v>262</v>
      </c>
      <c r="AC178" s="44" t="s">
        <v>262</v>
      </c>
      <c r="AD178" s="44" t="s">
        <v>262</v>
      </c>
      <c r="AE178" s="44" t="s">
        <v>262</v>
      </c>
      <c r="AF178" s="44" t="s">
        <v>263</v>
      </c>
      <c r="AG178" s="44" t="s">
        <v>263</v>
      </c>
      <c r="AH178" s="44" t="s">
        <v>262</v>
      </c>
      <c r="AI178" s="44">
        <v>0.05</v>
      </c>
      <c r="AJ178" s="47" t="s">
        <v>263</v>
      </c>
    </row>
    <row r="179" spans="1:36" x14ac:dyDescent="0.45">
      <c r="A179" s="43">
        <v>137</v>
      </c>
      <c r="C179" s="44" t="s">
        <v>252</v>
      </c>
      <c r="D179" s="44" t="s">
        <v>84</v>
      </c>
      <c r="E179" s="45"/>
      <c r="F179" s="44" t="s">
        <v>1424</v>
      </c>
      <c r="G179" s="44"/>
      <c r="H179" s="44" t="s">
        <v>876</v>
      </c>
      <c r="I179" s="44" t="s">
        <v>877</v>
      </c>
      <c r="J179" s="44" t="s">
        <v>866</v>
      </c>
      <c r="K179" s="44"/>
      <c r="L179" s="44" t="s">
        <v>878</v>
      </c>
      <c r="M179" s="44" t="s">
        <v>879</v>
      </c>
      <c r="N179" s="44" t="s">
        <v>869</v>
      </c>
      <c r="O179" s="44"/>
      <c r="P179" s="44" t="s">
        <v>878</v>
      </c>
      <c r="Q179" s="44" t="s">
        <v>880</v>
      </c>
      <c r="R179" s="46">
        <v>1</v>
      </c>
      <c r="S179" s="44">
        <v>1</v>
      </c>
      <c r="T179" s="44" t="s">
        <v>137</v>
      </c>
      <c r="U179" s="44" t="s">
        <v>169</v>
      </c>
      <c r="V179" s="44" t="s">
        <v>805</v>
      </c>
      <c r="W179" s="44" t="s">
        <v>806</v>
      </c>
      <c r="X179" s="44" t="s">
        <v>839</v>
      </c>
      <c r="Y179" s="44"/>
      <c r="Z179" s="44"/>
      <c r="AA179" s="44"/>
      <c r="AB179" s="44" t="s">
        <v>262</v>
      </c>
      <c r="AC179" s="44" t="s">
        <v>262</v>
      </c>
      <c r="AD179" s="44" t="s">
        <v>262</v>
      </c>
      <c r="AE179" s="44" t="s">
        <v>262</v>
      </c>
      <c r="AF179" s="44" t="s">
        <v>263</v>
      </c>
      <c r="AG179" s="44" t="s">
        <v>263</v>
      </c>
      <c r="AH179" s="44" t="s">
        <v>262</v>
      </c>
      <c r="AI179" s="44">
        <v>0.05</v>
      </c>
      <c r="AJ179" s="47" t="s">
        <v>263</v>
      </c>
    </row>
    <row r="180" spans="1:36" x14ac:dyDescent="0.45">
      <c r="A180" s="43">
        <v>138</v>
      </c>
      <c r="C180" s="44" t="s">
        <v>252</v>
      </c>
      <c r="D180" s="44" t="s">
        <v>84</v>
      </c>
      <c r="E180" s="45"/>
      <c r="F180" s="44" t="s">
        <v>1424</v>
      </c>
      <c r="G180" s="44"/>
      <c r="H180" s="44" t="s">
        <v>881</v>
      </c>
      <c r="I180" s="44" t="s">
        <v>882</v>
      </c>
      <c r="J180" s="44" t="s">
        <v>866</v>
      </c>
      <c r="K180" s="44"/>
      <c r="L180" s="44" t="s">
        <v>883</v>
      </c>
      <c r="M180" s="44" t="s">
        <v>884</v>
      </c>
      <c r="N180" s="44" t="s">
        <v>869</v>
      </c>
      <c r="O180" s="44"/>
      <c r="P180" s="44" t="s">
        <v>883</v>
      </c>
      <c r="Q180" s="44" t="s">
        <v>885</v>
      </c>
      <c r="R180" s="46">
        <v>1</v>
      </c>
      <c r="S180" s="44">
        <v>1</v>
      </c>
      <c r="T180" s="44" t="s">
        <v>137</v>
      </c>
      <c r="U180" s="44" t="s">
        <v>169</v>
      </c>
      <c r="V180" s="44" t="s">
        <v>805</v>
      </c>
      <c r="W180" s="44" t="s">
        <v>806</v>
      </c>
      <c r="X180" s="44" t="s">
        <v>839</v>
      </c>
      <c r="Y180" s="44"/>
      <c r="Z180" s="44"/>
      <c r="AA180" s="44"/>
      <c r="AB180" s="44" t="s">
        <v>262</v>
      </c>
      <c r="AC180" s="44" t="s">
        <v>262</v>
      </c>
      <c r="AD180" s="44" t="s">
        <v>262</v>
      </c>
      <c r="AE180" s="44" t="s">
        <v>262</v>
      </c>
      <c r="AF180" s="44" t="s">
        <v>263</v>
      </c>
      <c r="AG180" s="44" t="s">
        <v>263</v>
      </c>
      <c r="AH180" s="44" t="s">
        <v>262</v>
      </c>
      <c r="AI180" s="44">
        <v>0.05</v>
      </c>
      <c r="AJ180" s="47" t="s">
        <v>263</v>
      </c>
    </row>
    <row r="181" spans="1:36" x14ac:dyDescent="0.45">
      <c r="A181" s="43">
        <v>139</v>
      </c>
      <c r="C181" s="44" t="s">
        <v>252</v>
      </c>
      <c r="D181" s="44" t="s">
        <v>84</v>
      </c>
      <c r="E181" s="45"/>
      <c r="F181" s="44" t="s">
        <v>823</v>
      </c>
      <c r="G181" s="44"/>
      <c r="H181" s="44" t="s">
        <v>273</v>
      </c>
      <c r="I181" s="44" t="s">
        <v>823</v>
      </c>
      <c r="J181" s="44" t="s">
        <v>824</v>
      </c>
      <c r="K181" s="44"/>
      <c r="L181" s="44" t="s">
        <v>274</v>
      </c>
      <c r="M181" s="44" t="s">
        <v>824</v>
      </c>
      <c r="N181" s="44" t="s">
        <v>825</v>
      </c>
      <c r="O181" s="44"/>
      <c r="P181" s="44" t="s">
        <v>275</v>
      </c>
      <c r="Q181" s="44" t="s">
        <v>825</v>
      </c>
      <c r="R181" s="46">
        <v>1</v>
      </c>
      <c r="S181" s="44">
        <v>1</v>
      </c>
      <c r="T181" s="44" t="s">
        <v>137</v>
      </c>
      <c r="U181" s="44" t="s">
        <v>169</v>
      </c>
      <c r="V181" s="44" t="s">
        <v>805</v>
      </c>
      <c r="W181" s="44" t="s">
        <v>806</v>
      </c>
      <c r="X181" s="44" t="s">
        <v>806</v>
      </c>
      <c r="Y181" s="44"/>
      <c r="Z181" s="44"/>
      <c r="AA181" s="44"/>
      <c r="AB181" s="44" t="s">
        <v>262</v>
      </c>
      <c r="AC181" s="44" t="s">
        <v>262</v>
      </c>
      <c r="AD181" s="44" t="s">
        <v>262</v>
      </c>
      <c r="AE181" s="44" t="s">
        <v>262</v>
      </c>
      <c r="AF181" s="44" t="s">
        <v>263</v>
      </c>
      <c r="AG181" s="44" t="s">
        <v>262</v>
      </c>
      <c r="AH181" s="44" t="s">
        <v>262</v>
      </c>
      <c r="AI181" s="44">
        <v>0.05</v>
      </c>
      <c r="AJ181" s="47" t="s">
        <v>263</v>
      </c>
    </row>
    <row r="182" spans="1:36" x14ac:dyDescent="0.45">
      <c r="A182" s="43">
        <v>140</v>
      </c>
      <c r="C182" s="44" t="s">
        <v>252</v>
      </c>
      <c r="D182" s="44" t="s">
        <v>84</v>
      </c>
      <c r="E182" s="45"/>
      <c r="F182" s="44" t="s">
        <v>826</v>
      </c>
      <c r="G182" s="44"/>
      <c r="H182" s="44" t="s">
        <v>273</v>
      </c>
      <c r="I182" s="44" t="s">
        <v>826</v>
      </c>
      <c r="J182" s="44" t="s">
        <v>827</v>
      </c>
      <c r="K182" s="44"/>
      <c r="L182" s="44" t="s">
        <v>274</v>
      </c>
      <c r="M182" s="44" t="s">
        <v>827</v>
      </c>
      <c r="N182" s="44" t="s">
        <v>828</v>
      </c>
      <c r="O182" s="44"/>
      <c r="P182" s="44" t="s">
        <v>275</v>
      </c>
      <c r="Q182" s="44" t="s">
        <v>828</v>
      </c>
      <c r="R182" s="46">
        <v>1</v>
      </c>
      <c r="S182" s="44">
        <v>1</v>
      </c>
      <c r="T182" s="44" t="s">
        <v>137</v>
      </c>
      <c r="U182" s="44" t="s">
        <v>169</v>
      </c>
      <c r="V182" s="44" t="s">
        <v>805</v>
      </c>
      <c r="W182" s="44" t="s">
        <v>806</v>
      </c>
      <c r="X182" s="44" t="s">
        <v>806</v>
      </c>
      <c r="Y182" s="44"/>
      <c r="Z182" s="44"/>
      <c r="AA182" s="44"/>
      <c r="AB182" s="44" t="s">
        <v>262</v>
      </c>
      <c r="AC182" s="44" t="s">
        <v>262</v>
      </c>
      <c r="AD182" s="44" t="s">
        <v>262</v>
      </c>
      <c r="AE182" s="44" t="s">
        <v>262</v>
      </c>
      <c r="AF182" s="44" t="s">
        <v>263</v>
      </c>
      <c r="AG182" s="44" t="s">
        <v>262</v>
      </c>
      <c r="AH182" s="44" t="s">
        <v>262</v>
      </c>
      <c r="AI182" s="44">
        <v>0.05</v>
      </c>
      <c r="AJ182" s="47" t="s">
        <v>263</v>
      </c>
    </row>
    <row r="183" spans="1:36" x14ac:dyDescent="0.45">
      <c r="A183" s="43">
        <v>141</v>
      </c>
      <c r="C183" s="44" t="s">
        <v>252</v>
      </c>
      <c r="D183" s="44" t="s">
        <v>84</v>
      </c>
      <c r="E183" s="45"/>
      <c r="F183" s="44" t="s">
        <v>829</v>
      </c>
      <c r="G183" s="44"/>
      <c r="H183" s="44" t="s">
        <v>273</v>
      </c>
      <c r="I183" s="44" t="s">
        <v>829</v>
      </c>
      <c r="J183" s="44" t="s">
        <v>1423</v>
      </c>
      <c r="K183" s="44"/>
      <c r="L183" s="44" t="s">
        <v>274</v>
      </c>
      <c r="M183" s="44" t="s">
        <v>1423</v>
      </c>
      <c r="N183" s="44" t="s">
        <v>830</v>
      </c>
      <c r="O183" s="44"/>
      <c r="P183" s="44" t="s">
        <v>275</v>
      </c>
      <c r="Q183" s="44" t="s">
        <v>830</v>
      </c>
      <c r="R183" s="46">
        <v>1</v>
      </c>
      <c r="S183" s="44">
        <v>1</v>
      </c>
      <c r="T183" s="44" t="s">
        <v>137</v>
      </c>
      <c r="U183" s="44" t="s">
        <v>169</v>
      </c>
      <c r="V183" s="44" t="s">
        <v>805</v>
      </c>
      <c r="W183" s="44" t="s">
        <v>806</v>
      </c>
      <c r="X183" s="44" t="s">
        <v>806</v>
      </c>
      <c r="Y183" s="44"/>
      <c r="Z183" s="44"/>
      <c r="AA183" s="44"/>
      <c r="AB183" s="44" t="s">
        <v>262</v>
      </c>
      <c r="AC183" s="44" t="s">
        <v>262</v>
      </c>
      <c r="AD183" s="44" t="s">
        <v>262</v>
      </c>
      <c r="AE183" s="44" t="s">
        <v>262</v>
      </c>
      <c r="AF183" s="44" t="s">
        <v>263</v>
      </c>
      <c r="AG183" s="44" t="s">
        <v>262</v>
      </c>
      <c r="AH183" s="44" t="s">
        <v>262</v>
      </c>
      <c r="AI183" s="44">
        <v>0.05</v>
      </c>
      <c r="AJ183" s="47" t="s">
        <v>263</v>
      </c>
    </row>
    <row r="184" spans="1:36" x14ac:dyDescent="0.45">
      <c r="A184" s="43">
        <v>142</v>
      </c>
      <c r="C184" s="44" t="s">
        <v>252</v>
      </c>
      <c r="D184" s="44" t="s">
        <v>84</v>
      </c>
      <c r="E184" s="45"/>
      <c r="F184" s="44" t="s">
        <v>831</v>
      </c>
      <c r="G184" s="44"/>
      <c r="H184" s="44" t="s">
        <v>273</v>
      </c>
      <c r="I184" s="44" t="s">
        <v>831</v>
      </c>
      <c r="J184" s="44" t="s">
        <v>831</v>
      </c>
      <c r="K184" s="44"/>
      <c r="L184" s="44" t="s">
        <v>274</v>
      </c>
      <c r="M184" s="44" t="s">
        <v>831</v>
      </c>
      <c r="N184" s="44" t="s">
        <v>832</v>
      </c>
      <c r="O184" s="44"/>
      <c r="P184" s="44" t="s">
        <v>275</v>
      </c>
      <c r="Q184" s="44" t="s">
        <v>832</v>
      </c>
      <c r="R184" s="46">
        <v>1</v>
      </c>
      <c r="S184" s="44">
        <v>1</v>
      </c>
      <c r="T184" s="44" t="s">
        <v>137</v>
      </c>
      <c r="U184" s="44" t="s">
        <v>169</v>
      </c>
      <c r="V184" s="44" t="s">
        <v>805</v>
      </c>
      <c r="W184" s="44" t="s">
        <v>806</v>
      </c>
      <c r="X184" s="44" t="s">
        <v>806</v>
      </c>
      <c r="Y184" s="44"/>
      <c r="Z184" s="44"/>
      <c r="AA184" s="44"/>
      <c r="AB184" s="44" t="s">
        <v>262</v>
      </c>
      <c r="AC184" s="44" t="s">
        <v>262</v>
      </c>
      <c r="AD184" s="44" t="s">
        <v>262</v>
      </c>
      <c r="AE184" s="44" t="s">
        <v>262</v>
      </c>
      <c r="AF184" s="44" t="s">
        <v>263</v>
      </c>
      <c r="AG184" s="44" t="s">
        <v>262</v>
      </c>
      <c r="AH184" s="44" t="s">
        <v>262</v>
      </c>
      <c r="AI184" s="44">
        <v>0.05</v>
      </c>
      <c r="AJ184" s="47" t="s">
        <v>263</v>
      </c>
    </row>
    <row r="185" spans="1:36" x14ac:dyDescent="0.45">
      <c r="A185" s="43">
        <v>143</v>
      </c>
      <c r="C185" s="44" t="s">
        <v>252</v>
      </c>
      <c r="D185" s="44" t="s">
        <v>84</v>
      </c>
      <c r="E185" s="45"/>
      <c r="F185" s="44" t="s">
        <v>886</v>
      </c>
      <c r="G185" s="44"/>
      <c r="H185" s="44" t="s">
        <v>273</v>
      </c>
      <c r="I185" s="44" t="s">
        <v>886</v>
      </c>
      <c r="J185" s="44" t="s">
        <v>887</v>
      </c>
      <c r="K185" s="44"/>
      <c r="L185" s="44" t="s">
        <v>274</v>
      </c>
      <c r="M185" s="44" t="s">
        <v>887</v>
      </c>
      <c r="N185" s="44" t="s">
        <v>888</v>
      </c>
      <c r="O185" s="44"/>
      <c r="P185" s="44" t="s">
        <v>275</v>
      </c>
      <c r="Q185" s="44" t="s">
        <v>888</v>
      </c>
      <c r="R185" s="46">
        <v>1</v>
      </c>
      <c r="S185" s="44">
        <v>1</v>
      </c>
      <c r="T185" s="44" t="s">
        <v>137</v>
      </c>
      <c r="U185" s="44" t="s">
        <v>169</v>
      </c>
      <c r="V185" s="44" t="s">
        <v>805</v>
      </c>
      <c r="W185" s="44" t="s">
        <v>806</v>
      </c>
      <c r="X185" s="44" t="s">
        <v>839</v>
      </c>
      <c r="Y185" s="44"/>
      <c r="Z185" s="44"/>
      <c r="AA185" s="44"/>
      <c r="AB185" s="44" t="s">
        <v>262</v>
      </c>
      <c r="AC185" s="44" t="s">
        <v>262</v>
      </c>
      <c r="AD185" s="44" t="s">
        <v>262</v>
      </c>
      <c r="AE185" s="44" t="s">
        <v>262</v>
      </c>
      <c r="AF185" s="44" t="s">
        <v>263</v>
      </c>
      <c r="AG185" s="44" t="s">
        <v>263</v>
      </c>
      <c r="AH185" s="44" t="s">
        <v>262</v>
      </c>
      <c r="AI185" s="44">
        <v>0.05</v>
      </c>
      <c r="AJ185" s="47" t="s">
        <v>263</v>
      </c>
    </row>
    <row r="186" spans="1:36" x14ac:dyDescent="0.45">
      <c r="A186" s="43">
        <v>144</v>
      </c>
      <c r="C186" s="44" t="s">
        <v>252</v>
      </c>
      <c r="D186" s="44" t="s">
        <v>84</v>
      </c>
      <c r="E186" s="45"/>
      <c r="F186" s="44" t="s">
        <v>833</v>
      </c>
      <c r="G186" s="44"/>
      <c r="H186" s="44" t="s">
        <v>273</v>
      </c>
      <c r="I186" s="44" t="s">
        <v>833</v>
      </c>
      <c r="J186" s="44" t="s">
        <v>834</v>
      </c>
      <c r="K186" s="44"/>
      <c r="L186" s="44" t="s">
        <v>274</v>
      </c>
      <c r="M186" s="44" t="s">
        <v>834</v>
      </c>
      <c r="N186" s="44" t="s">
        <v>835</v>
      </c>
      <c r="O186" s="44"/>
      <c r="P186" s="44" t="s">
        <v>275</v>
      </c>
      <c r="Q186" s="44" t="s">
        <v>835</v>
      </c>
      <c r="R186" s="46">
        <v>1</v>
      </c>
      <c r="S186" s="44">
        <v>1</v>
      </c>
      <c r="T186" s="44" t="s">
        <v>137</v>
      </c>
      <c r="U186" s="44" t="s">
        <v>169</v>
      </c>
      <c r="V186" s="44" t="s">
        <v>805</v>
      </c>
      <c r="W186" s="44" t="s">
        <v>806</v>
      </c>
      <c r="X186" s="44" t="s">
        <v>806</v>
      </c>
      <c r="Y186" s="44"/>
      <c r="Z186" s="44"/>
      <c r="AA186" s="44"/>
      <c r="AB186" s="44" t="s">
        <v>262</v>
      </c>
      <c r="AC186" s="44" t="s">
        <v>262</v>
      </c>
      <c r="AD186" s="44" t="s">
        <v>262</v>
      </c>
      <c r="AE186" s="44" t="s">
        <v>262</v>
      </c>
      <c r="AF186" s="44" t="s">
        <v>263</v>
      </c>
      <c r="AG186" s="44" t="s">
        <v>262</v>
      </c>
      <c r="AH186" s="44" t="s">
        <v>262</v>
      </c>
      <c r="AI186" s="44">
        <v>0</v>
      </c>
      <c r="AJ186" s="47" t="s">
        <v>263</v>
      </c>
    </row>
    <row r="187" spans="1:36" x14ac:dyDescent="0.45">
      <c r="A187" s="43">
        <v>145</v>
      </c>
      <c r="C187" s="44" t="s">
        <v>252</v>
      </c>
      <c r="D187" s="44" t="s">
        <v>84</v>
      </c>
      <c r="E187" s="45"/>
      <c r="F187" s="44" t="s">
        <v>895</v>
      </c>
      <c r="G187" s="44"/>
      <c r="H187" s="44" t="s">
        <v>273</v>
      </c>
      <c r="I187" s="44" t="s">
        <v>895</v>
      </c>
      <c r="J187" s="44" t="s">
        <v>896</v>
      </c>
      <c r="K187" s="44"/>
      <c r="L187" s="44" t="s">
        <v>274</v>
      </c>
      <c r="M187" s="44" t="s">
        <v>896</v>
      </c>
      <c r="N187" s="44" t="s">
        <v>1425</v>
      </c>
      <c r="O187" s="44"/>
      <c r="P187" s="44" t="s">
        <v>275</v>
      </c>
      <c r="Q187" s="44" t="s">
        <v>1425</v>
      </c>
      <c r="R187" s="46">
        <v>1</v>
      </c>
      <c r="S187" s="44">
        <v>1</v>
      </c>
      <c r="T187" s="44" t="s">
        <v>137</v>
      </c>
      <c r="U187" s="44" t="s">
        <v>169</v>
      </c>
      <c r="V187" s="44" t="s">
        <v>892</v>
      </c>
      <c r="W187" s="44" t="s">
        <v>897</v>
      </c>
      <c r="X187" s="44" t="s">
        <v>898</v>
      </c>
      <c r="Y187" s="44"/>
      <c r="Z187" s="44"/>
      <c r="AA187" s="44"/>
      <c r="AB187" s="44" t="s">
        <v>262</v>
      </c>
      <c r="AC187" s="44" t="s">
        <v>262</v>
      </c>
      <c r="AD187" s="44" t="s">
        <v>262</v>
      </c>
      <c r="AE187" s="44" t="s">
        <v>262</v>
      </c>
      <c r="AF187" s="44" t="s">
        <v>263</v>
      </c>
      <c r="AG187" s="44" t="s">
        <v>262</v>
      </c>
      <c r="AH187" s="44" t="s">
        <v>262</v>
      </c>
      <c r="AI187" s="44">
        <v>0</v>
      </c>
      <c r="AJ187" s="47" t="s">
        <v>263</v>
      </c>
    </row>
    <row r="188" spans="1:36" x14ac:dyDescent="0.45">
      <c r="A188" s="43">
        <v>146</v>
      </c>
      <c r="C188" s="44" t="s">
        <v>252</v>
      </c>
      <c r="D188" s="44" t="s">
        <v>84</v>
      </c>
      <c r="E188" s="45"/>
      <c r="F188" s="44" t="s">
        <v>889</v>
      </c>
      <c r="G188" s="44"/>
      <c r="H188" s="44" t="s">
        <v>273</v>
      </c>
      <c r="I188" s="44" t="s">
        <v>889</v>
      </c>
      <c r="J188" s="44" t="s">
        <v>890</v>
      </c>
      <c r="K188" s="44"/>
      <c r="L188" s="44" t="s">
        <v>274</v>
      </c>
      <c r="M188" s="44" t="s">
        <v>890</v>
      </c>
      <c r="N188" s="44" t="s">
        <v>891</v>
      </c>
      <c r="O188" s="44"/>
      <c r="P188" s="44" t="s">
        <v>275</v>
      </c>
      <c r="Q188" s="44" t="s">
        <v>891</v>
      </c>
      <c r="R188" s="46">
        <v>1</v>
      </c>
      <c r="S188" s="44">
        <v>1</v>
      </c>
      <c r="T188" s="44" t="s">
        <v>137</v>
      </c>
      <c r="U188" s="44" t="s">
        <v>169</v>
      </c>
      <c r="V188" s="44" t="s">
        <v>892</v>
      </c>
      <c r="W188" s="44" t="s">
        <v>893</v>
      </c>
      <c r="X188" s="44" t="s">
        <v>894</v>
      </c>
      <c r="Y188" s="44"/>
      <c r="Z188" s="44"/>
      <c r="AA188" s="44"/>
      <c r="AB188" s="44" t="s">
        <v>262</v>
      </c>
      <c r="AC188" s="44" t="s">
        <v>262</v>
      </c>
      <c r="AD188" s="44" t="s">
        <v>262</v>
      </c>
      <c r="AE188" s="44" t="s">
        <v>262</v>
      </c>
      <c r="AF188" s="44" t="s">
        <v>263</v>
      </c>
      <c r="AG188" s="44" t="s">
        <v>263</v>
      </c>
      <c r="AH188" s="44" t="s">
        <v>262</v>
      </c>
      <c r="AI188" s="44">
        <v>0.05</v>
      </c>
      <c r="AJ188" s="47" t="s">
        <v>263</v>
      </c>
    </row>
    <row r="189" spans="1:36" x14ac:dyDescent="0.45">
      <c r="A189" s="43">
        <v>147</v>
      </c>
      <c r="C189" s="44" t="s">
        <v>252</v>
      </c>
      <c r="D189" s="44" t="s">
        <v>84</v>
      </c>
      <c r="E189" s="45"/>
      <c r="F189" s="44" t="s">
        <v>899</v>
      </c>
      <c r="G189" s="44" t="s">
        <v>254</v>
      </c>
      <c r="H189" s="44" t="s">
        <v>673</v>
      </c>
      <c r="I189" s="44" t="s">
        <v>900</v>
      </c>
      <c r="J189" s="44" t="s">
        <v>899</v>
      </c>
      <c r="K189" s="44" t="s">
        <v>257</v>
      </c>
      <c r="L189" s="44" t="s">
        <v>673</v>
      </c>
      <c r="M189" s="44" t="s">
        <v>900</v>
      </c>
      <c r="N189" s="44" t="s">
        <v>899</v>
      </c>
      <c r="O189" s="44" t="s">
        <v>258</v>
      </c>
      <c r="P189" s="44" t="s">
        <v>673</v>
      </c>
      <c r="Q189" s="44" t="s">
        <v>900</v>
      </c>
      <c r="R189" s="46">
        <v>0.5</v>
      </c>
      <c r="S189" s="44">
        <v>1</v>
      </c>
      <c r="T189" s="44" t="s">
        <v>137</v>
      </c>
      <c r="U189" s="44" t="s">
        <v>169</v>
      </c>
      <c r="V189" s="44" t="s">
        <v>195</v>
      </c>
      <c r="W189" s="44" t="s">
        <v>901</v>
      </c>
      <c r="X189" s="44" t="s">
        <v>902</v>
      </c>
      <c r="Y189" s="44"/>
      <c r="Z189" s="44"/>
      <c r="AA189" s="44"/>
      <c r="AB189" s="44" t="s">
        <v>262</v>
      </c>
      <c r="AC189" s="44" t="s">
        <v>262</v>
      </c>
      <c r="AD189" s="44" t="s">
        <v>262</v>
      </c>
      <c r="AE189" s="44" t="s">
        <v>262</v>
      </c>
      <c r="AF189" s="44" t="s">
        <v>263</v>
      </c>
      <c r="AG189" s="44" t="s">
        <v>263</v>
      </c>
      <c r="AH189" s="44" t="s">
        <v>262</v>
      </c>
      <c r="AI189" s="44">
        <v>0.05</v>
      </c>
      <c r="AJ189" s="47" t="s">
        <v>263</v>
      </c>
    </row>
    <row r="190" spans="1:36" x14ac:dyDescent="0.45">
      <c r="A190" s="43">
        <v>147</v>
      </c>
      <c r="C190" s="44" t="s">
        <v>252</v>
      </c>
      <c r="D190" s="44" t="s">
        <v>84</v>
      </c>
      <c r="E190" s="45"/>
      <c r="F190" s="44" t="s">
        <v>899</v>
      </c>
      <c r="G190" s="44" t="s">
        <v>254</v>
      </c>
      <c r="H190" s="44" t="s">
        <v>677</v>
      </c>
      <c r="I190" s="44" t="s">
        <v>903</v>
      </c>
      <c r="J190" s="44" t="s">
        <v>899</v>
      </c>
      <c r="K190" s="44" t="s">
        <v>257</v>
      </c>
      <c r="L190" s="44" t="s">
        <v>677</v>
      </c>
      <c r="M190" s="44" t="s">
        <v>903</v>
      </c>
      <c r="N190" s="44" t="s">
        <v>899</v>
      </c>
      <c r="O190" s="44" t="s">
        <v>258</v>
      </c>
      <c r="P190" s="44" t="s">
        <v>677</v>
      </c>
      <c r="Q190" s="44" t="s">
        <v>903</v>
      </c>
      <c r="R190" s="46">
        <v>0.75</v>
      </c>
      <c r="S190" s="44">
        <v>1</v>
      </c>
      <c r="T190" s="44" t="s">
        <v>137</v>
      </c>
      <c r="U190" s="44" t="s">
        <v>169</v>
      </c>
      <c r="V190" s="44" t="s">
        <v>195</v>
      </c>
      <c r="W190" s="44" t="s">
        <v>901</v>
      </c>
      <c r="X190" s="44" t="s">
        <v>902</v>
      </c>
      <c r="Y190" s="44"/>
      <c r="Z190" s="44"/>
      <c r="AA190" s="44"/>
      <c r="AB190" s="44" t="s">
        <v>262</v>
      </c>
      <c r="AC190" s="44" t="s">
        <v>262</v>
      </c>
      <c r="AD190" s="44" t="s">
        <v>262</v>
      </c>
      <c r="AE190" s="44" t="s">
        <v>262</v>
      </c>
      <c r="AF190" s="44" t="s">
        <v>263</v>
      </c>
      <c r="AG190" s="44" t="s">
        <v>263</v>
      </c>
      <c r="AH190" s="44" t="s">
        <v>262</v>
      </c>
      <c r="AI190" s="44">
        <v>0.05</v>
      </c>
      <c r="AJ190" s="47" t="s">
        <v>263</v>
      </c>
    </row>
    <row r="191" spans="1:36" x14ac:dyDescent="0.45">
      <c r="A191" s="43">
        <v>147</v>
      </c>
      <c r="C191" s="44" t="s">
        <v>252</v>
      </c>
      <c r="D191" s="44" t="s">
        <v>84</v>
      </c>
      <c r="E191" s="45"/>
      <c r="F191" s="44" t="s">
        <v>899</v>
      </c>
      <c r="G191" s="44" t="s">
        <v>254</v>
      </c>
      <c r="H191" s="44" t="s">
        <v>387</v>
      </c>
      <c r="I191" s="44" t="s">
        <v>904</v>
      </c>
      <c r="J191" s="44" t="s">
        <v>899</v>
      </c>
      <c r="K191" s="44" t="s">
        <v>257</v>
      </c>
      <c r="L191" s="44" t="s">
        <v>387</v>
      </c>
      <c r="M191" s="44" t="s">
        <v>904</v>
      </c>
      <c r="N191" s="44" t="s">
        <v>899</v>
      </c>
      <c r="O191" s="44" t="s">
        <v>258</v>
      </c>
      <c r="P191" s="44" t="s">
        <v>387</v>
      </c>
      <c r="Q191" s="44" t="s">
        <v>904</v>
      </c>
      <c r="R191" s="46">
        <v>1</v>
      </c>
      <c r="S191" s="44">
        <v>1</v>
      </c>
      <c r="T191" s="44" t="s">
        <v>137</v>
      </c>
      <c r="U191" s="44" t="s">
        <v>169</v>
      </c>
      <c r="V191" s="44" t="s">
        <v>195</v>
      </c>
      <c r="W191" s="44" t="s">
        <v>901</v>
      </c>
      <c r="X191" s="44" t="s">
        <v>902</v>
      </c>
      <c r="Y191" s="44"/>
      <c r="Z191" s="44"/>
      <c r="AA191" s="44"/>
      <c r="AB191" s="44" t="s">
        <v>262</v>
      </c>
      <c r="AC191" s="44" t="s">
        <v>262</v>
      </c>
      <c r="AD191" s="44" t="s">
        <v>262</v>
      </c>
      <c r="AE191" s="44" t="s">
        <v>262</v>
      </c>
      <c r="AF191" s="44" t="s">
        <v>263</v>
      </c>
      <c r="AG191" s="44" t="s">
        <v>263</v>
      </c>
      <c r="AH191" s="44" t="s">
        <v>262</v>
      </c>
      <c r="AI191" s="44">
        <v>0.05</v>
      </c>
      <c r="AJ191" s="47" t="s">
        <v>263</v>
      </c>
    </row>
    <row r="192" spans="1:36" x14ac:dyDescent="0.45">
      <c r="A192" s="43">
        <v>148</v>
      </c>
      <c r="C192" s="44" t="s">
        <v>252</v>
      </c>
      <c r="D192" s="44" t="s">
        <v>84</v>
      </c>
      <c r="E192" s="45"/>
      <c r="F192" s="44" t="s">
        <v>195</v>
      </c>
      <c r="G192" s="44" t="s">
        <v>254</v>
      </c>
      <c r="H192" s="44" t="s">
        <v>387</v>
      </c>
      <c r="I192" s="44" t="s">
        <v>905</v>
      </c>
      <c r="J192" s="44" t="s">
        <v>202</v>
      </c>
      <c r="K192" s="44" t="s">
        <v>257</v>
      </c>
      <c r="L192" s="44" t="s">
        <v>387</v>
      </c>
      <c r="M192" s="44" t="s">
        <v>906</v>
      </c>
      <c r="N192" s="44" t="s">
        <v>209</v>
      </c>
      <c r="O192" s="44" t="s">
        <v>258</v>
      </c>
      <c r="P192" s="44" t="s">
        <v>387</v>
      </c>
      <c r="Q192" s="44" t="s">
        <v>907</v>
      </c>
      <c r="R192" s="46">
        <v>1</v>
      </c>
      <c r="S192" s="44">
        <v>1</v>
      </c>
      <c r="T192" s="44" t="s">
        <v>137</v>
      </c>
      <c r="U192" s="44" t="s">
        <v>169</v>
      </c>
      <c r="V192" s="44" t="s">
        <v>195</v>
      </c>
      <c r="W192" s="44" t="s">
        <v>901</v>
      </c>
      <c r="X192" s="44" t="s">
        <v>902</v>
      </c>
      <c r="Y192" s="44"/>
      <c r="Z192" s="44"/>
      <c r="AA192" s="44"/>
      <c r="AB192" s="44" t="s">
        <v>262</v>
      </c>
      <c r="AC192" s="44" t="s">
        <v>262</v>
      </c>
      <c r="AD192" s="44" t="s">
        <v>262</v>
      </c>
      <c r="AE192" s="44" t="s">
        <v>262</v>
      </c>
      <c r="AF192" s="44" t="s">
        <v>263</v>
      </c>
      <c r="AG192" s="44" t="s">
        <v>263</v>
      </c>
      <c r="AH192" s="44" t="s">
        <v>262</v>
      </c>
      <c r="AI192" s="44">
        <v>0</v>
      </c>
      <c r="AJ192" s="47" t="s">
        <v>263</v>
      </c>
    </row>
    <row r="193" spans="1:36" x14ac:dyDescent="0.45">
      <c r="A193" s="43">
        <v>148</v>
      </c>
      <c r="C193" s="44" t="s">
        <v>252</v>
      </c>
      <c r="D193" s="44" t="s">
        <v>84</v>
      </c>
      <c r="E193" s="45"/>
      <c r="F193" s="44" t="s">
        <v>195</v>
      </c>
      <c r="G193" s="44" t="s">
        <v>254</v>
      </c>
      <c r="H193" s="44" t="s">
        <v>641</v>
      </c>
      <c r="I193" s="44" t="s">
        <v>908</v>
      </c>
      <c r="J193" s="44" t="s">
        <v>202</v>
      </c>
      <c r="K193" s="44" t="s">
        <v>257</v>
      </c>
      <c r="L193" s="44" t="s">
        <v>641</v>
      </c>
      <c r="M193" s="44" t="s">
        <v>909</v>
      </c>
      <c r="N193" s="44" t="s">
        <v>209</v>
      </c>
      <c r="O193" s="44" t="s">
        <v>258</v>
      </c>
      <c r="P193" s="44" t="s">
        <v>641</v>
      </c>
      <c r="Q193" s="44" t="s">
        <v>910</v>
      </c>
      <c r="R193" s="46">
        <v>0.25</v>
      </c>
      <c r="S193" s="44">
        <v>1</v>
      </c>
      <c r="T193" s="44" t="s">
        <v>137</v>
      </c>
      <c r="U193" s="44" t="s">
        <v>169</v>
      </c>
      <c r="V193" s="44" t="s">
        <v>195</v>
      </c>
      <c r="W193" s="44" t="s">
        <v>901</v>
      </c>
      <c r="X193" s="44" t="s">
        <v>902</v>
      </c>
      <c r="Y193" s="44"/>
      <c r="Z193" s="44"/>
      <c r="AA193" s="44"/>
      <c r="AB193" s="44" t="s">
        <v>262</v>
      </c>
      <c r="AC193" s="44" t="s">
        <v>262</v>
      </c>
      <c r="AD193" s="44" t="s">
        <v>262</v>
      </c>
      <c r="AE193" s="44" t="s">
        <v>262</v>
      </c>
      <c r="AF193" s="44" t="s">
        <v>263</v>
      </c>
      <c r="AG193" s="44" t="s">
        <v>263</v>
      </c>
      <c r="AH193" s="44" t="s">
        <v>262</v>
      </c>
      <c r="AI193" s="44">
        <v>0</v>
      </c>
      <c r="AJ193" s="47" t="s">
        <v>263</v>
      </c>
    </row>
    <row r="194" spans="1:36" x14ac:dyDescent="0.45">
      <c r="A194" s="43">
        <v>148</v>
      </c>
      <c r="C194" s="44" t="s">
        <v>252</v>
      </c>
      <c r="D194" s="44" t="s">
        <v>84</v>
      </c>
      <c r="E194" s="45"/>
      <c r="F194" s="44" t="s">
        <v>195</v>
      </c>
      <c r="G194" s="44" t="s">
        <v>254</v>
      </c>
      <c r="H194" s="44" t="s">
        <v>673</v>
      </c>
      <c r="I194" s="44" t="s">
        <v>911</v>
      </c>
      <c r="J194" s="44" t="s">
        <v>202</v>
      </c>
      <c r="K194" s="44" t="s">
        <v>257</v>
      </c>
      <c r="L194" s="44" t="s">
        <v>673</v>
      </c>
      <c r="M194" s="44" t="s">
        <v>912</v>
      </c>
      <c r="N194" s="44" t="s">
        <v>209</v>
      </c>
      <c r="O194" s="44" t="s">
        <v>258</v>
      </c>
      <c r="P194" s="44" t="s">
        <v>673</v>
      </c>
      <c r="Q194" s="44" t="s">
        <v>913</v>
      </c>
      <c r="R194" s="46">
        <v>0.5</v>
      </c>
      <c r="S194" s="44">
        <v>1</v>
      </c>
      <c r="T194" s="44" t="s">
        <v>137</v>
      </c>
      <c r="U194" s="44" t="s">
        <v>169</v>
      </c>
      <c r="V194" s="44" t="s">
        <v>195</v>
      </c>
      <c r="W194" s="44" t="s">
        <v>901</v>
      </c>
      <c r="X194" s="44" t="s">
        <v>902</v>
      </c>
      <c r="Y194" s="44"/>
      <c r="Z194" s="44"/>
      <c r="AA194" s="44"/>
      <c r="AB194" s="44" t="s">
        <v>262</v>
      </c>
      <c r="AC194" s="44" t="s">
        <v>262</v>
      </c>
      <c r="AD194" s="44" t="s">
        <v>262</v>
      </c>
      <c r="AE194" s="44" t="s">
        <v>262</v>
      </c>
      <c r="AF194" s="44" t="s">
        <v>263</v>
      </c>
      <c r="AG194" s="44" t="s">
        <v>263</v>
      </c>
      <c r="AH194" s="44" t="s">
        <v>262</v>
      </c>
      <c r="AI194" s="44">
        <v>0</v>
      </c>
      <c r="AJ194" s="47" t="s">
        <v>263</v>
      </c>
    </row>
    <row r="195" spans="1:36" x14ac:dyDescent="0.45">
      <c r="A195" s="43">
        <v>148</v>
      </c>
      <c r="C195" s="44" t="s">
        <v>252</v>
      </c>
      <c r="D195" s="44" t="s">
        <v>84</v>
      </c>
      <c r="E195" s="45"/>
      <c r="F195" s="44" t="s">
        <v>195</v>
      </c>
      <c r="G195" s="44" t="s">
        <v>254</v>
      </c>
      <c r="H195" s="44" t="s">
        <v>677</v>
      </c>
      <c r="I195" s="44" t="s">
        <v>914</v>
      </c>
      <c r="J195" s="44" t="s">
        <v>202</v>
      </c>
      <c r="K195" s="44" t="s">
        <v>257</v>
      </c>
      <c r="L195" s="44" t="s">
        <v>677</v>
      </c>
      <c r="M195" s="44" t="s">
        <v>915</v>
      </c>
      <c r="N195" s="44" t="s">
        <v>209</v>
      </c>
      <c r="O195" s="44" t="s">
        <v>258</v>
      </c>
      <c r="P195" s="44" t="s">
        <v>677</v>
      </c>
      <c r="Q195" s="44" t="s">
        <v>916</v>
      </c>
      <c r="R195" s="46">
        <v>0.75</v>
      </c>
      <c r="S195" s="44">
        <v>1</v>
      </c>
      <c r="T195" s="44" t="s">
        <v>137</v>
      </c>
      <c r="U195" s="44" t="s">
        <v>169</v>
      </c>
      <c r="V195" s="44" t="s">
        <v>195</v>
      </c>
      <c r="W195" s="44" t="s">
        <v>901</v>
      </c>
      <c r="X195" s="44" t="s">
        <v>902</v>
      </c>
      <c r="Y195" s="44"/>
      <c r="Z195" s="44"/>
      <c r="AA195" s="44"/>
      <c r="AB195" s="44" t="s">
        <v>262</v>
      </c>
      <c r="AC195" s="44" t="s">
        <v>262</v>
      </c>
      <c r="AD195" s="44" t="s">
        <v>262</v>
      </c>
      <c r="AE195" s="44" t="s">
        <v>262</v>
      </c>
      <c r="AF195" s="44" t="s">
        <v>263</v>
      </c>
      <c r="AG195" s="44" t="s">
        <v>263</v>
      </c>
      <c r="AH195" s="44" t="s">
        <v>262</v>
      </c>
      <c r="AI195" s="44">
        <v>0</v>
      </c>
      <c r="AJ195" s="47" t="s">
        <v>263</v>
      </c>
    </row>
    <row r="196" spans="1:36" x14ac:dyDescent="0.45">
      <c r="A196" s="43">
        <v>200</v>
      </c>
      <c r="B196" s="81">
        <v>135</v>
      </c>
      <c r="C196" s="44" t="s">
        <v>503</v>
      </c>
      <c r="D196" s="44" t="s">
        <v>84</v>
      </c>
      <c r="E196" s="45"/>
      <c r="F196" s="44" t="s">
        <v>917</v>
      </c>
      <c r="G196" s="44" t="s">
        <v>918</v>
      </c>
      <c r="H196" s="44"/>
      <c r="I196" s="44" t="s">
        <v>919</v>
      </c>
      <c r="J196" s="44" t="s">
        <v>920</v>
      </c>
      <c r="K196" s="44" t="s">
        <v>921</v>
      </c>
      <c r="L196" s="44"/>
      <c r="M196" s="44" t="s">
        <v>920</v>
      </c>
      <c r="N196" s="44" t="s">
        <v>922</v>
      </c>
      <c r="O196" s="44" t="s">
        <v>923</v>
      </c>
      <c r="P196" s="44"/>
      <c r="Q196" s="44" t="s">
        <v>924</v>
      </c>
      <c r="R196" s="46">
        <v>1</v>
      </c>
      <c r="S196" s="44">
        <v>1</v>
      </c>
      <c r="T196" s="44" t="s">
        <v>131</v>
      </c>
      <c r="U196" s="44" t="s">
        <v>168</v>
      </c>
      <c r="V196" s="44" t="s">
        <v>925</v>
      </c>
      <c r="W196" s="44" t="s">
        <v>925</v>
      </c>
      <c r="X196" s="44" t="s">
        <v>926</v>
      </c>
      <c r="Y196" s="44"/>
      <c r="Z196" s="44"/>
      <c r="AA196" s="44"/>
      <c r="AB196" s="44" t="s">
        <v>262</v>
      </c>
      <c r="AC196" s="44" t="s">
        <v>262</v>
      </c>
      <c r="AD196" s="44" t="s">
        <v>262</v>
      </c>
      <c r="AE196" s="44" t="s">
        <v>262</v>
      </c>
      <c r="AF196" s="44" t="s">
        <v>263</v>
      </c>
      <c r="AG196" s="44" t="s">
        <v>263</v>
      </c>
      <c r="AH196" s="44" t="s">
        <v>262</v>
      </c>
      <c r="AI196" s="50">
        <v>0.05</v>
      </c>
      <c r="AJ196" s="47" t="s">
        <v>263</v>
      </c>
    </row>
    <row r="197" spans="1:36" x14ac:dyDescent="0.45">
      <c r="A197" s="43">
        <v>201</v>
      </c>
      <c r="B197" s="81">
        <v>180</v>
      </c>
      <c r="C197" s="44" t="s">
        <v>252</v>
      </c>
      <c r="D197" s="44" t="s">
        <v>84</v>
      </c>
      <c r="E197" s="45"/>
      <c r="F197" s="44" t="s">
        <v>927</v>
      </c>
      <c r="G197" s="44" t="s">
        <v>928</v>
      </c>
      <c r="H197" s="44" t="s">
        <v>273</v>
      </c>
      <c r="I197" s="44" t="s">
        <v>929</v>
      </c>
      <c r="J197" s="44" t="s">
        <v>927</v>
      </c>
      <c r="K197" s="44" t="s">
        <v>928</v>
      </c>
      <c r="L197" s="44" t="s">
        <v>274</v>
      </c>
      <c r="M197" s="44" t="s">
        <v>930</v>
      </c>
      <c r="N197" s="44" t="s">
        <v>927</v>
      </c>
      <c r="O197" s="44" t="s">
        <v>928</v>
      </c>
      <c r="P197" s="44" t="s">
        <v>275</v>
      </c>
      <c r="Q197" s="44" t="s">
        <v>931</v>
      </c>
      <c r="R197" s="46">
        <v>1</v>
      </c>
      <c r="S197" s="44">
        <v>1</v>
      </c>
      <c r="T197" s="44" t="s">
        <v>137</v>
      </c>
      <c r="U197" s="44" t="s">
        <v>169</v>
      </c>
      <c r="V197" s="44" t="s">
        <v>925</v>
      </c>
      <c r="W197" s="44" t="s">
        <v>925</v>
      </c>
      <c r="X197" s="44" t="s">
        <v>926</v>
      </c>
      <c r="Y197" s="44"/>
      <c r="Z197" s="44"/>
      <c r="AA197" s="44"/>
      <c r="AB197" s="44" t="s">
        <v>262</v>
      </c>
      <c r="AC197" s="44" t="s">
        <v>262</v>
      </c>
      <c r="AD197" s="44" t="s">
        <v>262</v>
      </c>
      <c r="AE197" s="44" t="s">
        <v>262</v>
      </c>
      <c r="AF197" s="44" t="s">
        <v>263</v>
      </c>
      <c r="AG197" s="44" t="s">
        <v>263</v>
      </c>
      <c r="AH197" s="44" t="s">
        <v>262</v>
      </c>
      <c r="AI197" s="50">
        <v>0.05</v>
      </c>
      <c r="AJ197" s="47" t="s">
        <v>263</v>
      </c>
    </row>
    <row r="198" spans="1:36" x14ac:dyDescent="0.45">
      <c r="A198" s="43">
        <v>202</v>
      </c>
      <c r="B198" s="81">
        <v>7613399001270</v>
      </c>
      <c r="C198" s="44" t="s">
        <v>252</v>
      </c>
      <c r="D198" s="44" t="s">
        <v>84</v>
      </c>
      <c r="E198" s="45">
        <v>7613399001270</v>
      </c>
      <c r="F198" s="44" t="s">
        <v>927</v>
      </c>
      <c r="G198" s="44" t="s">
        <v>932</v>
      </c>
      <c r="H198" s="44" t="s">
        <v>552</v>
      </c>
      <c r="I198" s="44" t="s">
        <v>933</v>
      </c>
      <c r="J198" s="44" t="s">
        <v>927</v>
      </c>
      <c r="K198" s="44" t="s">
        <v>934</v>
      </c>
      <c r="L198" s="44" t="s">
        <v>552</v>
      </c>
      <c r="M198" s="44" t="s">
        <v>935</v>
      </c>
      <c r="N198" s="44" t="s">
        <v>927</v>
      </c>
      <c r="O198" s="44" t="s">
        <v>936</v>
      </c>
      <c r="P198" s="44" t="s">
        <v>552</v>
      </c>
      <c r="Q198" s="44" t="s">
        <v>937</v>
      </c>
      <c r="R198" s="46">
        <v>0.2</v>
      </c>
      <c r="S198" s="44">
        <v>100</v>
      </c>
      <c r="T198" s="44" t="s">
        <v>130</v>
      </c>
      <c r="U198" s="44" t="s">
        <v>169</v>
      </c>
      <c r="V198" s="44" t="s">
        <v>925</v>
      </c>
      <c r="W198" s="44" t="s">
        <v>925</v>
      </c>
      <c r="X198" s="44" t="s">
        <v>926</v>
      </c>
      <c r="Y198" s="44"/>
      <c r="Z198" s="44"/>
      <c r="AA198" s="44"/>
      <c r="AB198" s="44" t="s">
        <v>262</v>
      </c>
      <c r="AC198" s="44" t="s">
        <v>262</v>
      </c>
      <c r="AD198" s="44" t="s">
        <v>262</v>
      </c>
      <c r="AE198" s="44" t="s">
        <v>262</v>
      </c>
      <c r="AF198" s="44" t="s">
        <v>263</v>
      </c>
      <c r="AG198" s="44" t="s">
        <v>263</v>
      </c>
      <c r="AH198" s="44" t="s">
        <v>262</v>
      </c>
      <c r="AI198" s="50">
        <v>0.05</v>
      </c>
      <c r="AJ198" s="47" t="s">
        <v>263</v>
      </c>
    </row>
    <row r="199" spans="1:36" x14ac:dyDescent="0.45">
      <c r="A199" s="43">
        <v>204</v>
      </c>
      <c r="B199" s="81">
        <v>7613399021476</v>
      </c>
      <c r="C199" s="44" t="s">
        <v>252</v>
      </c>
      <c r="D199" s="44" t="s">
        <v>84</v>
      </c>
      <c r="E199" s="45">
        <v>7613399021476</v>
      </c>
      <c r="F199" s="44" t="s">
        <v>941</v>
      </c>
      <c r="G199" s="44"/>
      <c r="H199" s="44" t="s">
        <v>942</v>
      </c>
      <c r="I199" s="44" t="s">
        <v>943</v>
      </c>
      <c r="J199" s="44" t="s">
        <v>944</v>
      </c>
      <c r="K199" s="44"/>
      <c r="L199" s="44" t="s">
        <v>942</v>
      </c>
      <c r="M199" s="44" t="s">
        <v>945</v>
      </c>
      <c r="N199" s="44" t="s">
        <v>946</v>
      </c>
      <c r="O199" s="44"/>
      <c r="P199" s="44" t="s">
        <v>942</v>
      </c>
      <c r="Q199" s="44" t="s">
        <v>947</v>
      </c>
      <c r="R199" s="46">
        <v>2</v>
      </c>
      <c r="S199" s="44">
        <v>1</v>
      </c>
      <c r="T199" s="44" t="s">
        <v>131</v>
      </c>
      <c r="U199" s="44" t="s">
        <v>169</v>
      </c>
      <c r="V199" s="44" t="s">
        <v>925</v>
      </c>
      <c r="W199" s="44" t="s">
        <v>925</v>
      </c>
      <c r="X199" s="44" t="s">
        <v>926</v>
      </c>
      <c r="Y199" s="44"/>
      <c r="Z199" s="44"/>
      <c r="AA199" s="44"/>
      <c r="AB199" s="44" t="s">
        <v>262</v>
      </c>
      <c r="AC199" s="44" t="s">
        <v>262</v>
      </c>
      <c r="AD199" s="44" t="s">
        <v>262</v>
      </c>
      <c r="AE199" s="44" t="s">
        <v>262</v>
      </c>
      <c r="AF199" s="44" t="s">
        <v>263</v>
      </c>
      <c r="AG199" s="44" t="s">
        <v>263</v>
      </c>
      <c r="AH199" s="44" t="s">
        <v>262</v>
      </c>
      <c r="AI199" s="50">
        <v>0.05</v>
      </c>
      <c r="AJ199" s="47" t="s">
        <v>263</v>
      </c>
    </row>
    <row r="200" spans="1:36" x14ac:dyDescent="0.45">
      <c r="A200" s="43">
        <v>206</v>
      </c>
      <c r="B200" s="81">
        <v>2203231000000</v>
      </c>
      <c r="C200" s="44" t="s">
        <v>503</v>
      </c>
      <c r="D200" s="44" t="s">
        <v>78</v>
      </c>
      <c r="E200" s="78">
        <v>2203231000000</v>
      </c>
      <c r="F200" s="44" t="s">
        <v>941</v>
      </c>
      <c r="G200" s="44"/>
      <c r="H200" s="44" t="s">
        <v>948</v>
      </c>
      <c r="I200" s="44" t="s">
        <v>949</v>
      </c>
      <c r="J200" s="44" t="s">
        <v>944</v>
      </c>
      <c r="K200" s="44"/>
      <c r="L200" s="44" t="s">
        <v>950</v>
      </c>
      <c r="M200" s="44" t="s">
        <v>951</v>
      </c>
      <c r="N200" s="44" t="s">
        <v>946</v>
      </c>
      <c r="O200" s="44"/>
      <c r="P200" s="46" t="s">
        <v>948</v>
      </c>
      <c r="Q200" s="44" t="s">
        <v>952</v>
      </c>
      <c r="R200" s="44">
        <v>0.8</v>
      </c>
      <c r="S200" s="44">
        <v>1</v>
      </c>
      <c r="T200" s="44" t="s">
        <v>131</v>
      </c>
      <c r="U200" s="44" t="s">
        <v>169</v>
      </c>
      <c r="V200" s="44" t="s">
        <v>925</v>
      </c>
      <c r="W200" s="44" t="s">
        <v>925</v>
      </c>
      <c r="X200" s="44" t="s">
        <v>926</v>
      </c>
      <c r="Y200" s="44"/>
      <c r="Z200" s="44"/>
      <c r="AA200" s="44"/>
      <c r="AB200" s="44" t="s">
        <v>262</v>
      </c>
      <c r="AC200" s="44" t="s">
        <v>262</v>
      </c>
      <c r="AD200" s="44" t="s">
        <v>262</v>
      </c>
      <c r="AE200" s="44" t="s">
        <v>262</v>
      </c>
      <c r="AF200" s="44" t="s">
        <v>263</v>
      </c>
      <c r="AG200" s="44" t="s">
        <v>263</v>
      </c>
      <c r="AH200" s="44" t="s">
        <v>262</v>
      </c>
      <c r="AI200" s="50">
        <v>0.05</v>
      </c>
      <c r="AJ200" s="47" t="s">
        <v>263</v>
      </c>
    </row>
    <row r="201" spans="1:36" x14ac:dyDescent="0.45">
      <c r="A201" s="43">
        <v>207</v>
      </c>
      <c r="B201" s="81">
        <v>124</v>
      </c>
      <c r="C201" s="44" t="s">
        <v>503</v>
      </c>
      <c r="D201" s="44"/>
      <c r="E201" s="44"/>
      <c r="F201" s="44" t="s">
        <v>953</v>
      </c>
      <c r="G201" s="44"/>
      <c r="H201" s="44"/>
      <c r="I201" s="44" t="s">
        <v>953</v>
      </c>
      <c r="J201" s="44" t="s">
        <v>954</v>
      </c>
      <c r="K201" s="44" t="s">
        <v>955</v>
      </c>
      <c r="L201" s="44"/>
      <c r="M201" s="44" t="s">
        <v>956</v>
      </c>
      <c r="N201" s="44" t="s">
        <v>946</v>
      </c>
      <c r="O201" s="44" t="s">
        <v>957</v>
      </c>
      <c r="P201" s="44"/>
      <c r="Q201" s="44" t="s">
        <v>958</v>
      </c>
      <c r="R201" s="46">
        <v>1</v>
      </c>
      <c r="S201" s="44">
        <v>1</v>
      </c>
      <c r="T201" s="44" t="s">
        <v>131</v>
      </c>
      <c r="U201" s="44" t="s">
        <v>168</v>
      </c>
      <c r="V201" s="44" t="s">
        <v>925</v>
      </c>
      <c r="W201" s="44" t="s">
        <v>925</v>
      </c>
      <c r="X201" s="44" t="s">
        <v>926</v>
      </c>
      <c r="Y201" s="44"/>
      <c r="Z201" s="44"/>
      <c r="AA201" s="44"/>
      <c r="AB201" s="44" t="s">
        <v>262</v>
      </c>
      <c r="AC201" s="44" t="s">
        <v>262</v>
      </c>
      <c r="AD201" s="44" t="s">
        <v>262</v>
      </c>
      <c r="AE201" s="44" t="s">
        <v>262</v>
      </c>
      <c r="AF201" s="44" t="s">
        <v>263</v>
      </c>
      <c r="AG201" s="44" t="s">
        <v>263</v>
      </c>
      <c r="AH201" s="44" t="s">
        <v>262</v>
      </c>
      <c r="AI201" s="50">
        <v>0.05</v>
      </c>
      <c r="AJ201" s="47" t="s">
        <v>263</v>
      </c>
    </row>
    <row r="202" spans="1:36" x14ac:dyDescent="0.45">
      <c r="A202" s="43">
        <v>209</v>
      </c>
      <c r="B202" s="81">
        <v>7613399047834</v>
      </c>
      <c r="C202" s="44" t="s">
        <v>252</v>
      </c>
      <c r="D202" s="44" t="s">
        <v>84</v>
      </c>
      <c r="E202" s="45">
        <v>7613399047834</v>
      </c>
      <c r="F202" s="44" t="s">
        <v>962</v>
      </c>
      <c r="G202" s="44"/>
      <c r="H202" s="44" t="s">
        <v>552</v>
      </c>
      <c r="I202" s="44" t="s">
        <v>963</v>
      </c>
      <c r="J202" s="44" t="s">
        <v>964</v>
      </c>
      <c r="K202" s="44"/>
      <c r="L202" s="44" t="s">
        <v>552</v>
      </c>
      <c r="M202" s="44" t="s">
        <v>965</v>
      </c>
      <c r="N202" s="44" t="s">
        <v>966</v>
      </c>
      <c r="O202" s="44"/>
      <c r="P202" s="44" t="s">
        <v>552</v>
      </c>
      <c r="Q202" s="44" t="s">
        <v>967</v>
      </c>
      <c r="R202" s="46">
        <v>0.2</v>
      </c>
      <c r="S202" s="44">
        <v>100</v>
      </c>
      <c r="T202" s="44" t="s">
        <v>130</v>
      </c>
      <c r="U202" s="44" t="s">
        <v>169</v>
      </c>
      <c r="V202" s="44" t="s">
        <v>925</v>
      </c>
      <c r="W202" s="44" t="s">
        <v>925</v>
      </c>
      <c r="X202" s="44" t="s">
        <v>926</v>
      </c>
      <c r="Y202" s="44"/>
      <c r="Z202" s="44"/>
      <c r="AA202" s="44"/>
      <c r="AB202" s="44" t="s">
        <v>262</v>
      </c>
      <c r="AC202" s="44" t="s">
        <v>262</v>
      </c>
      <c r="AD202" s="44" t="s">
        <v>262</v>
      </c>
      <c r="AE202" s="44" t="s">
        <v>262</v>
      </c>
      <c r="AF202" s="44" t="s">
        <v>263</v>
      </c>
      <c r="AG202" s="44" t="s">
        <v>263</v>
      </c>
      <c r="AH202" s="44" t="s">
        <v>262</v>
      </c>
      <c r="AI202" s="50">
        <v>0.05</v>
      </c>
      <c r="AJ202" s="47" t="s">
        <v>263</v>
      </c>
    </row>
    <row r="203" spans="1:36" x14ac:dyDescent="0.45">
      <c r="A203" s="43">
        <v>210</v>
      </c>
      <c r="B203" s="81">
        <v>126</v>
      </c>
      <c r="C203" s="44" t="s">
        <v>503</v>
      </c>
      <c r="D203" s="44" t="s">
        <v>84</v>
      </c>
      <c r="E203" s="45"/>
      <c r="F203" s="44" t="s">
        <v>968</v>
      </c>
      <c r="G203" s="44" t="s">
        <v>969</v>
      </c>
      <c r="H203" s="44"/>
      <c r="I203" s="44" t="s">
        <v>970</v>
      </c>
      <c r="J203" s="44" t="s">
        <v>971</v>
      </c>
      <c r="K203" s="44" t="s">
        <v>972</v>
      </c>
      <c r="L203" s="44"/>
      <c r="M203" s="44" t="s">
        <v>973</v>
      </c>
      <c r="N203" s="44" t="s">
        <v>974</v>
      </c>
      <c r="O203" s="44" t="s">
        <v>957</v>
      </c>
      <c r="P203" s="44"/>
      <c r="Q203" s="44" t="s">
        <v>975</v>
      </c>
      <c r="R203" s="46">
        <v>1</v>
      </c>
      <c r="S203" s="44">
        <v>1</v>
      </c>
      <c r="T203" s="44" t="s">
        <v>131</v>
      </c>
      <c r="U203" s="44" t="s">
        <v>168</v>
      </c>
      <c r="V203" s="44" t="s">
        <v>925</v>
      </c>
      <c r="W203" s="44" t="s">
        <v>925</v>
      </c>
      <c r="X203" s="44" t="s">
        <v>926</v>
      </c>
      <c r="Y203" s="44"/>
      <c r="Z203" s="44"/>
      <c r="AA203" s="44"/>
      <c r="AB203" s="44" t="s">
        <v>262</v>
      </c>
      <c r="AC203" s="44" t="s">
        <v>262</v>
      </c>
      <c r="AD203" s="44" t="s">
        <v>262</v>
      </c>
      <c r="AE203" s="44" t="s">
        <v>262</v>
      </c>
      <c r="AF203" s="44" t="s">
        <v>263</v>
      </c>
      <c r="AG203" s="44" t="s">
        <v>263</v>
      </c>
      <c r="AH203" s="44" t="s">
        <v>262</v>
      </c>
      <c r="AI203" s="50">
        <v>0.05</v>
      </c>
      <c r="AJ203" s="47" t="s">
        <v>263</v>
      </c>
    </row>
    <row r="204" spans="1:36" x14ac:dyDescent="0.45">
      <c r="A204" s="43">
        <v>211</v>
      </c>
      <c r="B204" s="81">
        <v>2201581000000</v>
      </c>
      <c r="C204" s="44" t="s">
        <v>503</v>
      </c>
      <c r="D204" s="44" t="s">
        <v>78</v>
      </c>
      <c r="E204" s="45">
        <v>2201581000000</v>
      </c>
      <c r="F204" s="44" t="s">
        <v>976</v>
      </c>
      <c r="G204" s="44" t="s">
        <v>938</v>
      </c>
      <c r="H204" s="44"/>
      <c r="I204" s="44" t="s">
        <v>977</v>
      </c>
      <c r="J204" s="44" t="s">
        <v>978</v>
      </c>
      <c r="K204" s="44" t="s">
        <v>939</v>
      </c>
      <c r="L204" s="44"/>
      <c r="M204" s="44" t="s">
        <v>979</v>
      </c>
      <c r="N204" s="44" t="s">
        <v>980</v>
      </c>
      <c r="O204" s="44" t="s">
        <v>940</v>
      </c>
      <c r="P204" s="44"/>
      <c r="Q204" s="44" t="s">
        <v>981</v>
      </c>
      <c r="R204" s="46">
        <v>1</v>
      </c>
      <c r="S204" s="44">
        <v>1</v>
      </c>
      <c r="T204" s="44" t="s">
        <v>131</v>
      </c>
      <c r="U204" s="44" t="s">
        <v>169</v>
      </c>
      <c r="V204" s="44" t="s">
        <v>925</v>
      </c>
      <c r="W204" s="44" t="s">
        <v>925</v>
      </c>
      <c r="X204" s="44" t="s">
        <v>926</v>
      </c>
      <c r="Y204" s="44"/>
      <c r="Z204" s="44"/>
      <c r="AA204" s="44"/>
      <c r="AB204" s="44" t="s">
        <v>262</v>
      </c>
      <c r="AC204" s="44" t="s">
        <v>262</v>
      </c>
      <c r="AD204" s="44" t="s">
        <v>262</v>
      </c>
      <c r="AE204" s="44" t="s">
        <v>262</v>
      </c>
      <c r="AF204" s="44" t="s">
        <v>263</v>
      </c>
      <c r="AG204" s="44" t="s">
        <v>263</v>
      </c>
      <c r="AH204" s="44" t="s">
        <v>262</v>
      </c>
      <c r="AI204" s="50">
        <v>0.05</v>
      </c>
      <c r="AJ204" s="47" t="s">
        <v>263</v>
      </c>
    </row>
    <row r="205" spans="1:36" x14ac:dyDescent="0.45">
      <c r="A205" s="43">
        <v>212</v>
      </c>
      <c r="B205" s="81">
        <v>7610632050514</v>
      </c>
      <c r="C205" s="44" t="s">
        <v>252</v>
      </c>
      <c r="D205" s="44" t="s">
        <v>84</v>
      </c>
      <c r="E205" s="45">
        <v>7610632050514</v>
      </c>
      <c r="F205" s="44" t="s">
        <v>982</v>
      </c>
      <c r="G205" s="44" t="s">
        <v>959</v>
      </c>
      <c r="H205" s="44" t="s">
        <v>255</v>
      </c>
      <c r="I205" s="44" t="s">
        <v>983</v>
      </c>
      <c r="J205" s="44" t="s">
        <v>984</v>
      </c>
      <c r="K205" s="44" t="s">
        <v>960</v>
      </c>
      <c r="L205" s="44" t="s">
        <v>255</v>
      </c>
      <c r="M205" s="44" t="s">
        <v>985</v>
      </c>
      <c r="N205" s="44" t="s">
        <v>986</v>
      </c>
      <c r="O205" s="44" t="s">
        <v>961</v>
      </c>
      <c r="P205" s="44" t="s">
        <v>255</v>
      </c>
      <c r="Q205" s="44" t="s">
        <v>987</v>
      </c>
      <c r="R205" s="46">
        <v>0.25</v>
      </c>
      <c r="S205" s="44">
        <v>100</v>
      </c>
      <c r="T205" s="44" t="s">
        <v>130</v>
      </c>
      <c r="U205" s="44" t="s">
        <v>169</v>
      </c>
      <c r="V205" s="44" t="s">
        <v>925</v>
      </c>
      <c r="W205" s="44" t="s">
        <v>925</v>
      </c>
      <c r="X205" s="44" t="s">
        <v>926</v>
      </c>
      <c r="Y205" s="44"/>
      <c r="Z205" s="44"/>
      <c r="AA205" s="44"/>
      <c r="AB205" s="44" t="s">
        <v>262</v>
      </c>
      <c r="AC205" s="44" t="s">
        <v>262</v>
      </c>
      <c r="AD205" s="44" t="s">
        <v>262</v>
      </c>
      <c r="AE205" s="44" t="s">
        <v>262</v>
      </c>
      <c r="AF205" s="44" t="s">
        <v>263</v>
      </c>
      <c r="AG205" s="44" t="s">
        <v>263</v>
      </c>
      <c r="AH205" s="44" t="s">
        <v>262</v>
      </c>
      <c r="AI205" s="50">
        <v>0.05</v>
      </c>
      <c r="AJ205" s="47" t="s">
        <v>263</v>
      </c>
    </row>
    <row r="206" spans="1:36" x14ac:dyDescent="0.45">
      <c r="A206" s="43">
        <v>213</v>
      </c>
      <c r="B206" s="81">
        <v>128</v>
      </c>
      <c r="C206" s="44" t="s">
        <v>503</v>
      </c>
      <c r="D206" s="44"/>
      <c r="E206" s="44"/>
      <c r="F206" s="44" t="s">
        <v>988</v>
      </c>
      <c r="G206" s="44"/>
      <c r="H206" s="44"/>
      <c r="I206" s="44" t="s">
        <v>988</v>
      </c>
      <c r="J206" s="44" t="s">
        <v>989</v>
      </c>
      <c r="K206" s="44" t="s">
        <v>972</v>
      </c>
      <c r="L206" s="44"/>
      <c r="M206" s="44" t="s">
        <v>990</v>
      </c>
      <c r="N206" s="44" t="s">
        <v>991</v>
      </c>
      <c r="O206" s="44" t="s">
        <v>957</v>
      </c>
      <c r="P206" s="44"/>
      <c r="Q206" s="44" t="s">
        <v>992</v>
      </c>
      <c r="R206" s="46">
        <v>1</v>
      </c>
      <c r="S206" s="44">
        <v>1</v>
      </c>
      <c r="T206" s="44" t="s">
        <v>131</v>
      </c>
      <c r="U206" s="44" t="s">
        <v>168</v>
      </c>
      <c r="V206" s="44" t="s">
        <v>925</v>
      </c>
      <c r="W206" s="44" t="s">
        <v>925</v>
      </c>
      <c r="X206" s="44" t="s">
        <v>926</v>
      </c>
      <c r="Y206" s="44"/>
      <c r="Z206" s="44"/>
      <c r="AA206" s="44"/>
      <c r="AB206" s="44" t="s">
        <v>262</v>
      </c>
      <c r="AC206" s="44" t="s">
        <v>262</v>
      </c>
      <c r="AD206" s="44" t="s">
        <v>262</v>
      </c>
      <c r="AE206" s="44" t="s">
        <v>262</v>
      </c>
      <c r="AF206" s="44" t="s">
        <v>263</v>
      </c>
      <c r="AG206" s="44" t="s">
        <v>263</v>
      </c>
      <c r="AH206" s="44" t="s">
        <v>262</v>
      </c>
      <c r="AI206" s="50">
        <v>0.05</v>
      </c>
      <c r="AJ206" s="47" t="s">
        <v>263</v>
      </c>
    </row>
    <row r="207" spans="1:36" x14ac:dyDescent="0.45">
      <c r="A207" s="43">
        <v>214</v>
      </c>
      <c r="B207" s="81">
        <v>171</v>
      </c>
      <c r="C207" s="44" t="s">
        <v>503</v>
      </c>
      <c r="D207" s="44"/>
      <c r="E207" s="44"/>
      <c r="F207" s="44" t="s">
        <v>993</v>
      </c>
      <c r="G207" s="44"/>
      <c r="H207" s="44"/>
      <c r="I207" s="44" t="s">
        <v>993</v>
      </c>
      <c r="J207" s="44" t="s">
        <v>994</v>
      </c>
      <c r="K207" s="44" t="s">
        <v>995</v>
      </c>
      <c r="L207" s="44"/>
      <c r="M207" s="44" t="s">
        <v>996</v>
      </c>
      <c r="N207" s="44" t="s">
        <v>997</v>
      </c>
      <c r="O207" s="44"/>
      <c r="P207" s="44"/>
      <c r="Q207" s="44" t="s">
        <v>997</v>
      </c>
      <c r="R207" s="46">
        <v>1</v>
      </c>
      <c r="S207" s="44">
        <v>1</v>
      </c>
      <c r="T207" s="44" t="s">
        <v>131</v>
      </c>
      <c r="U207" s="44" t="s">
        <v>168</v>
      </c>
      <c r="V207" s="44" t="s">
        <v>925</v>
      </c>
      <c r="W207" s="44" t="s">
        <v>925</v>
      </c>
      <c r="X207" s="44" t="s">
        <v>926</v>
      </c>
      <c r="Y207" s="44"/>
      <c r="Z207" s="44"/>
      <c r="AA207" s="44"/>
      <c r="AB207" s="44" t="s">
        <v>262</v>
      </c>
      <c r="AC207" s="44" t="s">
        <v>262</v>
      </c>
      <c r="AD207" s="44" t="s">
        <v>262</v>
      </c>
      <c r="AE207" s="44" t="s">
        <v>262</v>
      </c>
      <c r="AF207" s="44" t="s">
        <v>263</v>
      </c>
      <c r="AG207" s="44" t="s">
        <v>263</v>
      </c>
      <c r="AH207" s="44" t="s">
        <v>262</v>
      </c>
      <c r="AI207" s="50">
        <v>0.05</v>
      </c>
      <c r="AJ207" s="47" t="s">
        <v>263</v>
      </c>
    </row>
    <row r="208" spans="1:36" x14ac:dyDescent="0.45">
      <c r="A208" s="43">
        <v>215</v>
      </c>
      <c r="B208" s="81">
        <v>159</v>
      </c>
      <c r="C208" s="44" t="s">
        <v>503</v>
      </c>
      <c r="D208" s="44"/>
      <c r="E208" s="44"/>
      <c r="F208" s="44" t="s">
        <v>998</v>
      </c>
      <c r="G208" s="44"/>
      <c r="H208" s="44"/>
      <c r="I208" s="44" t="s">
        <v>998</v>
      </c>
      <c r="J208" s="44" t="s">
        <v>999</v>
      </c>
      <c r="K208" s="44" t="s">
        <v>972</v>
      </c>
      <c r="L208" s="44"/>
      <c r="M208" s="44" t="s">
        <v>1000</v>
      </c>
      <c r="N208" s="44" t="s">
        <v>1001</v>
      </c>
      <c r="O208" s="44" t="s">
        <v>957</v>
      </c>
      <c r="P208" s="44"/>
      <c r="Q208" s="44" t="s">
        <v>1002</v>
      </c>
      <c r="R208" s="46">
        <v>1</v>
      </c>
      <c r="S208" s="44">
        <v>1</v>
      </c>
      <c r="T208" s="44" t="s">
        <v>131</v>
      </c>
      <c r="U208" s="44" t="s">
        <v>168</v>
      </c>
      <c r="V208" s="44" t="s">
        <v>925</v>
      </c>
      <c r="W208" s="44" t="s">
        <v>925</v>
      </c>
      <c r="X208" s="44" t="s">
        <v>926</v>
      </c>
      <c r="Y208" s="44"/>
      <c r="Z208" s="44"/>
      <c r="AA208" s="44"/>
      <c r="AB208" s="44" t="s">
        <v>262</v>
      </c>
      <c r="AC208" s="44" t="s">
        <v>262</v>
      </c>
      <c r="AD208" s="44" t="s">
        <v>262</v>
      </c>
      <c r="AE208" s="44" t="s">
        <v>262</v>
      </c>
      <c r="AF208" s="44" t="s">
        <v>263</v>
      </c>
      <c r="AG208" s="44" t="s">
        <v>263</v>
      </c>
      <c r="AH208" s="44" t="s">
        <v>262</v>
      </c>
      <c r="AI208" s="50">
        <v>0.05</v>
      </c>
      <c r="AJ208" s="47" t="s">
        <v>263</v>
      </c>
    </row>
    <row r="209" spans="1:36" x14ac:dyDescent="0.45">
      <c r="A209" s="43">
        <v>217</v>
      </c>
      <c r="B209" s="81">
        <v>142</v>
      </c>
      <c r="C209" s="44" t="s">
        <v>503</v>
      </c>
      <c r="D209" s="44"/>
      <c r="E209" s="45"/>
      <c r="F209" s="44" t="s">
        <v>1003</v>
      </c>
      <c r="G209" s="44" t="s">
        <v>918</v>
      </c>
      <c r="H209" s="44"/>
      <c r="I209" s="44" t="s">
        <v>1004</v>
      </c>
      <c r="J209" s="44" t="s">
        <v>1005</v>
      </c>
      <c r="K209" s="44" t="s">
        <v>921</v>
      </c>
      <c r="L209" s="44"/>
      <c r="M209" s="44" t="s">
        <v>1006</v>
      </c>
      <c r="N209" s="44" t="s">
        <v>1007</v>
      </c>
      <c r="O209" s="44" t="s">
        <v>923</v>
      </c>
      <c r="P209" s="44"/>
      <c r="Q209" s="44" t="s">
        <v>1008</v>
      </c>
      <c r="R209" s="46">
        <v>1</v>
      </c>
      <c r="S209" s="44">
        <v>1</v>
      </c>
      <c r="T209" s="44" t="s">
        <v>131</v>
      </c>
      <c r="U209" s="44" t="s">
        <v>168</v>
      </c>
      <c r="V209" s="44" t="s">
        <v>925</v>
      </c>
      <c r="W209" s="44" t="s">
        <v>925</v>
      </c>
      <c r="X209" s="44" t="s">
        <v>926</v>
      </c>
      <c r="Y209" s="44"/>
      <c r="Z209" s="44"/>
      <c r="AA209" s="44"/>
      <c r="AB209" s="44" t="s">
        <v>262</v>
      </c>
      <c r="AC209" s="44" t="s">
        <v>262</v>
      </c>
      <c r="AD209" s="44" t="s">
        <v>262</v>
      </c>
      <c r="AE209" s="44" t="s">
        <v>262</v>
      </c>
      <c r="AF209" s="44" t="s">
        <v>263</v>
      </c>
      <c r="AG209" s="44" t="s">
        <v>263</v>
      </c>
      <c r="AH209" s="44" t="s">
        <v>262</v>
      </c>
      <c r="AI209" s="50">
        <v>0.05</v>
      </c>
      <c r="AJ209" s="47" t="s">
        <v>263</v>
      </c>
    </row>
    <row r="210" spans="1:36" x14ac:dyDescent="0.45">
      <c r="A210" s="43">
        <v>218</v>
      </c>
      <c r="B210" s="81">
        <v>2203071000000</v>
      </c>
      <c r="C210" s="44" t="s">
        <v>503</v>
      </c>
      <c r="D210" s="44" t="s">
        <v>78</v>
      </c>
      <c r="E210" s="45">
        <v>2203071000000</v>
      </c>
      <c r="F210" s="44" t="s">
        <v>1009</v>
      </c>
      <c r="G210" s="44" t="s">
        <v>1010</v>
      </c>
      <c r="H210" s="44"/>
      <c r="I210" s="44" t="s">
        <v>1011</v>
      </c>
      <c r="J210" s="44" t="s">
        <v>1012</v>
      </c>
      <c r="K210" s="44" t="s">
        <v>1013</v>
      </c>
      <c r="L210" s="44"/>
      <c r="M210" s="44" t="s">
        <v>1014</v>
      </c>
      <c r="N210" s="44" t="s">
        <v>1015</v>
      </c>
      <c r="O210" s="44" t="s">
        <v>1016</v>
      </c>
      <c r="P210" s="44"/>
      <c r="Q210" s="44" t="s">
        <v>1017</v>
      </c>
      <c r="R210" s="46">
        <v>1</v>
      </c>
      <c r="S210" s="44">
        <v>1</v>
      </c>
      <c r="T210" s="44" t="s">
        <v>131</v>
      </c>
      <c r="U210" s="44" t="s">
        <v>169</v>
      </c>
      <c r="V210" s="44" t="s">
        <v>925</v>
      </c>
      <c r="W210" s="44" t="s">
        <v>925</v>
      </c>
      <c r="X210" s="44" t="s">
        <v>926</v>
      </c>
      <c r="Y210" s="44"/>
      <c r="Z210" s="44"/>
      <c r="AA210" s="44"/>
      <c r="AB210" s="44" t="s">
        <v>262</v>
      </c>
      <c r="AC210" s="44" t="s">
        <v>262</v>
      </c>
      <c r="AD210" s="44" t="s">
        <v>262</v>
      </c>
      <c r="AE210" s="44" t="s">
        <v>262</v>
      </c>
      <c r="AF210" s="44" t="s">
        <v>263</v>
      </c>
      <c r="AG210" s="44" t="s">
        <v>263</v>
      </c>
      <c r="AH210" s="44" t="s">
        <v>262</v>
      </c>
      <c r="AI210" s="50">
        <v>0.05</v>
      </c>
      <c r="AJ210" s="47" t="s">
        <v>263</v>
      </c>
    </row>
    <row r="211" spans="1:36" x14ac:dyDescent="0.45">
      <c r="A211" s="43">
        <v>219</v>
      </c>
      <c r="B211" s="81">
        <v>2215861000009</v>
      </c>
      <c r="C211" s="44" t="s">
        <v>503</v>
      </c>
      <c r="D211" s="44" t="s">
        <v>78</v>
      </c>
      <c r="E211" s="45">
        <v>2215861000009</v>
      </c>
      <c r="F211" s="44" t="s">
        <v>1018</v>
      </c>
      <c r="G211" s="44" t="s">
        <v>1010</v>
      </c>
      <c r="H211" s="44"/>
      <c r="I211" s="44" t="s">
        <v>1019</v>
      </c>
      <c r="J211" s="44" t="s">
        <v>1020</v>
      </c>
      <c r="K211" s="44" t="s">
        <v>1013</v>
      </c>
      <c r="L211" s="44"/>
      <c r="M211" s="44" t="s">
        <v>1021</v>
      </c>
      <c r="N211" s="44" t="s">
        <v>1022</v>
      </c>
      <c r="O211" s="44" t="s">
        <v>1016</v>
      </c>
      <c r="P211" s="44"/>
      <c r="Q211" s="44" t="s">
        <v>1023</v>
      </c>
      <c r="R211" s="46">
        <v>1</v>
      </c>
      <c r="S211" s="44">
        <v>1</v>
      </c>
      <c r="T211" s="44" t="s">
        <v>131</v>
      </c>
      <c r="U211" s="44" t="s">
        <v>169</v>
      </c>
      <c r="V211" s="44" t="s">
        <v>925</v>
      </c>
      <c r="W211" s="44" t="s">
        <v>925</v>
      </c>
      <c r="X211" s="44" t="s">
        <v>926</v>
      </c>
      <c r="Y211" s="44"/>
      <c r="Z211" s="44"/>
      <c r="AA211" s="44"/>
      <c r="AB211" s="44" t="s">
        <v>262</v>
      </c>
      <c r="AC211" s="44" t="s">
        <v>262</v>
      </c>
      <c r="AD211" s="44" t="s">
        <v>262</v>
      </c>
      <c r="AE211" s="44" t="s">
        <v>262</v>
      </c>
      <c r="AF211" s="44" t="s">
        <v>263</v>
      </c>
      <c r="AG211" s="44" t="s">
        <v>263</v>
      </c>
      <c r="AH211" s="44" t="s">
        <v>262</v>
      </c>
      <c r="AI211" s="50">
        <v>0.05</v>
      </c>
      <c r="AJ211" s="47" t="s">
        <v>263</v>
      </c>
    </row>
    <row r="212" spans="1:36" x14ac:dyDescent="0.45">
      <c r="A212" s="43">
        <v>220</v>
      </c>
      <c r="B212" s="81">
        <v>134</v>
      </c>
      <c r="C212" s="44" t="s">
        <v>503</v>
      </c>
      <c r="D212" s="44" t="s">
        <v>84</v>
      </c>
      <c r="E212" s="45"/>
      <c r="F212" s="44" t="s">
        <v>1024</v>
      </c>
      <c r="G212" s="44" t="s">
        <v>918</v>
      </c>
      <c r="H212" s="44"/>
      <c r="I212" s="44" t="s">
        <v>1025</v>
      </c>
      <c r="J212" s="44" t="s">
        <v>1026</v>
      </c>
      <c r="K212" s="44" t="s">
        <v>921</v>
      </c>
      <c r="L212" s="44"/>
      <c r="M212" s="44" t="s">
        <v>1027</v>
      </c>
      <c r="N212" s="44" t="s">
        <v>1028</v>
      </c>
      <c r="O212" s="44" t="s">
        <v>923</v>
      </c>
      <c r="P212" s="44"/>
      <c r="Q212" s="44" t="s">
        <v>1029</v>
      </c>
      <c r="R212" s="46">
        <v>1</v>
      </c>
      <c r="S212" s="44">
        <v>1</v>
      </c>
      <c r="T212" s="44" t="s">
        <v>131</v>
      </c>
      <c r="U212" s="44" t="s">
        <v>168</v>
      </c>
      <c r="V212" s="44" t="s">
        <v>925</v>
      </c>
      <c r="W212" s="44" t="s">
        <v>925</v>
      </c>
      <c r="X212" s="44" t="s">
        <v>926</v>
      </c>
      <c r="Y212" s="44"/>
      <c r="Z212" s="44"/>
      <c r="AA212" s="44"/>
      <c r="AB212" s="44" t="s">
        <v>262</v>
      </c>
      <c r="AC212" s="44" t="s">
        <v>262</v>
      </c>
      <c r="AD212" s="44" t="s">
        <v>262</v>
      </c>
      <c r="AE212" s="44" t="s">
        <v>262</v>
      </c>
      <c r="AF212" s="44" t="s">
        <v>263</v>
      </c>
      <c r="AG212" s="44" t="s">
        <v>263</v>
      </c>
      <c r="AH212" s="44" t="s">
        <v>262</v>
      </c>
      <c r="AI212" s="50">
        <v>0.05</v>
      </c>
      <c r="AJ212" s="47" t="s">
        <v>263</v>
      </c>
    </row>
    <row r="213" spans="1:36" x14ac:dyDescent="0.45">
      <c r="A213" s="43">
        <v>221</v>
      </c>
      <c r="B213" s="81">
        <v>2260561000002</v>
      </c>
      <c r="C213" s="44" t="s">
        <v>503</v>
      </c>
      <c r="D213" s="44" t="s">
        <v>78</v>
      </c>
      <c r="E213" s="45">
        <v>2260561000002</v>
      </c>
      <c r="F213" s="44" t="s">
        <v>1024</v>
      </c>
      <c r="G213" s="44" t="s">
        <v>1010</v>
      </c>
      <c r="H213" s="44"/>
      <c r="I213" s="44" t="s">
        <v>1030</v>
      </c>
      <c r="J213" s="44" t="s">
        <v>1026</v>
      </c>
      <c r="K213" s="44" t="s">
        <v>1013</v>
      </c>
      <c r="L213" s="44"/>
      <c r="M213" s="44" t="s">
        <v>1031</v>
      </c>
      <c r="N213" s="44" t="s">
        <v>1028</v>
      </c>
      <c r="O213" s="44" t="s">
        <v>1016</v>
      </c>
      <c r="P213" s="44"/>
      <c r="Q213" s="44" t="s">
        <v>1032</v>
      </c>
      <c r="R213" s="46">
        <v>1</v>
      </c>
      <c r="S213" s="44">
        <v>1</v>
      </c>
      <c r="T213" s="44" t="s">
        <v>131</v>
      </c>
      <c r="U213" s="44" t="s">
        <v>169</v>
      </c>
      <c r="V213" s="44" t="s">
        <v>925</v>
      </c>
      <c r="W213" s="44" t="s">
        <v>925</v>
      </c>
      <c r="X213" s="44" t="s">
        <v>926</v>
      </c>
      <c r="Y213" s="44"/>
      <c r="Z213" s="44"/>
      <c r="AA213" s="44"/>
      <c r="AB213" s="44" t="s">
        <v>262</v>
      </c>
      <c r="AC213" s="44" t="s">
        <v>262</v>
      </c>
      <c r="AD213" s="44" t="s">
        <v>262</v>
      </c>
      <c r="AE213" s="44" t="s">
        <v>262</v>
      </c>
      <c r="AF213" s="44" t="s">
        <v>263</v>
      </c>
      <c r="AG213" s="44" t="s">
        <v>263</v>
      </c>
      <c r="AH213" s="44" t="s">
        <v>262</v>
      </c>
      <c r="AI213" s="50">
        <v>0.05</v>
      </c>
      <c r="AJ213" s="47" t="s">
        <v>263</v>
      </c>
    </row>
    <row r="214" spans="1:36" x14ac:dyDescent="0.45">
      <c r="A214" s="43">
        <v>222</v>
      </c>
      <c r="B214" s="81">
        <v>2287572000000</v>
      </c>
      <c r="C214" s="44" t="s">
        <v>503</v>
      </c>
      <c r="D214" s="44" t="s">
        <v>78</v>
      </c>
      <c r="E214" s="45">
        <v>2287572000000</v>
      </c>
      <c r="F214" s="44" t="s">
        <v>1033</v>
      </c>
      <c r="G214" s="44" t="s">
        <v>1010</v>
      </c>
      <c r="H214" s="44"/>
      <c r="I214" s="44" t="s">
        <v>1034</v>
      </c>
      <c r="J214" s="44" t="s">
        <v>1035</v>
      </c>
      <c r="K214" s="44" t="s">
        <v>1013</v>
      </c>
      <c r="L214" s="44"/>
      <c r="M214" s="44" t="s">
        <v>1036</v>
      </c>
      <c r="N214" s="44" t="s">
        <v>1037</v>
      </c>
      <c r="O214" s="44" t="s">
        <v>1016</v>
      </c>
      <c r="P214" s="44"/>
      <c r="Q214" s="44" t="s">
        <v>1038</v>
      </c>
      <c r="R214" s="46">
        <v>1</v>
      </c>
      <c r="S214" s="44">
        <v>1</v>
      </c>
      <c r="T214" s="44" t="s">
        <v>131</v>
      </c>
      <c r="U214" s="44" t="s">
        <v>169</v>
      </c>
      <c r="V214" s="44" t="s">
        <v>925</v>
      </c>
      <c r="W214" s="44" t="s">
        <v>925</v>
      </c>
      <c r="X214" s="44" t="s">
        <v>926</v>
      </c>
      <c r="Y214" s="44"/>
      <c r="Z214" s="44"/>
      <c r="AA214" s="44"/>
      <c r="AB214" s="44" t="s">
        <v>262</v>
      </c>
      <c r="AC214" s="44" t="s">
        <v>262</v>
      </c>
      <c r="AD214" s="44" t="s">
        <v>262</v>
      </c>
      <c r="AE214" s="44" t="s">
        <v>262</v>
      </c>
      <c r="AF214" s="44" t="s">
        <v>263</v>
      </c>
      <c r="AG214" s="44" t="s">
        <v>263</v>
      </c>
      <c r="AH214" s="44" t="s">
        <v>262</v>
      </c>
      <c r="AI214" s="50">
        <v>0.05</v>
      </c>
      <c r="AJ214" s="47" t="s">
        <v>263</v>
      </c>
    </row>
    <row r="215" spans="1:36" x14ac:dyDescent="0.45">
      <c r="A215" s="43">
        <v>223</v>
      </c>
      <c r="B215" s="81">
        <v>136</v>
      </c>
      <c r="C215" s="44" t="s">
        <v>503</v>
      </c>
      <c r="D215" s="44" t="s">
        <v>84</v>
      </c>
      <c r="E215" s="45"/>
      <c r="F215" s="44" t="s">
        <v>1039</v>
      </c>
      <c r="G215" s="44" t="s">
        <v>918</v>
      </c>
      <c r="H215" s="44"/>
      <c r="I215" s="44" t="s">
        <v>1040</v>
      </c>
      <c r="J215" s="44" t="s">
        <v>1041</v>
      </c>
      <c r="K215" s="44" t="s">
        <v>921</v>
      </c>
      <c r="L215" s="44"/>
      <c r="M215" s="44" t="s">
        <v>1042</v>
      </c>
      <c r="N215" s="44" t="s">
        <v>1043</v>
      </c>
      <c r="O215" s="44" t="s">
        <v>923</v>
      </c>
      <c r="P215" s="44"/>
      <c r="Q215" s="44" t="s">
        <v>1044</v>
      </c>
      <c r="R215" s="46">
        <v>1</v>
      </c>
      <c r="S215" s="44">
        <v>1</v>
      </c>
      <c r="T215" s="44" t="s">
        <v>131</v>
      </c>
      <c r="U215" s="44" t="s">
        <v>168</v>
      </c>
      <c r="V215" s="44" t="s">
        <v>925</v>
      </c>
      <c r="W215" s="44" t="s">
        <v>925</v>
      </c>
      <c r="X215" s="44" t="s">
        <v>926</v>
      </c>
      <c r="Y215" s="44"/>
      <c r="Z215" s="44"/>
      <c r="AA215" s="44"/>
      <c r="AB215" s="44" t="s">
        <v>262</v>
      </c>
      <c r="AC215" s="44" t="s">
        <v>262</v>
      </c>
      <c r="AD215" s="44" t="s">
        <v>262</v>
      </c>
      <c r="AE215" s="44" t="s">
        <v>262</v>
      </c>
      <c r="AF215" s="44" t="s">
        <v>263</v>
      </c>
      <c r="AG215" s="44" t="s">
        <v>263</v>
      </c>
      <c r="AH215" s="44" t="s">
        <v>262</v>
      </c>
      <c r="AI215" s="50">
        <v>0.05</v>
      </c>
      <c r="AJ215" s="47" t="s">
        <v>263</v>
      </c>
    </row>
    <row r="216" spans="1:36" x14ac:dyDescent="0.45">
      <c r="A216" s="43">
        <v>224</v>
      </c>
      <c r="B216" s="81">
        <v>2216831000005</v>
      </c>
      <c r="C216" s="44" t="s">
        <v>503</v>
      </c>
      <c r="D216" s="44" t="s">
        <v>78</v>
      </c>
      <c r="E216" s="45">
        <v>2216831000005</v>
      </c>
      <c r="F216" s="44" t="s">
        <v>1039</v>
      </c>
      <c r="G216" s="44" t="s">
        <v>1010</v>
      </c>
      <c r="H216" s="44"/>
      <c r="I216" s="44" t="s">
        <v>1045</v>
      </c>
      <c r="J216" s="44" t="s">
        <v>1041</v>
      </c>
      <c r="K216" s="44" t="s">
        <v>1013</v>
      </c>
      <c r="L216" s="44"/>
      <c r="M216" s="44" t="s">
        <v>1046</v>
      </c>
      <c r="N216" s="44" t="s">
        <v>1043</v>
      </c>
      <c r="O216" s="44" t="s">
        <v>1016</v>
      </c>
      <c r="P216" s="44"/>
      <c r="Q216" s="44" t="s">
        <v>1047</v>
      </c>
      <c r="R216" s="46">
        <v>1</v>
      </c>
      <c r="S216" s="44">
        <v>1</v>
      </c>
      <c r="T216" s="44" t="s">
        <v>131</v>
      </c>
      <c r="U216" s="44" t="s">
        <v>169</v>
      </c>
      <c r="V216" s="44" t="s">
        <v>925</v>
      </c>
      <c r="W216" s="44" t="s">
        <v>925</v>
      </c>
      <c r="X216" s="44" t="s">
        <v>926</v>
      </c>
      <c r="Y216" s="44"/>
      <c r="Z216" s="44"/>
      <c r="AA216" s="44"/>
      <c r="AB216" s="44" t="s">
        <v>262</v>
      </c>
      <c r="AC216" s="44" t="s">
        <v>262</v>
      </c>
      <c r="AD216" s="44" t="s">
        <v>262</v>
      </c>
      <c r="AE216" s="44" t="s">
        <v>262</v>
      </c>
      <c r="AF216" s="44" t="s">
        <v>263</v>
      </c>
      <c r="AG216" s="44" t="s">
        <v>263</v>
      </c>
      <c r="AH216" s="44" t="s">
        <v>262</v>
      </c>
      <c r="AI216" s="50">
        <v>0.05</v>
      </c>
      <c r="AJ216" s="47" t="s">
        <v>263</v>
      </c>
    </row>
    <row r="217" spans="1:36" x14ac:dyDescent="0.45">
      <c r="A217" s="43">
        <v>225</v>
      </c>
      <c r="B217" s="81">
        <v>2216799000000</v>
      </c>
      <c r="C217" s="44" t="s">
        <v>503</v>
      </c>
      <c r="D217" s="44" t="s">
        <v>78</v>
      </c>
      <c r="E217" s="45">
        <v>2216799000000</v>
      </c>
      <c r="F217" s="44" t="s">
        <v>1048</v>
      </c>
      <c r="G217" s="44" t="s">
        <v>1010</v>
      </c>
      <c r="H217" s="44"/>
      <c r="I217" s="44" t="s">
        <v>1049</v>
      </c>
      <c r="J217" s="44" t="s">
        <v>1050</v>
      </c>
      <c r="K217" s="44" t="s">
        <v>1013</v>
      </c>
      <c r="L217" s="44"/>
      <c r="M217" s="44" t="s">
        <v>1051</v>
      </c>
      <c r="N217" s="44" t="s">
        <v>1052</v>
      </c>
      <c r="O217" s="44" t="s">
        <v>1016</v>
      </c>
      <c r="P217" s="44"/>
      <c r="Q217" s="44" t="s">
        <v>1053</v>
      </c>
      <c r="R217" s="46">
        <v>1</v>
      </c>
      <c r="S217" s="44">
        <v>1</v>
      </c>
      <c r="T217" s="44" t="s">
        <v>131</v>
      </c>
      <c r="U217" s="44" t="s">
        <v>169</v>
      </c>
      <c r="V217" s="44" t="s">
        <v>925</v>
      </c>
      <c r="W217" s="44" t="s">
        <v>925</v>
      </c>
      <c r="X217" s="44" t="s">
        <v>926</v>
      </c>
      <c r="Y217" s="44"/>
      <c r="Z217" s="44"/>
      <c r="AA217" s="44"/>
      <c r="AB217" s="44" t="s">
        <v>262</v>
      </c>
      <c r="AC217" s="44" t="s">
        <v>262</v>
      </c>
      <c r="AD217" s="44" t="s">
        <v>262</v>
      </c>
      <c r="AE217" s="44" t="s">
        <v>262</v>
      </c>
      <c r="AF217" s="44" t="s">
        <v>263</v>
      </c>
      <c r="AG217" s="44" t="s">
        <v>263</v>
      </c>
      <c r="AH217" s="44" t="s">
        <v>262</v>
      </c>
      <c r="AI217" s="50">
        <v>0.05</v>
      </c>
      <c r="AJ217" s="47" t="s">
        <v>263</v>
      </c>
    </row>
    <row r="218" spans="1:36" x14ac:dyDescent="0.45">
      <c r="A218" s="43">
        <v>226</v>
      </c>
      <c r="B218" s="81">
        <v>138</v>
      </c>
      <c r="C218" s="44" t="s">
        <v>503</v>
      </c>
      <c r="D218" s="44" t="s">
        <v>84</v>
      </c>
      <c r="E218" s="45"/>
      <c r="F218" s="44" t="s">
        <v>1426</v>
      </c>
      <c r="G218" s="44" t="s">
        <v>918</v>
      </c>
      <c r="H218" s="44"/>
      <c r="I218" s="44" t="s">
        <v>1054</v>
      </c>
      <c r="J218" s="44" t="s">
        <v>1427</v>
      </c>
      <c r="K218" s="44" t="s">
        <v>921</v>
      </c>
      <c r="L218" s="44"/>
      <c r="M218" s="44" t="s">
        <v>1055</v>
      </c>
      <c r="N218" s="44" t="s">
        <v>1428</v>
      </c>
      <c r="O218" s="44" t="s">
        <v>923</v>
      </c>
      <c r="P218" s="44"/>
      <c r="Q218" s="44" t="s">
        <v>1056</v>
      </c>
      <c r="R218" s="46">
        <v>1</v>
      </c>
      <c r="S218" s="44">
        <v>1</v>
      </c>
      <c r="T218" s="44" t="s">
        <v>131</v>
      </c>
      <c r="U218" s="44" t="s">
        <v>168</v>
      </c>
      <c r="V218" s="44" t="s">
        <v>925</v>
      </c>
      <c r="W218" s="44" t="s">
        <v>925</v>
      </c>
      <c r="X218" s="44" t="s">
        <v>926</v>
      </c>
      <c r="Y218" s="44"/>
      <c r="Z218" s="44"/>
      <c r="AA218" s="44"/>
      <c r="AB218" s="44" t="s">
        <v>262</v>
      </c>
      <c r="AC218" s="44" t="s">
        <v>262</v>
      </c>
      <c r="AD218" s="44" t="s">
        <v>262</v>
      </c>
      <c r="AE218" s="44" t="s">
        <v>262</v>
      </c>
      <c r="AF218" s="44" t="s">
        <v>263</v>
      </c>
      <c r="AG218" s="44" t="s">
        <v>263</v>
      </c>
      <c r="AH218" s="44" t="s">
        <v>262</v>
      </c>
      <c r="AI218" s="50">
        <v>0.05</v>
      </c>
      <c r="AJ218" s="47" t="s">
        <v>263</v>
      </c>
    </row>
    <row r="219" spans="1:36" x14ac:dyDescent="0.45">
      <c r="A219" s="43">
        <v>228</v>
      </c>
      <c r="B219" s="81">
        <v>139</v>
      </c>
      <c r="C219" s="44" t="s">
        <v>503</v>
      </c>
      <c r="D219" s="44" t="s">
        <v>84</v>
      </c>
      <c r="E219" s="45"/>
      <c r="F219" s="44" t="s">
        <v>1057</v>
      </c>
      <c r="G219" s="44" t="s">
        <v>918</v>
      </c>
      <c r="H219" s="44"/>
      <c r="I219" s="44" t="s">
        <v>1058</v>
      </c>
      <c r="J219" s="44" t="s">
        <v>1059</v>
      </c>
      <c r="K219" s="44" t="s">
        <v>921</v>
      </c>
      <c r="L219" s="44"/>
      <c r="M219" s="44" t="s">
        <v>1060</v>
      </c>
      <c r="N219" s="44" t="s">
        <v>1061</v>
      </c>
      <c r="O219" s="44" t="s">
        <v>923</v>
      </c>
      <c r="P219" s="44"/>
      <c r="Q219" s="44" t="s">
        <v>1062</v>
      </c>
      <c r="R219" s="46">
        <v>1</v>
      </c>
      <c r="S219" s="44">
        <v>1</v>
      </c>
      <c r="T219" s="44" t="s">
        <v>131</v>
      </c>
      <c r="U219" s="44" t="s">
        <v>168</v>
      </c>
      <c r="V219" s="44" t="s">
        <v>925</v>
      </c>
      <c r="W219" s="44" t="s">
        <v>925</v>
      </c>
      <c r="X219" s="44" t="s">
        <v>926</v>
      </c>
      <c r="Y219" s="44"/>
      <c r="Z219" s="44"/>
      <c r="AA219" s="44"/>
      <c r="AB219" s="44" t="s">
        <v>262</v>
      </c>
      <c r="AC219" s="44" t="s">
        <v>262</v>
      </c>
      <c r="AD219" s="44" t="s">
        <v>262</v>
      </c>
      <c r="AE219" s="44" t="s">
        <v>262</v>
      </c>
      <c r="AF219" s="44" t="s">
        <v>263</v>
      </c>
      <c r="AG219" s="44" t="s">
        <v>263</v>
      </c>
      <c r="AH219" s="44" t="s">
        <v>262</v>
      </c>
      <c r="AI219" s="50">
        <v>0.05</v>
      </c>
      <c r="AJ219" s="47" t="s">
        <v>263</v>
      </c>
    </row>
    <row r="220" spans="1:36" x14ac:dyDescent="0.45">
      <c r="A220" s="43">
        <v>230</v>
      </c>
      <c r="B220" s="81">
        <v>140</v>
      </c>
      <c r="C220" s="44" t="s">
        <v>503</v>
      </c>
      <c r="D220" s="44" t="s">
        <v>84</v>
      </c>
      <c r="E220" s="45"/>
      <c r="F220" s="44" t="s">
        <v>1063</v>
      </c>
      <c r="G220" s="44" t="s">
        <v>918</v>
      </c>
      <c r="H220" s="44"/>
      <c r="I220" s="44" t="s">
        <v>1064</v>
      </c>
      <c r="J220" s="44" t="s">
        <v>1065</v>
      </c>
      <c r="K220" s="44" t="s">
        <v>921</v>
      </c>
      <c r="L220" s="44"/>
      <c r="M220" s="44" t="s">
        <v>1066</v>
      </c>
      <c r="N220" s="44" t="s">
        <v>1067</v>
      </c>
      <c r="O220" s="44" t="s">
        <v>923</v>
      </c>
      <c r="P220" s="44"/>
      <c r="Q220" s="44" t="s">
        <v>1068</v>
      </c>
      <c r="R220" s="46">
        <v>1</v>
      </c>
      <c r="S220" s="44">
        <v>1</v>
      </c>
      <c r="T220" s="44" t="s">
        <v>131</v>
      </c>
      <c r="U220" s="44" t="s">
        <v>168</v>
      </c>
      <c r="V220" s="44" t="s">
        <v>925</v>
      </c>
      <c r="W220" s="44" t="s">
        <v>925</v>
      </c>
      <c r="X220" s="44" t="s">
        <v>926</v>
      </c>
      <c r="Y220" s="44"/>
      <c r="Z220" s="44"/>
      <c r="AA220" s="44"/>
      <c r="AB220" s="44" t="s">
        <v>262</v>
      </c>
      <c r="AC220" s="44" t="s">
        <v>262</v>
      </c>
      <c r="AD220" s="44" t="s">
        <v>262</v>
      </c>
      <c r="AE220" s="44" t="s">
        <v>262</v>
      </c>
      <c r="AF220" s="44" t="s">
        <v>263</v>
      </c>
      <c r="AG220" s="44" t="s">
        <v>263</v>
      </c>
      <c r="AH220" s="44" t="s">
        <v>262</v>
      </c>
      <c r="AI220" s="50">
        <v>0.05</v>
      </c>
      <c r="AJ220" s="47" t="s">
        <v>263</v>
      </c>
    </row>
    <row r="221" spans="1:36" x14ac:dyDescent="0.45">
      <c r="A221" s="43">
        <v>231</v>
      </c>
      <c r="B221" s="81">
        <v>2216791000008</v>
      </c>
      <c r="C221" s="44" t="s">
        <v>503</v>
      </c>
      <c r="D221" s="44" t="s">
        <v>78</v>
      </c>
      <c r="E221" s="45">
        <v>2216791000008</v>
      </c>
      <c r="F221" s="44" t="s">
        <v>1063</v>
      </c>
      <c r="G221" s="44" t="s">
        <v>1010</v>
      </c>
      <c r="H221" s="44"/>
      <c r="I221" s="44" t="s">
        <v>1069</v>
      </c>
      <c r="J221" s="44" t="s">
        <v>1065</v>
      </c>
      <c r="K221" s="44" t="s">
        <v>1013</v>
      </c>
      <c r="L221" s="44"/>
      <c r="M221" s="44" t="s">
        <v>1070</v>
      </c>
      <c r="N221" s="44" t="s">
        <v>1067</v>
      </c>
      <c r="O221" s="44" t="s">
        <v>1016</v>
      </c>
      <c r="P221" s="44"/>
      <c r="Q221" s="44" t="s">
        <v>1071</v>
      </c>
      <c r="R221" s="46">
        <v>1</v>
      </c>
      <c r="S221" s="44">
        <v>1</v>
      </c>
      <c r="T221" s="44" t="s">
        <v>131</v>
      </c>
      <c r="U221" s="44" t="s">
        <v>169</v>
      </c>
      <c r="V221" s="44" t="s">
        <v>925</v>
      </c>
      <c r="W221" s="44" t="s">
        <v>925</v>
      </c>
      <c r="X221" s="44" t="s">
        <v>926</v>
      </c>
      <c r="Y221" s="44"/>
      <c r="Z221" s="44"/>
      <c r="AA221" s="44"/>
      <c r="AB221" s="44" t="s">
        <v>262</v>
      </c>
      <c r="AC221" s="44" t="s">
        <v>262</v>
      </c>
      <c r="AD221" s="44" t="s">
        <v>262</v>
      </c>
      <c r="AE221" s="44" t="s">
        <v>262</v>
      </c>
      <c r="AF221" s="44" t="s">
        <v>263</v>
      </c>
      <c r="AG221" s="44" t="s">
        <v>263</v>
      </c>
      <c r="AH221" s="44" t="s">
        <v>262</v>
      </c>
      <c r="AI221" s="50">
        <v>0.05</v>
      </c>
      <c r="AJ221" s="47" t="s">
        <v>263</v>
      </c>
    </row>
    <row r="222" spans="1:36" x14ac:dyDescent="0.45">
      <c r="A222" s="43">
        <v>232</v>
      </c>
      <c r="B222" s="81">
        <v>141</v>
      </c>
      <c r="C222" s="44" t="s">
        <v>503</v>
      </c>
      <c r="D222" s="44" t="s">
        <v>84</v>
      </c>
      <c r="E222" s="45"/>
      <c r="F222" s="44" t="s">
        <v>1072</v>
      </c>
      <c r="G222" s="44" t="s">
        <v>918</v>
      </c>
      <c r="H222" s="44"/>
      <c r="I222" s="44" t="s">
        <v>1073</v>
      </c>
      <c r="J222" s="44" t="s">
        <v>1074</v>
      </c>
      <c r="K222" s="44" t="s">
        <v>921</v>
      </c>
      <c r="L222" s="44"/>
      <c r="M222" s="44" t="s">
        <v>1075</v>
      </c>
      <c r="N222" s="44" t="s">
        <v>1076</v>
      </c>
      <c r="O222" s="44" t="s">
        <v>923</v>
      </c>
      <c r="P222" s="44"/>
      <c r="Q222" s="44" t="s">
        <v>1077</v>
      </c>
      <c r="R222" s="46">
        <v>1</v>
      </c>
      <c r="S222" s="44">
        <v>1</v>
      </c>
      <c r="T222" s="44" t="s">
        <v>131</v>
      </c>
      <c r="U222" s="44" t="s">
        <v>168</v>
      </c>
      <c r="V222" s="44" t="s">
        <v>925</v>
      </c>
      <c r="W222" s="44" t="s">
        <v>925</v>
      </c>
      <c r="X222" s="44" t="s">
        <v>926</v>
      </c>
      <c r="Y222" s="44"/>
      <c r="Z222" s="44"/>
      <c r="AA222" s="44"/>
      <c r="AB222" s="44" t="s">
        <v>262</v>
      </c>
      <c r="AC222" s="44" t="s">
        <v>262</v>
      </c>
      <c r="AD222" s="44" t="s">
        <v>262</v>
      </c>
      <c r="AE222" s="44" t="s">
        <v>262</v>
      </c>
      <c r="AF222" s="44" t="s">
        <v>263</v>
      </c>
      <c r="AG222" s="44" t="s">
        <v>263</v>
      </c>
      <c r="AH222" s="44" t="s">
        <v>262</v>
      </c>
      <c r="AI222" s="50">
        <v>0.05</v>
      </c>
      <c r="AJ222" s="47" t="s">
        <v>263</v>
      </c>
    </row>
    <row r="223" spans="1:36" x14ac:dyDescent="0.45">
      <c r="A223" s="43">
        <v>233</v>
      </c>
      <c r="B223" s="81">
        <v>2213811000000</v>
      </c>
      <c r="C223" s="44" t="s">
        <v>503</v>
      </c>
      <c r="D223" s="44" t="s">
        <v>78</v>
      </c>
      <c r="E223" s="45">
        <v>2213811000000</v>
      </c>
      <c r="F223" s="44" t="s">
        <v>1072</v>
      </c>
      <c r="G223" s="44" t="s">
        <v>1010</v>
      </c>
      <c r="H223" s="44"/>
      <c r="I223" s="44" t="s">
        <v>1078</v>
      </c>
      <c r="J223" s="44" t="s">
        <v>1074</v>
      </c>
      <c r="K223" s="44" t="s">
        <v>1013</v>
      </c>
      <c r="L223" s="44"/>
      <c r="M223" s="44" t="s">
        <v>1079</v>
      </c>
      <c r="N223" s="44" t="s">
        <v>1076</v>
      </c>
      <c r="O223" s="44" t="s">
        <v>1016</v>
      </c>
      <c r="P223" s="44"/>
      <c r="Q223" s="44" t="s">
        <v>1080</v>
      </c>
      <c r="R223" s="46">
        <v>1</v>
      </c>
      <c r="S223" s="44">
        <v>1</v>
      </c>
      <c r="T223" s="44" t="s">
        <v>131</v>
      </c>
      <c r="U223" s="44" t="s">
        <v>169</v>
      </c>
      <c r="V223" s="44" t="s">
        <v>925</v>
      </c>
      <c r="W223" s="44" t="s">
        <v>925</v>
      </c>
      <c r="X223" s="44" t="s">
        <v>926</v>
      </c>
      <c r="Y223" s="44"/>
      <c r="Z223" s="44"/>
      <c r="AA223" s="44"/>
      <c r="AB223" s="44" t="s">
        <v>262</v>
      </c>
      <c r="AC223" s="44" t="s">
        <v>262</v>
      </c>
      <c r="AD223" s="44" t="s">
        <v>262</v>
      </c>
      <c r="AE223" s="44" t="s">
        <v>262</v>
      </c>
      <c r="AF223" s="44" t="s">
        <v>263</v>
      </c>
      <c r="AG223" s="44" t="s">
        <v>263</v>
      </c>
      <c r="AH223" s="44" t="s">
        <v>262</v>
      </c>
      <c r="AI223" s="50">
        <v>0.05</v>
      </c>
      <c r="AJ223" s="47" t="s">
        <v>263</v>
      </c>
    </row>
    <row r="224" spans="1:36" x14ac:dyDescent="0.45">
      <c r="A224" s="43">
        <v>234</v>
      </c>
      <c r="B224" s="81">
        <v>147</v>
      </c>
      <c r="C224" s="44" t="s">
        <v>503</v>
      </c>
      <c r="D224" s="44"/>
      <c r="E224" s="44"/>
      <c r="F224" s="44" t="s">
        <v>1081</v>
      </c>
      <c r="G224" s="44"/>
      <c r="H224" s="44"/>
      <c r="I224" s="44" t="s">
        <v>1081</v>
      </c>
      <c r="J224" s="44" t="s">
        <v>1082</v>
      </c>
      <c r="K224" s="44" t="s">
        <v>972</v>
      </c>
      <c r="L224" s="44"/>
      <c r="M224" s="44" t="s">
        <v>1083</v>
      </c>
      <c r="N224" s="44" t="s">
        <v>1084</v>
      </c>
      <c r="O224" s="44" t="s">
        <v>957</v>
      </c>
      <c r="P224" s="44"/>
      <c r="Q224" s="44" t="s">
        <v>1085</v>
      </c>
      <c r="R224" s="46">
        <v>1</v>
      </c>
      <c r="S224" s="44">
        <v>1</v>
      </c>
      <c r="T224" s="44" t="s">
        <v>131</v>
      </c>
      <c r="U224" s="44" t="s">
        <v>168</v>
      </c>
      <c r="V224" s="44" t="s">
        <v>925</v>
      </c>
      <c r="W224" s="44" t="s">
        <v>925</v>
      </c>
      <c r="X224" s="44" t="s">
        <v>926</v>
      </c>
      <c r="Y224" s="44"/>
      <c r="Z224" s="44"/>
      <c r="AA224" s="44"/>
      <c r="AB224" s="44" t="s">
        <v>262</v>
      </c>
      <c r="AC224" s="44" t="s">
        <v>262</v>
      </c>
      <c r="AD224" s="44" t="s">
        <v>262</v>
      </c>
      <c r="AE224" s="44" t="s">
        <v>262</v>
      </c>
      <c r="AF224" s="44" t="s">
        <v>263</v>
      </c>
      <c r="AG224" s="44" t="s">
        <v>263</v>
      </c>
      <c r="AH224" s="44" t="s">
        <v>262</v>
      </c>
      <c r="AI224" s="50">
        <v>0.05</v>
      </c>
      <c r="AJ224" s="47" t="s">
        <v>263</v>
      </c>
    </row>
    <row r="225" spans="1:36" x14ac:dyDescent="0.45">
      <c r="A225" s="43">
        <v>235</v>
      </c>
      <c r="B225" s="81">
        <v>144</v>
      </c>
      <c r="C225" s="44" t="s">
        <v>503</v>
      </c>
      <c r="D225" s="44" t="s">
        <v>84</v>
      </c>
      <c r="E225" s="45"/>
      <c r="F225" s="44" t="s">
        <v>1086</v>
      </c>
      <c r="G225" s="44" t="s">
        <v>918</v>
      </c>
      <c r="H225" s="44"/>
      <c r="I225" s="44" t="s">
        <v>1087</v>
      </c>
      <c r="J225" s="44" t="s">
        <v>1088</v>
      </c>
      <c r="K225" s="44" t="s">
        <v>921</v>
      </c>
      <c r="L225" s="44"/>
      <c r="M225" s="44" t="s">
        <v>1089</v>
      </c>
      <c r="N225" s="44" t="s">
        <v>1090</v>
      </c>
      <c r="O225" s="44" t="s">
        <v>923</v>
      </c>
      <c r="P225" s="44"/>
      <c r="Q225" s="44" t="s">
        <v>1091</v>
      </c>
      <c r="R225" s="46">
        <v>1</v>
      </c>
      <c r="S225" s="44">
        <v>1</v>
      </c>
      <c r="T225" s="44" t="s">
        <v>131</v>
      </c>
      <c r="U225" s="44" t="s">
        <v>168</v>
      </c>
      <c r="V225" s="44" t="s">
        <v>925</v>
      </c>
      <c r="W225" s="44" t="s">
        <v>925</v>
      </c>
      <c r="X225" s="44" t="s">
        <v>926</v>
      </c>
      <c r="Y225" s="44"/>
      <c r="Z225" s="44"/>
      <c r="AA225" s="44"/>
      <c r="AB225" s="44" t="s">
        <v>262</v>
      </c>
      <c r="AC225" s="44" t="s">
        <v>262</v>
      </c>
      <c r="AD225" s="44" t="s">
        <v>262</v>
      </c>
      <c r="AE225" s="44" t="s">
        <v>262</v>
      </c>
      <c r="AF225" s="44" t="s">
        <v>263</v>
      </c>
      <c r="AG225" s="44" t="s">
        <v>263</v>
      </c>
      <c r="AH225" s="44" t="s">
        <v>262</v>
      </c>
      <c r="AI225" s="50">
        <v>0.05</v>
      </c>
      <c r="AJ225" s="47" t="s">
        <v>263</v>
      </c>
    </row>
    <row r="226" spans="1:36" x14ac:dyDescent="0.45">
      <c r="A226" s="43">
        <v>236</v>
      </c>
      <c r="B226" s="81">
        <v>2216921000007</v>
      </c>
      <c r="C226" s="44" t="s">
        <v>503</v>
      </c>
      <c r="D226" s="44" t="s">
        <v>78</v>
      </c>
      <c r="E226" s="45">
        <v>2216921000007</v>
      </c>
      <c r="F226" s="44" t="s">
        <v>1086</v>
      </c>
      <c r="G226" s="44" t="s">
        <v>1010</v>
      </c>
      <c r="H226" s="44"/>
      <c r="I226" s="44" t="s">
        <v>1092</v>
      </c>
      <c r="J226" s="44" t="s">
        <v>1088</v>
      </c>
      <c r="K226" s="44" t="s">
        <v>1013</v>
      </c>
      <c r="L226" s="44"/>
      <c r="M226" s="44" t="s">
        <v>1093</v>
      </c>
      <c r="N226" s="44" t="s">
        <v>1090</v>
      </c>
      <c r="O226" s="44" t="s">
        <v>1016</v>
      </c>
      <c r="P226" s="44"/>
      <c r="Q226" s="44" t="s">
        <v>1094</v>
      </c>
      <c r="R226" s="46">
        <v>1</v>
      </c>
      <c r="S226" s="44">
        <v>1</v>
      </c>
      <c r="T226" s="44" t="s">
        <v>131</v>
      </c>
      <c r="U226" s="44" t="s">
        <v>169</v>
      </c>
      <c r="V226" s="44" t="s">
        <v>925</v>
      </c>
      <c r="W226" s="44" t="s">
        <v>925</v>
      </c>
      <c r="X226" s="44" t="s">
        <v>926</v>
      </c>
      <c r="Y226" s="44"/>
      <c r="Z226" s="44"/>
      <c r="AA226" s="44"/>
      <c r="AB226" s="44" t="s">
        <v>262</v>
      </c>
      <c r="AC226" s="44" t="s">
        <v>262</v>
      </c>
      <c r="AD226" s="44" t="s">
        <v>262</v>
      </c>
      <c r="AE226" s="44" t="s">
        <v>262</v>
      </c>
      <c r="AF226" s="44" t="s">
        <v>263</v>
      </c>
      <c r="AG226" s="44" t="s">
        <v>263</v>
      </c>
      <c r="AH226" s="44" t="s">
        <v>262</v>
      </c>
      <c r="AI226" s="50">
        <v>0.05</v>
      </c>
      <c r="AJ226" s="47" t="s">
        <v>263</v>
      </c>
    </row>
    <row r="227" spans="1:36" x14ac:dyDescent="0.45">
      <c r="A227" s="43">
        <v>237</v>
      </c>
      <c r="B227" s="81">
        <v>145</v>
      </c>
      <c r="C227" s="44" t="s">
        <v>503</v>
      </c>
      <c r="D227" s="44" t="s">
        <v>84</v>
      </c>
      <c r="E227" s="45"/>
      <c r="F227" s="44" t="s">
        <v>1095</v>
      </c>
      <c r="G227" s="44" t="s">
        <v>918</v>
      </c>
      <c r="H227" s="44"/>
      <c r="I227" s="44" t="s">
        <v>1096</v>
      </c>
      <c r="J227" s="44" t="s">
        <v>1097</v>
      </c>
      <c r="K227" s="44" t="s">
        <v>921</v>
      </c>
      <c r="L227" s="44"/>
      <c r="M227" s="44" t="s">
        <v>1098</v>
      </c>
      <c r="N227" s="44" t="s">
        <v>1099</v>
      </c>
      <c r="O227" s="44" t="s">
        <v>923</v>
      </c>
      <c r="P227" s="44"/>
      <c r="Q227" s="44" t="s">
        <v>1100</v>
      </c>
      <c r="R227" s="46">
        <v>1</v>
      </c>
      <c r="S227" s="44">
        <v>1</v>
      </c>
      <c r="T227" s="44" t="s">
        <v>131</v>
      </c>
      <c r="U227" s="44" t="s">
        <v>168</v>
      </c>
      <c r="V227" s="44" t="s">
        <v>925</v>
      </c>
      <c r="W227" s="44" t="s">
        <v>925</v>
      </c>
      <c r="X227" s="44" t="s">
        <v>926</v>
      </c>
      <c r="Y227" s="44"/>
      <c r="Z227" s="44"/>
      <c r="AA227" s="44"/>
      <c r="AB227" s="44" t="s">
        <v>262</v>
      </c>
      <c r="AC227" s="44" t="s">
        <v>262</v>
      </c>
      <c r="AD227" s="44" t="s">
        <v>262</v>
      </c>
      <c r="AE227" s="44" t="s">
        <v>262</v>
      </c>
      <c r="AF227" s="44" t="s">
        <v>263</v>
      </c>
      <c r="AG227" s="44" t="s">
        <v>263</v>
      </c>
      <c r="AH227" s="44" t="s">
        <v>262</v>
      </c>
      <c r="AI227" s="50">
        <v>0.05</v>
      </c>
      <c r="AJ227" s="47" t="s">
        <v>263</v>
      </c>
    </row>
    <row r="228" spans="1:36" x14ac:dyDescent="0.45">
      <c r="A228" s="43">
        <v>238</v>
      </c>
      <c r="B228" s="81">
        <v>2287571000006</v>
      </c>
      <c r="C228" s="44" t="s">
        <v>503</v>
      </c>
      <c r="D228" s="44" t="s">
        <v>78</v>
      </c>
      <c r="E228" s="45">
        <v>2287571000006</v>
      </c>
      <c r="F228" s="44" t="s">
        <v>1101</v>
      </c>
      <c r="G228" s="44" t="s">
        <v>1010</v>
      </c>
      <c r="H228" s="44"/>
      <c r="I228" s="44" t="s">
        <v>1102</v>
      </c>
      <c r="J228" s="44" t="s">
        <v>1103</v>
      </c>
      <c r="K228" s="44" t="s">
        <v>1013</v>
      </c>
      <c r="L228" s="44"/>
      <c r="M228" s="44" t="s">
        <v>1104</v>
      </c>
      <c r="N228" s="44" t="s">
        <v>1105</v>
      </c>
      <c r="O228" s="44" t="s">
        <v>1016</v>
      </c>
      <c r="P228" s="44"/>
      <c r="Q228" s="44" t="s">
        <v>1106</v>
      </c>
      <c r="R228" s="46">
        <v>1</v>
      </c>
      <c r="S228" s="44">
        <v>1</v>
      </c>
      <c r="T228" s="44" t="s">
        <v>131</v>
      </c>
      <c r="U228" s="44" t="s">
        <v>169</v>
      </c>
      <c r="V228" s="44" t="s">
        <v>925</v>
      </c>
      <c r="W228" s="44" t="s">
        <v>925</v>
      </c>
      <c r="X228" s="44" t="s">
        <v>926</v>
      </c>
      <c r="Y228" s="44"/>
      <c r="Z228" s="44"/>
      <c r="AA228" s="44"/>
      <c r="AB228" s="44" t="s">
        <v>262</v>
      </c>
      <c r="AC228" s="44" t="s">
        <v>262</v>
      </c>
      <c r="AD228" s="44" t="s">
        <v>262</v>
      </c>
      <c r="AE228" s="44" t="s">
        <v>262</v>
      </c>
      <c r="AF228" s="44" t="s">
        <v>263</v>
      </c>
      <c r="AG228" s="44" t="s">
        <v>263</v>
      </c>
      <c r="AH228" s="44" t="s">
        <v>262</v>
      </c>
      <c r="AI228" s="50">
        <v>0.05</v>
      </c>
      <c r="AJ228" s="47" t="s">
        <v>263</v>
      </c>
    </row>
    <row r="229" spans="1:36" x14ac:dyDescent="0.45">
      <c r="A229" s="43">
        <v>239</v>
      </c>
      <c r="B229" s="81">
        <v>2215881000000</v>
      </c>
      <c r="C229" s="44" t="s">
        <v>503</v>
      </c>
      <c r="D229" s="44" t="s">
        <v>78</v>
      </c>
      <c r="E229" s="45">
        <v>2215881000000</v>
      </c>
      <c r="F229" s="44" t="s">
        <v>1107</v>
      </c>
      <c r="G229" s="44" t="s">
        <v>1010</v>
      </c>
      <c r="H229" s="44"/>
      <c r="I229" s="44" t="s">
        <v>1108</v>
      </c>
      <c r="J229" s="44" t="s">
        <v>1109</v>
      </c>
      <c r="K229" s="44" t="s">
        <v>1013</v>
      </c>
      <c r="L229" s="44"/>
      <c r="M229" s="44" t="s">
        <v>1110</v>
      </c>
      <c r="N229" s="44" t="s">
        <v>1111</v>
      </c>
      <c r="O229" s="44" t="s">
        <v>1016</v>
      </c>
      <c r="P229" s="44"/>
      <c r="Q229" s="44" t="s">
        <v>1429</v>
      </c>
      <c r="R229" s="46">
        <v>1</v>
      </c>
      <c r="S229" s="44">
        <v>1</v>
      </c>
      <c r="T229" s="44" t="s">
        <v>131</v>
      </c>
      <c r="U229" s="44" t="s">
        <v>169</v>
      </c>
      <c r="V229" s="44" t="s">
        <v>925</v>
      </c>
      <c r="W229" s="44" t="s">
        <v>925</v>
      </c>
      <c r="X229" s="44" t="s">
        <v>926</v>
      </c>
      <c r="Y229" s="44"/>
      <c r="Z229" s="44"/>
      <c r="AA229" s="44"/>
      <c r="AB229" s="44" t="s">
        <v>262</v>
      </c>
      <c r="AC229" s="44" t="s">
        <v>262</v>
      </c>
      <c r="AD229" s="44" t="s">
        <v>262</v>
      </c>
      <c r="AE229" s="44" t="s">
        <v>262</v>
      </c>
      <c r="AF229" s="44" t="s">
        <v>263</v>
      </c>
      <c r="AG229" s="44" t="s">
        <v>263</v>
      </c>
      <c r="AH229" s="44" t="s">
        <v>262</v>
      </c>
      <c r="AI229" s="50">
        <v>0.05</v>
      </c>
      <c r="AJ229" s="47" t="s">
        <v>263</v>
      </c>
    </row>
    <row r="230" spans="1:36" x14ac:dyDescent="0.45">
      <c r="A230" s="43">
        <v>240</v>
      </c>
      <c r="B230" s="81">
        <v>146</v>
      </c>
      <c r="C230" s="44" t="s">
        <v>503</v>
      </c>
      <c r="D230" s="44" t="s">
        <v>84</v>
      </c>
      <c r="E230" s="45"/>
      <c r="F230" s="44" t="s">
        <v>1112</v>
      </c>
      <c r="G230" s="44" t="s">
        <v>918</v>
      </c>
      <c r="H230" s="44"/>
      <c r="I230" s="44" t="s">
        <v>1113</v>
      </c>
      <c r="J230" s="44" t="s">
        <v>1114</v>
      </c>
      <c r="K230" s="44" t="s">
        <v>921</v>
      </c>
      <c r="L230" s="44"/>
      <c r="M230" s="44" t="s">
        <v>1115</v>
      </c>
      <c r="N230" s="44" t="s">
        <v>1116</v>
      </c>
      <c r="O230" s="44" t="s">
        <v>923</v>
      </c>
      <c r="P230" s="44"/>
      <c r="Q230" s="44" t="s">
        <v>1117</v>
      </c>
      <c r="R230" s="46">
        <v>1</v>
      </c>
      <c r="S230" s="44">
        <v>1</v>
      </c>
      <c r="T230" s="44" t="s">
        <v>131</v>
      </c>
      <c r="U230" s="44" t="s">
        <v>168</v>
      </c>
      <c r="V230" s="44" t="s">
        <v>925</v>
      </c>
      <c r="W230" s="44" t="s">
        <v>925</v>
      </c>
      <c r="X230" s="44" t="s">
        <v>926</v>
      </c>
      <c r="Y230" s="44"/>
      <c r="Z230" s="44"/>
      <c r="AA230" s="44"/>
      <c r="AB230" s="44" t="s">
        <v>262</v>
      </c>
      <c r="AC230" s="44" t="s">
        <v>262</v>
      </c>
      <c r="AD230" s="44" t="s">
        <v>262</v>
      </c>
      <c r="AE230" s="44" t="s">
        <v>262</v>
      </c>
      <c r="AF230" s="44" t="s">
        <v>263</v>
      </c>
      <c r="AG230" s="44" t="s">
        <v>263</v>
      </c>
      <c r="AH230" s="44" t="s">
        <v>262</v>
      </c>
      <c r="AI230" s="50">
        <v>0.05</v>
      </c>
      <c r="AJ230" s="47" t="s">
        <v>263</v>
      </c>
    </row>
    <row r="231" spans="1:36" x14ac:dyDescent="0.45">
      <c r="A231" s="43">
        <v>243</v>
      </c>
      <c r="B231" s="81">
        <v>158</v>
      </c>
      <c r="C231" s="44" t="s">
        <v>503</v>
      </c>
      <c r="D231" s="44"/>
      <c r="E231" s="45"/>
      <c r="F231" s="44" t="s">
        <v>1118</v>
      </c>
      <c r="G231" s="44" t="s">
        <v>969</v>
      </c>
      <c r="H231" s="44"/>
      <c r="I231" s="44" t="s">
        <v>1119</v>
      </c>
      <c r="J231" s="44" t="s">
        <v>1120</v>
      </c>
      <c r="K231" s="44" t="s">
        <v>972</v>
      </c>
      <c r="L231" s="44"/>
      <c r="M231" s="44" t="s">
        <v>1121</v>
      </c>
      <c r="N231" s="44" t="s">
        <v>1122</v>
      </c>
      <c r="O231" s="44" t="s">
        <v>957</v>
      </c>
      <c r="P231" s="44"/>
      <c r="Q231" s="44" t="s">
        <v>1123</v>
      </c>
      <c r="R231" s="46">
        <v>1</v>
      </c>
      <c r="S231" s="44">
        <v>1</v>
      </c>
      <c r="T231" s="44" t="s">
        <v>131</v>
      </c>
      <c r="U231" s="44" t="s">
        <v>168</v>
      </c>
      <c r="V231" s="44" t="s">
        <v>925</v>
      </c>
      <c r="W231" s="44" t="s">
        <v>925</v>
      </c>
      <c r="X231" s="44" t="s">
        <v>926</v>
      </c>
      <c r="Y231" s="44"/>
      <c r="Z231" s="44"/>
      <c r="AA231" s="44"/>
      <c r="AB231" s="44" t="s">
        <v>262</v>
      </c>
      <c r="AC231" s="44" t="s">
        <v>262</v>
      </c>
      <c r="AD231" s="44" t="s">
        <v>262</v>
      </c>
      <c r="AE231" s="44" t="s">
        <v>262</v>
      </c>
      <c r="AF231" s="44" t="s">
        <v>263</v>
      </c>
      <c r="AG231" s="44" t="s">
        <v>263</v>
      </c>
      <c r="AH231" s="44" t="s">
        <v>262</v>
      </c>
      <c r="AI231" s="50">
        <v>0.05</v>
      </c>
      <c r="AJ231" s="47" t="s">
        <v>263</v>
      </c>
    </row>
    <row r="232" spans="1:36" x14ac:dyDescent="0.45">
      <c r="A232" s="43">
        <v>245</v>
      </c>
      <c r="B232" s="81">
        <v>2216961000005</v>
      </c>
      <c r="C232" s="44" t="s">
        <v>503</v>
      </c>
      <c r="D232" s="44" t="s">
        <v>78</v>
      </c>
      <c r="E232" s="45">
        <v>2216961000005</v>
      </c>
      <c r="F232" s="44" t="s">
        <v>1124</v>
      </c>
      <c r="G232" s="44" t="s">
        <v>1010</v>
      </c>
      <c r="H232" s="44"/>
      <c r="I232" s="44" t="s">
        <v>1127</v>
      </c>
      <c r="J232" s="44" t="s">
        <v>1125</v>
      </c>
      <c r="K232" s="44" t="s">
        <v>1013</v>
      </c>
      <c r="L232" s="44"/>
      <c r="M232" s="44" t="s">
        <v>1128</v>
      </c>
      <c r="N232" s="44" t="s">
        <v>1126</v>
      </c>
      <c r="O232" s="44" t="s">
        <v>1016</v>
      </c>
      <c r="P232" s="44"/>
      <c r="Q232" s="44" t="s">
        <v>1129</v>
      </c>
      <c r="R232" s="46">
        <v>1</v>
      </c>
      <c r="S232" s="44">
        <v>1</v>
      </c>
      <c r="T232" s="44" t="s">
        <v>131</v>
      </c>
      <c r="U232" s="44" t="s">
        <v>169</v>
      </c>
      <c r="V232" s="44" t="s">
        <v>925</v>
      </c>
      <c r="W232" s="44" t="s">
        <v>925</v>
      </c>
      <c r="X232" s="44" t="s">
        <v>926</v>
      </c>
      <c r="Y232" s="44"/>
      <c r="Z232" s="44"/>
      <c r="AA232" s="44"/>
      <c r="AB232" s="44" t="s">
        <v>262</v>
      </c>
      <c r="AC232" s="44" t="s">
        <v>262</v>
      </c>
      <c r="AD232" s="44" t="s">
        <v>262</v>
      </c>
      <c r="AE232" s="44" t="s">
        <v>262</v>
      </c>
      <c r="AF232" s="44" t="s">
        <v>263</v>
      </c>
      <c r="AG232" s="44" t="s">
        <v>263</v>
      </c>
      <c r="AH232" s="44" t="s">
        <v>262</v>
      </c>
      <c r="AI232" s="50">
        <v>0.05</v>
      </c>
      <c r="AJ232" s="47" t="s">
        <v>263</v>
      </c>
    </row>
    <row r="233" spans="1:36" x14ac:dyDescent="0.45">
      <c r="A233" s="43">
        <v>246</v>
      </c>
      <c r="B233" s="81">
        <v>101</v>
      </c>
      <c r="C233" s="44" t="s">
        <v>503</v>
      </c>
      <c r="D233" s="44" t="s">
        <v>84</v>
      </c>
      <c r="E233" s="45"/>
      <c r="F233" s="44" t="s">
        <v>1130</v>
      </c>
      <c r="G233" s="44" t="s">
        <v>918</v>
      </c>
      <c r="H233" s="44"/>
      <c r="I233" s="44" t="s">
        <v>1131</v>
      </c>
      <c r="J233" s="44" t="s">
        <v>1132</v>
      </c>
      <c r="K233" s="44" t="s">
        <v>921</v>
      </c>
      <c r="L233" s="44"/>
      <c r="M233" s="44" t="s">
        <v>1133</v>
      </c>
      <c r="N233" s="44" t="s">
        <v>1134</v>
      </c>
      <c r="O233" s="44" t="s">
        <v>923</v>
      </c>
      <c r="P233" s="44"/>
      <c r="Q233" s="44" t="s">
        <v>1135</v>
      </c>
      <c r="R233" s="46">
        <v>1</v>
      </c>
      <c r="S233" s="44">
        <v>1</v>
      </c>
      <c r="T233" s="44" t="s">
        <v>131</v>
      </c>
      <c r="U233" s="44" t="s">
        <v>168</v>
      </c>
      <c r="V233" s="44" t="s">
        <v>925</v>
      </c>
      <c r="W233" s="44" t="s">
        <v>925</v>
      </c>
      <c r="X233" s="44" t="s">
        <v>926</v>
      </c>
      <c r="Y233" s="44"/>
      <c r="Z233" s="44"/>
      <c r="AA233" s="44"/>
      <c r="AB233" s="44" t="s">
        <v>262</v>
      </c>
      <c r="AC233" s="44" t="s">
        <v>262</v>
      </c>
      <c r="AD233" s="44" t="s">
        <v>262</v>
      </c>
      <c r="AE233" s="44" t="s">
        <v>262</v>
      </c>
      <c r="AF233" s="44" t="s">
        <v>263</v>
      </c>
      <c r="AG233" s="44" t="s">
        <v>263</v>
      </c>
      <c r="AH233" s="44" t="s">
        <v>262</v>
      </c>
      <c r="AI233" s="50">
        <v>0.05</v>
      </c>
      <c r="AJ233" s="47" t="s">
        <v>263</v>
      </c>
    </row>
    <row r="234" spans="1:36" x14ac:dyDescent="0.45">
      <c r="A234" s="43">
        <v>247</v>
      </c>
      <c r="B234" s="81">
        <v>2274484000001</v>
      </c>
      <c r="C234" s="44" t="s">
        <v>503</v>
      </c>
      <c r="D234" s="44" t="s">
        <v>78</v>
      </c>
      <c r="E234" s="45">
        <v>2274484000001</v>
      </c>
      <c r="F234" s="44" t="s">
        <v>1130</v>
      </c>
      <c r="G234" s="44" t="s">
        <v>1010</v>
      </c>
      <c r="H234" s="44"/>
      <c r="I234" s="44" t="s">
        <v>1136</v>
      </c>
      <c r="J234" s="44" t="s">
        <v>1132</v>
      </c>
      <c r="K234" s="44" t="s">
        <v>1013</v>
      </c>
      <c r="L234" s="44"/>
      <c r="M234" s="44" t="s">
        <v>1137</v>
      </c>
      <c r="N234" s="44" t="s">
        <v>1134</v>
      </c>
      <c r="O234" s="44" t="s">
        <v>1016</v>
      </c>
      <c r="P234" s="44"/>
      <c r="Q234" s="44" t="s">
        <v>1138</v>
      </c>
      <c r="R234" s="46">
        <v>1</v>
      </c>
      <c r="S234" s="44">
        <v>1</v>
      </c>
      <c r="T234" s="44" t="s">
        <v>131</v>
      </c>
      <c r="U234" s="44" t="s">
        <v>169</v>
      </c>
      <c r="V234" s="44" t="s">
        <v>925</v>
      </c>
      <c r="W234" s="44" t="s">
        <v>925</v>
      </c>
      <c r="X234" s="44" t="s">
        <v>926</v>
      </c>
      <c r="Y234" s="44"/>
      <c r="Z234" s="44"/>
      <c r="AA234" s="44"/>
      <c r="AB234" s="44" t="s">
        <v>262</v>
      </c>
      <c r="AC234" s="44" t="s">
        <v>262</v>
      </c>
      <c r="AD234" s="44" t="s">
        <v>262</v>
      </c>
      <c r="AE234" s="44" t="s">
        <v>262</v>
      </c>
      <c r="AF234" s="44" t="s">
        <v>263</v>
      </c>
      <c r="AG234" s="44" t="s">
        <v>263</v>
      </c>
      <c r="AH234" s="44" t="s">
        <v>262</v>
      </c>
      <c r="AI234" s="50">
        <v>0.05</v>
      </c>
      <c r="AJ234" s="47" t="s">
        <v>263</v>
      </c>
    </row>
    <row r="235" spans="1:36" x14ac:dyDescent="0.45">
      <c r="A235" s="43">
        <v>248</v>
      </c>
      <c r="B235" s="81">
        <v>102</v>
      </c>
      <c r="C235" s="44" t="s">
        <v>503</v>
      </c>
      <c r="D235" s="44" t="s">
        <v>84</v>
      </c>
      <c r="E235" s="45"/>
      <c r="F235" s="44" t="s">
        <v>1130</v>
      </c>
      <c r="G235" s="44" t="s">
        <v>1139</v>
      </c>
      <c r="H235" s="44"/>
      <c r="I235" s="44" t="s">
        <v>1140</v>
      </c>
      <c r="J235" s="44" t="s">
        <v>1132</v>
      </c>
      <c r="K235" s="44" t="s">
        <v>1141</v>
      </c>
      <c r="L235" s="44"/>
      <c r="M235" s="44" t="s">
        <v>1142</v>
      </c>
      <c r="N235" s="44" t="s">
        <v>1134</v>
      </c>
      <c r="O235" s="44" t="s">
        <v>1143</v>
      </c>
      <c r="P235" s="44"/>
      <c r="Q235" s="44" t="s">
        <v>1144</v>
      </c>
      <c r="R235" s="46">
        <v>1</v>
      </c>
      <c r="S235" s="44">
        <v>1</v>
      </c>
      <c r="T235" s="44" t="s">
        <v>131</v>
      </c>
      <c r="U235" s="44" t="s">
        <v>168</v>
      </c>
      <c r="V235" s="44" t="s">
        <v>925</v>
      </c>
      <c r="W235" s="44" t="s">
        <v>925</v>
      </c>
      <c r="X235" s="44" t="s">
        <v>926</v>
      </c>
      <c r="Y235" s="44"/>
      <c r="Z235" s="44"/>
      <c r="AA235" s="44"/>
      <c r="AB235" s="44" t="s">
        <v>262</v>
      </c>
      <c r="AC235" s="44" t="s">
        <v>262</v>
      </c>
      <c r="AD235" s="44" t="s">
        <v>262</v>
      </c>
      <c r="AE235" s="44" t="s">
        <v>262</v>
      </c>
      <c r="AF235" s="44" t="s">
        <v>263</v>
      </c>
      <c r="AG235" s="44" t="s">
        <v>263</v>
      </c>
      <c r="AH235" s="44" t="s">
        <v>262</v>
      </c>
      <c r="AI235" s="50">
        <v>0.05</v>
      </c>
      <c r="AJ235" s="47" t="s">
        <v>263</v>
      </c>
    </row>
    <row r="236" spans="1:36" x14ac:dyDescent="0.45">
      <c r="A236" s="43">
        <v>249</v>
      </c>
      <c r="B236" s="81">
        <v>7610632010280</v>
      </c>
      <c r="C236" s="44" t="s">
        <v>252</v>
      </c>
      <c r="D236" s="44" t="s">
        <v>84</v>
      </c>
      <c r="E236" s="45">
        <v>7610632010280</v>
      </c>
      <c r="F236" s="44" t="s">
        <v>1430</v>
      </c>
      <c r="G236" s="44" t="s">
        <v>959</v>
      </c>
      <c r="H236" s="44" t="s">
        <v>1145</v>
      </c>
      <c r="I236" s="44" t="s">
        <v>1146</v>
      </c>
      <c r="J236" s="44" t="s">
        <v>1431</v>
      </c>
      <c r="K236" s="44" t="s">
        <v>960</v>
      </c>
      <c r="L236" s="44" t="s">
        <v>1145</v>
      </c>
      <c r="M236" s="44" t="s">
        <v>1147</v>
      </c>
      <c r="N236" s="44" t="s">
        <v>1432</v>
      </c>
      <c r="O236" s="44" t="s">
        <v>961</v>
      </c>
      <c r="P236" s="44" t="s">
        <v>1145</v>
      </c>
      <c r="Q236" s="44" t="s">
        <v>1148</v>
      </c>
      <c r="R236" s="46">
        <v>0.125</v>
      </c>
      <c r="S236" s="44">
        <v>100</v>
      </c>
      <c r="T236" s="44" t="s">
        <v>130</v>
      </c>
      <c r="U236" s="44" t="s">
        <v>169</v>
      </c>
      <c r="V236" s="44" t="s">
        <v>925</v>
      </c>
      <c r="W236" s="44" t="s">
        <v>925</v>
      </c>
      <c r="X236" s="44" t="s">
        <v>926</v>
      </c>
      <c r="Y236" s="44"/>
      <c r="Z236" s="44"/>
      <c r="AA236" s="44"/>
      <c r="AB236" s="44" t="s">
        <v>262</v>
      </c>
      <c r="AC236" s="44" t="s">
        <v>262</v>
      </c>
      <c r="AD236" s="44" t="s">
        <v>262</v>
      </c>
      <c r="AE236" s="44" t="s">
        <v>262</v>
      </c>
      <c r="AF236" s="44" t="s">
        <v>263</v>
      </c>
      <c r="AG236" s="44" t="s">
        <v>263</v>
      </c>
      <c r="AH236" s="44" t="s">
        <v>262</v>
      </c>
      <c r="AI236" s="50">
        <v>0.05</v>
      </c>
      <c r="AJ236" s="47" t="s">
        <v>263</v>
      </c>
    </row>
    <row r="237" spans="1:36" x14ac:dyDescent="0.45">
      <c r="A237" s="43">
        <v>250</v>
      </c>
      <c r="B237" s="81">
        <v>7610632050064</v>
      </c>
      <c r="C237" s="44" t="s">
        <v>252</v>
      </c>
      <c r="D237" s="44" t="s">
        <v>84</v>
      </c>
      <c r="E237" s="45">
        <v>7610632050064</v>
      </c>
      <c r="F237" s="44" t="s">
        <v>1430</v>
      </c>
      <c r="G237" s="44" t="s">
        <v>959</v>
      </c>
      <c r="H237" s="44" t="s">
        <v>255</v>
      </c>
      <c r="I237" s="44" t="s">
        <v>1149</v>
      </c>
      <c r="J237" s="44" t="s">
        <v>1431</v>
      </c>
      <c r="K237" s="44" t="s">
        <v>960</v>
      </c>
      <c r="L237" s="44" t="s">
        <v>255</v>
      </c>
      <c r="M237" s="44" t="s">
        <v>1150</v>
      </c>
      <c r="N237" s="44" t="s">
        <v>1432</v>
      </c>
      <c r="O237" s="44" t="s">
        <v>961</v>
      </c>
      <c r="P237" s="44" t="s">
        <v>255</v>
      </c>
      <c r="Q237" s="44" t="s">
        <v>1151</v>
      </c>
      <c r="R237" s="46">
        <v>0.25</v>
      </c>
      <c r="S237" s="44">
        <v>100</v>
      </c>
      <c r="T237" s="44" t="s">
        <v>130</v>
      </c>
      <c r="U237" s="44" t="s">
        <v>169</v>
      </c>
      <c r="V237" s="44" t="s">
        <v>925</v>
      </c>
      <c r="W237" s="44" t="s">
        <v>925</v>
      </c>
      <c r="X237" s="44" t="s">
        <v>926</v>
      </c>
      <c r="Y237" s="44"/>
      <c r="Z237" s="44"/>
      <c r="AA237" s="44"/>
      <c r="AB237" s="44" t="s">
        <v>262</v>
      </c>
      <c r="AC237" s="44" t="s">
        <v>262</v>
      </c>
      <c r="AD237" s="44" t="s">
        <v>262</v>
      </c>
      <c r="AE237" s="44" t="s">
        <v>262</v>
      </c>
      <c r="AF237" s="44" t="s">
        <v>263</v>
      </c>
      <c r="AG237" s="44" t="s">
        <v>263</v>
      </c>
      <c r="AH237" s="44" t="s">
        <v>262</v>
      </c>
      <c r="AI237" s="50">
        <v>0.05</v>
      </c>
      <c r="AJ237" s="47" t="s">
        <v>263</v>
      </c>
    </row>
    <row r="238" spans="1:36" x14ac:dyDescent="0.45">
      <c r="A238" s="43">
        <v>252</v>
      </c>
      <c r="B238" s="81">
        <v>129</v>
      </c>
      <c r="C238" s="44" t="s">
        <v>503</v>
      </c>
      <c r="D238" s="44" t="s">
        <v>84</v>
      </c>
      <c r="E238" s="45"/>
      <c r="F238" s="44" t="s">
        <v>1152</v>
      </c>
      <c r="G238" s="44" t="s">
        <v>969</v>
      </c>
      <c r="H238" s="44"/>
      <c r="I238" s="44" t="s">
        <v>1153</v>
      </c>
      <c r="J238" s="44" t="s">
        <v>1154</v>
      </c>
      <c r="K238" s="44" t="s">
        <v>972</v>
      </c>
      <c r="L238" s="44"/>
      <c r="M238" s="44" t="s">
        <v>1155</v>
      </c>
      <c r="N238" s="44" t="s">
        <v>1156</v>
      </c>
      <c r="O238" s="44" t="s">
        <v>957</v>
      </c>
      <c r="P238" s="44"/>
      <c r="Q238" s="44" t="s">
        <v>1157</v>
      </c>
      <c r="R238" s="46">
        <v>1</v>
      </c>
      <c r="S238" s="44">
        <v>1</v>
      </c>
      <c r="T238" s="44" t="s">
        <v>131</v>
      </c>
      <c r="U238" s="44" t="s">
        <v>168</v>
      </c>
      <c r="V238" s="44" t="s">
        <v>925</v>
      </c>
      <c r="W238" s="44" t="s">
        <v>925</v>
      </c>
      <c r="X238" s="44" t="s">
        <v>926</v>
      </c>
      <c r="Y238" s="44"/>
      <c r="Z238" s="44"/>
      <c r="AA238" s="44"/>
      <c r="AB238" s="44" t="s">
        <v>262</v>
      </c>
      <c r="AC238" s="44" t="s">
        <v>262</v>
      </c>
      <c r="AD238" s="44" t="s">
        <v>262</v>
      </c>
      <c r="AE238" s="44" t="s">
        <v>262</v>
      </c>
      <c r="AF238" s="44" t="s">
        <v>263</v>
      </c>
      <c r="AG238" s="44" t="s">
        <v>263</v>
      </c>
      <c r="AH238" s="44" t="s">
        <v>262</v>
      </c>
      <c r="AI238" s="50">
        <v>0.05</v>
      </c>
      <c r="AJ238" s="47" t="s">
        <v>263</v>
      </c>
    </row>
    <row r="239" spans="1:36" x14ac:dyDescent="0.45">
      <c r="A239" s="43">
        <v>253</v>
      </c>
      <c r="B239" s="81">
        <v>131</v>
      </c>
      <c r="C239" s="44" t="s">
        <v>503</v>
      </c>
      <c r="D239" s="44" t="s">
        <v>84</v>
      </c>
      <c r="E239" s="45"/>
      <c r="F239" s="44" t="s">
        <v>1158</v>
      </c>
      <c r="G239" s="44" t="s">
        <v>969</v>
      </c>
      <c r="H239" s="44"/>
      <c r="I239" s="44" t="s">
        <v>1159</v>
      </c>
      <c r="J239" s="44" t="s">
        <v>1160</v>
      </c>
      <c r="K239" s="44" t="s">
        <v>972</v>
      </c>
      <c r="L239" s="44"/>
      <c r="M239" s="44" t="s">
        <v>1161</v>
      </c>
      <c r="N239" s="44" t="s">
        <v>1162</v>
      </c>
      <c r="O239" s="44" t="s">
        <v>957</v>
      </c>
      <c r="P239" s="44"/>
      <c r="Q239" s="44" t="s">
        <v>1163</v>
      </c>
      <c r="R239" s="46">
        <v>1</v>
      </c>
      <c r="S239" s="44">
        <v>1</v>
      </c>
      <c r="T239" s="44" t="s">
        <v>131</v>
      </c>
      <c r="U239" s="44" t="s">
        <v>168</v>
      </c>
      <c r="V239" s="44" t="s">
        <v>925</v>
      </c>
      <c r="W239" s="44" t="s">
        <v>925</v>
      </c>
      <c r="X239" s="44" t="s">
        <v>926</v>
      </c>
      <c r="Y239" s="44"/>
      <c r="Z239" s="44"/>
      <c r="AA239" s="44"/>
      <c r="AB239" s="44" t="s">
        <v>262</v>
      </c>
      <c r="AC239" s="44" t="s">
        <v>262</v>
      </c>
      <c r="AD239" s="44" t="s">
        <v>262</v>
      </c>
      <c r="AE239" s="44" t="s">
        <v>262</v>
      </c>
      <c r="AF239" s="44" t="s">
        <v>263</v>
      </c>
      <c r="AG239" s="44" t="s">
        <v>263</v>
      </c>
      <c r="AH239" s="44" t="s">
        <v>262</v>
      </c>
      <c r="AI239" s="50">
        <v>0.05</v>
      </c>
      <c r="AJ239" s="47" t="s">
        <v>263</v>
      </c>
    </row>
    <row r="240" spans="1:36" x14ac:dyDescent="0.45">
      <c r="A240" s="43">
        <v>255</v>
      </c>
      <c r="B240" s="81">
        <v>130</v>
      </c>
      <c r="C240" s="44" t="s">
        <v>503</v>
      </c>
      <c r="D240" s="44"/>
      <c r="E240" s="45"/>
      <c r="F240" s="44" t="s">
        <v>1433</v>
      </c>
      <c r="G240" s="44"/>
      <c r="H240" s="44"/>
      <c r="I240" s="44" t="s">
        <v>1434</v>
      </c>
      <c r="J240" s="44" t="s">
        <v>1164</v>
      </c>
      <c r="K240" s="44" t="s">
        <v>972</v>
      </c>
      <c r="L240" s="44"/>
      <c r="M240" s="44" t="s">
        <v>1165</v>
      </c>
      <c r="N240" s="44" t="s">
        <v>1166</v>
      </c>
      <c r="O240" s="44" t="s">
        <v>957</v>
      </c>
      <c r="P240" s="44"/>
      <c r="Q240" s="44" t="s">
        <v>1167</v>
      </c>
      <c r="R240" s="46">
        <v>1</v>
      </c>
      <c r="S240" s="44">
        <v>1</v>
      </c>
      <c r="T240" s="44" t="s">
        <v>131</v>
      </c>
      <c r="U240" s="44" t="s">
        <v>168</v>
      </c>
      <c r="V240" s="44" t="s">
        <v>925</v>
      </c>
      <c r="W240" s="44" t="s">
        <v>925</v>
      </c>
      <c r="X240" s="44" t="s">
        <v>926</v>
      </c>
      <c r="Y240" s="44"/>
      <c r="Z240" s="44"/>
      <c r="AA240" s="44"/>
      <c r="AB240" s="44" t="s">
        <v>262</v>
      </c>
      <c r="AC240" s="44" t="s">
        <v>262</v>
      </c>
      <c r="AD240" s="44" t="s">
        <v>262</v>
      </c>
      <c r="AE240" s="44" t="s">
        <v>262</v>
      </c>
      <c r="AF240" s="44" t="s">
        <v>263</v>
      </c>
      <c r="AG240" s="44" t="s">
        <v>263</v>
      </c>
      <c r="AH240" s="44" t="s">
        <v>262</v>
      </c>
      <c r="AI240" s="50">
        <v>0.05</v>
      </c>
      <c r="AJ240" s="47" t="s">
        <v>263</v>
      </c>
    </row>
    <row r="241" spans="1:36" x14ac:dyDescent="0.45">
      <c r="A241" s="43">
        <v>256</v>
      </c>
      <c r="B241" s="81">
        <v>103</v>
      </c>
      <c r="C241" s="44" t="s">
        <v>503</v>
      </c>
      <c r="D241" s="44" t="s">
        <v>84</v>
      </c>
      <c r="E241" s="45"/>
      <c r="F241" s="44" t="s">
        <v>1168</v>
      </c>
      <c r="G241" s="44" t="s">
        <v>918</v>
      </c>
      <c r="H241" s="44"/>
      <c r="I241" s="44" t="s">
        <v>1169</v>
      </c>
      <c r="J241" s="44" t="s">
        <v>1170</v>
      </c>
      <c r="K241" s="44" t="s">
        <v>921</v>
      </c>
      <c r="L241" s="44"/>
      <c r="M241" s="44" t="s">
        <v>1171</v>
      </c>
      <c r="N241" s="44" t="s">
        <v>1172</v>
      </c>
      <c r="O241" s="44" t="s">
        <v>923</v>
      </c>
      <c r="P241" s="44"/>
      <c r="Q241" s="44" t="s">
        <v>1173</v>
      </c>
      <c r="R241" s="46">
        <v>1</v>
      </c>
      <c r="S241" s="44">
        <v>1</v>
      </c>
      <c r="T241" s="44" t="s">
        <v>131</v>
      </c>
      <c r="U241" s="44" t="s">
        <v>168</v>
      </c>
      <c r="V241" s="44" t="s">
        <v>925</v>
      </c>
      <c r="W241" s="44" t="s">
        <v>925</v>
      </c>
      <c r="X241" s="44" t="s">
        <v>926</v>
      </c>
      <c r="Y241" s="44"/>
      <c r="Z241" s="44"/>
      <c r="AA241" s="44"/>
      <c r="AB241" s="44" t="s">
        <v>262</v>
      </c>
      <c r="AC241" s="44" t="s">
        <v>262</v>
      </c>
      <c r="AD241" s="44" t="s">
        <v>262</v>
      </c>
      <c r="AE241" s="44" t="s">
        <v>262</v>
      </c>
      <c r="AF241" s="44" t="s">
        <v>263</v>
      </c>
      <c r="AG241" s="44" t="s">
        <v>263</v>
      </c>
      <c r="AH241" s="44" t="s">
        <v>262</v>
      </c>
      <c r="AI241" s="50">
        <v>0.05</v>
      </c>
      <c r="AJ241" s="47" t="s">
        <v>263</v>
      </c>
    </row>
    <row r="242" spans="1:36" x14ac:dyDescent="0.45">
      <c r="A242" s="43">
        <v>257</v>
      </c>
      <c r="B242" s="81">
        <v>2202261000005</v>
      </c>
      <c r="C242" s="44" t="s">
        <v>503</v>
      </c>
      <c r="D242" s="44" t="s">
        <v>78</v>
      </c>
      <c r="E242" s="45">
        <v>2202261000005</v>
      </c>
      <c r="F242" s="44" t="s">
        <v>1168</v>
      </c>
      <c r="G242" s="44" t="s">
        <v>1010</v>
      </c>
      <c r="H242" s="44"/>
      <c r="I242" s="44" t="s">
        <v>1174</v>
      </c>
      <c r="J242" s="44" t="s">
        <v>1170</v>
      </c>
      <c r="K242" s="44" t="s">
        <v>1013</v>
      </c>
      <c r="L242" s="44"/>
      <c r="M242" s="44" t="s">
        <v>1175</v>
      </c>
      <c r="N242" s="44" t="s">
        <v>1172</v>
      </c>
      <c r="O242" s="44" t="s">
        <v>1016</v>
      </c>
      <c r="P242" s="44"/>
      <c r="Q242" s="44" t="s">
        <v>1176</v>
      </c>
      <c r="R242" s="46">
        <v>1</v>
      </c>
      <c r="S242" s="44">
        <v>1</v>
      </c>
      <c r="T242" s="44" t="s">
        <v>131</v>
      </c>
      <c r="U242" s="44" t="s">
        <v>169</v>
      </c>
      <c r="V242" s="44" t="s">
        <v>925</v>
      </c>
      <c r="W242" s="44" t="s">
        <v>925</v>
      </c>
      <c r="X242" s="44" t="s">
        <v>926</v>
      </c>
      <c r="Y242" s="44"/>
      <c r="Z242" s="44"/>
      <c r="AA242" s="44"/>
      <c r="AB242" s="44" t="s">
        <v>262</v>
      </c>
      <c r="AC242" s="44" t="s">
        <v>262</v>
      </c>
      <c r="AD242" s="44" t="s">
        <v>262</v>
      </c>
      <c r="AE242" s="44" t="s">
        <v>262</v>
      </c>
      <c r="AF242" s="44" t="s">
        <v>263</v>
      </c>
      <c r="AG242" s="44" t="s">
        <v>263</v>
      </c>
      <c r="AH242" s="44" t="s">
        <v>262</v>
      </c>
      <c r="AI242" s="50">
        <v>0.05</v>
      </c>
      <c r="AJ242" s="47" t="s">
        <v>263</v>
      </c>
    </row>
    <row r="243" spans="1:36" x14ac:dyDescent="0.45">
      <c r="A243" s="43">
        <v>258</v>
      </c>
      <c r="B243" s="81">
        <v>125</v>
      </c>
      <c r="C243" s="44" t="s">
        <v>503</v>
      </c>
      <c r="D243" s="44"/>
      <c r="E243" s="45"/>
      <c r="F243" s="44" t="s">
        <v>1177</v>
      </c>
      <c r="G243" s="44"/>
      <c r="H243" s="44"/>
      <c r="I243" s="44" t="s">
        <v>1177</v>
      </c>
      <c r="J243" s="44" t="s">
        <v>1178</v>
      </c>
      <c r="K243" s="44" t="s">
        <v>1179</v>
      </c>
      <c r="L243" s="44"/>
      <c r="M243" s="44" t="s">
        <v>1180</v>
      </c>
      <c r="N243" s="44" t="s">
        <v>1181</v>
      </c>
      <c r="O243" s="44" t="s">
        <v>957</v>
      </c>
      <c r="P243" s="44"/>
      <c r="Q243" s="44" t="s">
        <v>1182</v>
      </c>
      <c r="R243" s="46">
        <v>1</v>
      </c>
      <c r="S243" s="44">
        <v>1</v>
      </c>
      <c r="T243" s="44" t="s">
        <v>131</v>
      </c>
      <c r="U243" s="44" t="s">
        <v>168</v>
      </c>
      <c r="V243" s="44" t="s">
        <v>925</v>
      </c>
      <c r="W243" s="44" t="s">
        <v>925</v>
      </c>
      <c r="X243" s="44" t="s">
        <v>926</v>
      </c>
      <c r="Y243" s="44"/>
      <c r="Z243" s="44"/>
      <c r="AA243" s="44"/>
      <c r="AB243" s="44" t="s">
        <v>262</v>
      </c>
      <c r="AC243" s="44" t="s">
        <v>262</v>
      </c>
      <c r="AD243" s="44" t="s">
        <v>262</v>
      </c>
      <c r="AE243" s="44" t="s">
        <v>262</v>
      </c>
      <c r="AF243" s="44" t="s">
        <v>263</v>
      </c>
      <c r="AG243" s="44" t="s">
        <v>263</v>
      </c>
      <c r="AH243" s="44" t="s">
        <v>262</v>
      </c>
      <c r="AI243" s="50">
        <v>0.05</v>
      </c>
      <c r="AJ243" s="47" t="s">
        <v>263</v>
      </c>
    </row>
    <row r="244" spans="1:36" x14ac:dyDescent="0.45">
      <c r="A244" s="43">
        <v>260</v>
      </c>
      <c r="B244" s="81">
        <v>2202291000006</v>
      </c>
      <c r="C244" s="44" t="s">
        <v>503</v>
      </c>
      <c r="D244" s="44" t="s">
        <v>78</v>
      </c>
      <c r="E244" s="45">
        <v>2202291000006</v>
      </c>
      <c r="F244" s="44" t="s">
        <v>1183</v>
      </c>
      <c r="G244" s="44" t="s">
        <v>1010</v>
      </c>
      <c r="H244" s="44"/>
      <c r="I244" s="44" t="s">
        <v>1186</v>
      </c>
      <c r="J244" s="44" t="s">
        <v>1184</v>
      </c>
      <c r="K244" s="44" t="s">
        <v>1013</v>
      </c>
      <c r="L244" s="44"/>
      <c r="M244" s="44" t="s">
        <v>1187</v>
      </c>
      <c r="N244" s="44" t="s">
        <v>1185</v>
      </c>
      <c r="O244" s="44" t="s">
        <v>1016</v>
      </c>
      <c r="P244" s="44"/>
      <c r="Q244" s="44" t="s">
        <v>1188</v>
      </c>
      <c r="R244" s="46">
        <v>1</v>
      </c>
      <c r="S244" s="44">
        <v>1</v>
      </c>
      <c r="T244" s="44" t="s">
        <v>131</v>
      </c>
      <c r="U244" s="44" t="s">
        <v>169</v>
      </c>
      <c r="V244" s="44" t="s">
        <v>925</v>
      </c>
      <c r="W244" s="44" t="s">
        <v>925</v>
      </c>
      <c r="X244" s="44" t="s">
        <v>926</v>
      </c>
      <c r="Y244" s="44"/>
      <c r="Z244" s="44"/>
      <c r="AA244" s="44"/>
      <c r="AB244" s="44" t="s">
        <v>262</v>
      </c>
      <c r="AC244" s="44" t="s">
        <v>262</v>
      </c>
      <c r="AD244" s="44" t="s">
        <v>262</v>
      </c>
      <c r="AE244" s="44" t="s">
        <v>262</v>
      </c>
      <c r="AF244" s="44" t="s">
        <v>263</v>
      </c>
      <c r="AG244" s="44" t="s">
        <v>263</v>
      </c>
      <c r="AH244" s="44" t="s">
        <v>262</v>
      </c>
      <c r="AI244" s="50">
        <v>0.05</v>
      </c>
      <c r="AJ244" s="47" t="s">
        <v>263</v>
      </c>
    </row>
    <row r="245" spans="1:36" x14ac:dyDescent="0.45">
      <c r="A245" s="43">
        <v>261</v>
      </c>
      <c r="B245" s="81">
        <v>150</v>
      </c>
      <c r="C245" s="44" t="s">
        <v>503</v>
      </c>
      <c r="D245" s="44" t="s">
        <v>84</v>
      </c>
      <c r="E245" s="45"/>
      <c r="F245" s="44" t="s">
        <v>1189</v>
      </c>
      <c r="G245" s="44" t="s">
        <v>969</v>
      </c>
      <c r="H245" s="44"/>
      <c r="I245" s="44" t="s">
        <v>1190</v>
      </c>
      <c r="J245" s="44" t="s">
        <v>1191</v>
      </c>
      <c r="K245" s="44" t="s">
        <v>972</v>
      </c>
      <c r="L245" s="44"/>
      <c r="M245" s="44" t="s">
        <v>1192</v>
      </c>
      <c r="N245" s="44" t="s">
        <v>1193</v>
      </c>
      <c r="O245" s="44" t="s">
        <v>957</v>
      </c>
      <c r="P245" s="44"/>
      <c r="Q245" s="44" t="s">
        <v>1194</v>
      </c>
      <c r="R245" s="46">
        <v>1</v>
      </c>
      <c r="S245" s="44">
        <v>1</v>
      </c>
      <c r="T245" s="44" t="s">
        <v>131</v>
      </c>
      <c r="U245" s="44" t="s">
        <v>168</v>
      </c>
      <c r="V245" s="44" t="s">
        <v>925</v>
      </c>
      <c r="W245" s="44" t="s">
        <v>925</v>
      </c>
      <c r="X245" s="44" t="s">
        <v>926</v>
      </c>
      <c r="Y245" s="44"/>
      <c r="Z245" s="44"/>
      <c r="AA245" s="44"/>
      <c r="AB245" s="44" t="s">
        <v>262</v>
      </c>
      <c r="AC245" s="44" t="s">
        <v>262</v>
      </c>
      <c r="AD245" s="44" t="s">
        <v>262</v>
      </c>
      <c r="AE245" s="44" t="s">
        <v>262</v>
      </c>
      <c r="AF245" s="44" t="s">
        <v>263</v>
      </c>
      <c r="AG245" s="44" t="s">
        <v>263</v>
      </c>
      <c r="AH245" s="44" t="s">
        <v>262</v>
      </c>
      <c r="AI245" s="50">
        <v>0.05</v>
      </c>
      <c r="AJ245" s="47" t="s">
        <v>263</v>
      </c>
    </row>
    <row r="246" spans="1:36" x14ac:dyDescent="0.45">
      <c r="A246" s="43">
        <v>262</v>
      </c>
      <c r="B246" s="81">
        <v>7613399001287</v>
      </c>
      <c r="C246" s="44" t="s">
        <v>252</v>
      </c>
      <c r="D246" s="44" t="s">
        <v>84</v>
      </c>
      <c r="E246" s="45">
        <v>7613399001287</v>
      </c>
      <c r="F246" s="44" t="s">
        <v>1195</v>
      </c>
      <c r="G246" s="44"/>
      <c r="H246" s="44" t="s">
        <v>552</v>
      </c>
      <c r="I246" s="44" t="s">
        <v>1196</v>
      </c>
      <c r="J246" s="44" t="s">
        <v>1197</v>
      </c>
      <c r="K246" s="44"/>
      <c r="L246" s="44" t="s">
        <v>552</v>
      </c>
      <c r="M246" s="44" t="s">
        <v>1198</v>
      </c>
      <c r="N246" s="44" t="s">
        <v>1199</v>
      </c>
      <c r="O246" s="44"/>
      <c r="P246" s="44" t="s">
        <v>552</v>
      </c>
      <c r="Q246" s="44" t="s">
        <v>1200</v>
      </c>
      <c r="R246" s="46">
        <v>0.2</v>
      </c>
      <c r="S246" s="44">
        <v>100</v>
      </c>
      <c r="T246" s="44" t="s">
        <v>130</v>
      </c>
      <c r="U246" s="44" t="s">
        <v>169</v>
      </c>
      <c r="V246" s="44" t="s">
        <v>925</v>
      </c>
      <c r="W246" s="44" t="s">
        <v>925</v>
      </c>
      <c r="X246" s="44" t="s">
        <v>926</v>
      </c>
      <c r="Y246" s="44"/>
      <c r="Z246" s="44"/>
      <c r="AA246" s="44"/>
      <c r="AB246" s="44" t="s">
        <v>262</v>
      </c>
      <c r="AC246" s="44" t="s">
        <v>262</v>
      </c>
      <c r="AD246" s="44" t="s">
        <v>262</v>
      </c>
      <c r="AE246" s="44" t="s">
        <v>262</v>
      </c>
      <c r="AF246" s="44" t="s">
        <v>263</v>
      </c>
      <c r="AG246" s="44" t="s">
        <v>263</v>
      </c>
      <c r="AH246" s="44" t="s">
        <v>262</v>
      </c>
      <c r="AI246" s="50">
        <v>0.05</v>
      </c>
      <c r="AJ246" s="47" t="s">
        <v>263</v>
      </c>
    </row>
    <row r="247" spans="1:36" x14ac:dyDescent="0.45">
      <c r="A247" s="43">
        <v>263</v>
      </c>
      <c r="B247" s="81">
        <v>2296291000005</v>
      </c>
      <c r="C247" s="44" t="s">
        <v>503</v>
      </c>
      <c r="D247" s="44" t="s">
        <v>78</v>
      </c>
      <c r="E247" s="45">
        <v>2296291000005</v>
      </c>
      <c r="F247" s="44" t="s">
        <v>1201</v>
      </c>
      <c r="G247" s="44" t="s">
        <v>1202</v>
      </c>
      <c r="H247" s="44"/>
      <c r="I247" s="44" t="s">
        <v>1203</v>
      </c>
      <c r="J247" s="44" t="s">
        <v>1204</v>
      </c>
      <c r="K247" s="44" t="s">
        <v>1205</v>
      </c>
      <c r="L247" s="44"/>
      <c r="M247" s="44" t="s">
        <v>1206</v>
      </c>
      <c r="N247" s="44" t="s">
        <v>1207</v>
      </c>
      <c r="O247" s="44" t="s">
        <v>1208</v>
      </c>
      <c r="P247" s="44"/>
      <c r="Q247" s="44" t="s">
        <v>1209</v>
      </c>
      <c r="R247" s="46">
        <v>1</v>
      </c>
      <c r="S247" s="44">
        <v>1</v>
      </c>
      <c r="T247" s="44" t="s">
        <v>131</v>
      </c>
      <c r="U247" s="44" t="s">
        <v>169</v>
      </c>
      <c r="V247" s="44" t="s">
        <v>925</v>
      </c>
      <c r="W247" s="44" t="s">
        <v>925</v>
      </c>
      <c r="X247" s="44" t="s">
        <v>926</v>
      </c>
      <c r="Y247" s="44"/>
      <c r="Z247" s="44"/>
      <c r="AA247" s="44"/>
      <c r="AB247" s="44" t="s">
        <v>262</v>
      </c>
      <c r="AC247" s="44" t="s">
        <v>262</v>
      </c>
      <c r="AD247" s="44" t="s">
        <v>262</v>
      </c>
      <c r="AE247" s="44" t="s">
        <v>262</v>
      </c>
      <c r="AF247" s="44" t="s">
        <v>263</v>
      </c>
      <c r="AG247" s="44" t="s">
        <v>263</v>
      </c>
      <c r="AH247" s="44" t="s">
        <v>262</v>
      </c>
      <c r="AI247" s="50">
        <v>0.05</v>
      </c>
      <c r="AJ247" s="47" t="s">
        <v>263</v>
      </c>
    </row>
    <row r="248" spans="1:36" x14ac:dyDescent="0.45">
      <c r="A248" s="43">
        <v>265</v>
      </c>
      <c r="B248" s="81">
        <v>2202381000008</v>
      </c>
      <c r="C248" s="44" t="s">
        <v>503</v>
      </c>
      <c r="D248" s="44" t="s">
        <v>78</v>
      </c>
      <c r="E248" s="45">
        <v>2202381000008</v>
      </c>
      <c r="F248" s="44" t="s">
        <v>1210</v>
      </c>
      <c r="G248" s="44" t="s">
        <v>1010</v>
      </c>
      <c r="H248" s="44"/>
      <c r="I248" s="44" t="s">
        <v>1213</v>
      </c>
      <c r="J248" s="44" t="s">
        <v>1211</v>
      </c>
      <c r="K248" s="44" t="s">
        <v>1013</v>
      </c>
      <c r="L248" s="44"/>
      <c r="M248" s="44" t="s">
        <v>1214</v>
      </c>
      <c r="N248" s="44" t="s">
        <v>1212</v>
      </c>
      <c r="O248" s="44" t="s">
        <v>1016</v>
      </c>
      <c r="P248" s="44"/>
      <c r="Q248" s="44" t="s">
        <v>1215</v>
      </c>
      <c r="R248" s="46">
        <v>1</v>
      </c>
      <c r="S248" s="44">
        <v>1</v>
      </c>
      <c r="T248" s="44" t="s">
        <v>131</v>
      </c>
      <c r="U248" s="44" t="s">
        <v>169</v>
      </c>
      <c r="V248" s="44" t="s">
        <v>925</v>
      </c>
      <c r="W248" s="44" t="s">
        <v>925</v>
      </c>
      <c r="X248" s="44" t="s">
        <v>926</v>
      </c>
      <c r="Y248" s="44"/>
      <c r="Z248" s="44"/>
      <c r="AA248" s="44"/>
      <c r="AB248" s="44" t="s">
        <v>262</v>
      </c>
      <c r="AC248" s="44" t="s">
        <v>262</v>
      </c>
      <c r="AD248" s="44" t="s">
        <v>262</v>
      </c>
      <c r="AE248" s="44" t="s">
        <v>262</v>
      </c>
      <c r="AF248" s="44" t="s">
        <v>263</v>
      </c>
      <c r="AG248" s="44" t="s">
        <v>263</v>
      </c>
      <c r="AH248" s="44" t="s">
        <v>262</v>
      </c>
      <c r="AI248" s="50">
        <v>0.05</v>
      </c>
      <c r="AJ248" s="47" t="s">
        <v>263</v>
      </c>
    </row>
  </sheetData>
  <autoFilter ref="A1:AJ248" xr:uid="{43088951-E8B4-401D-B980-3152BED71B8F}"/>
  <conditionalFormatting sqref="B1:B1048576">
    <cfRule type="duplicateValues" dxfId="10" priority="1"/>
    <cfRule type="duplicateValues" dxfId="9" priority="2"/>
    <cfRule type="duplicateValues" dxfId="8" priority="3"/>
  </conditionalFormatting>
  <conditionalFormatting sqref="B2:B78 B81:B86 B89:B90 B93:B110 B117:B195">
    <cfRule type="duplicateValues" dxfId="7" priority="14"/>
  </conditionalFormatting>
  <conditionalFormatting sqref="B196:B248">
    <cfRule type="duplicateValues" dxfId="6" priority="344"/>
  </conditionalFormatting>
  <conditionalFormatting sqref="F2:G248 J2:K248 N2:O248">
    <cfRule type="expression" dxfId="5" priority="12">
      <formula>LEN(F2)&gt;22</formula>
    </cfRule>
  </conditionalFormatting>
  <conditionalFormatting sqref="I1:I1048576">
    <cfRule type="duplicateValues" dxfId="4" priority="5"/>
  </conditionalFormatting>
  <conditionalFormatting sqref="I2:I248 M2:M248 Q2:Q248">
    <cfRule type="expression" dxfId="3" priority="8">
      <formula>LEN(I2)&gt;28</formula>
    </cfRule>
  </conditionalFormatting>
  <conditionalFormatting sqref="M1:M1048576">
    <cfRule type="duplicateValues" dxfId="2" priority="4"/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CB2A-663A-4D72-A097-9416A0D66F73}">
  <sheetPr codeName="Sheet3"/>
  <dimension ref="A1:L32"/>
  <sheetViews>
    <sheetView topLeftCell="C1" workbookViewId="0">
      <selection activeCell="F19" sqref="F19"/>
    </sheetView>
  </sheetViews>
  <sheetFormatPr defaultRowHeight="21.75" customHeight="1" x14ac:dyDescent="0.45"/>
  <cols>
    <col min="1" max="1" width="5.9296875" bestFit="1" customWidth="1"/>
    <col min="2" max="2" width="13.9296875" bestFit="1" customWidth="1"/>
    <col min="3" max="3" width="35.265625" bestFit="1" customWidth="1"/>
    <col min="4" max="4" width="48.796875" bestFit="1" customWidth="1"/>
    <col min="5" max="5" width="20.06640625" style="30" bestFit="1" customWidth="1"/>
    <col min="6" max="6" width="48.796875" style="30" bestFit="1" customWidth="1"/>
    <col min="7" max="7" width="44.1328125" style="30" bestFit="1" customWidth="1"/>
    <col min="8" max="8" width="47.265625" style="30" bestFit="1" customWidth="1"/>
    <col min="9" max="9" width="14.73046875" style="31" bestFit="1" customWidth="1"/>
    <col min="10" max="10" width="26.796875" style="30" customWidth="1"/>
  </cols>
  <sheetData>
    <row r="1" spans="1:12" ht="15.75" x14ac:dyDescent="0.5">
      <c r="A1" s="93" t="s">
        <v>29</v>
      </c>
      <c r="B1" s="94"/>
      <c r="C1" s="94"/>
      <c r="D1" s="94"/>
      <c r="E1" s="68" t="s">
        <v>34</v>
      </c>
      <c r="F1" s="93" t="s">
        <v>1221</v>
      </c>
      <c r="G1" s="95"/>
      <c r="H1" s="95"/>
      <c r="I1" s="96"/>
      <c r="J1" s="95"/>
    </row>
    <row r="2" spans="1:12" ht="14.25" x14ac:dyDescent="0.45">
      <c r="A2" s="69" t="s">
        <v>26</v>
      </c>
      <c r="B2" s="70" t="s">
        <v>15</v>
      </c>
      <c r="C2" s="69" t="s">
        <v>27</v>
      </c>
      <c r="D2" s="69" t="s">
        <v>28</v>
      </c>
      <c r="E2" s="71" t="s">
        <v>1222</v>
      </c>
      <c r="F2" s="53" t="s">
        <v>40</v>
      </c>
      <c r="G2" s="53" t="s">
        <v>42</v>
      </c>
      <c r="H2" s="53" t="s">
        <v>43</v>
      </c>
      <c r="I2" s="53" t="s">
        <v>1223</v>
      </c>
      <c r="J2" s="53" t="s">
        <v>214</v>
      </c>
    </row>
    <row r="3" spans="1:12" s="72" customFormat="1" ht="14.25" x14ac:dyDescent="0.45">
      <c r="B3" s="72" t="s">
        <v>1224</v>
      </c>
      <c r="C3" s="72" t="s">
        <v>1234</v>
      </c>
      <c r="D3" s="72" t="s">
        <v>1235</v>
      </c>
      <c r="E3" s="73">
        <v>1031091</v>
      </c>
      <c r="F3" s="73" t="s">
        <v>1235</v>
      </c>
      <c r="G3" s="73" t="s">
        <v>1236</v>
      </c>
      <c r="H3" s="73" t="s">
        <v>1237</v>
      </c>
      <c r="I3" s="74">
        <v>0.3</v>
      </c>
      <c r="J3" s="73" t="s">
        <v>1238</v>
      </c>
      <c r="L3" s="72" t="s">
        <v>1228</v>
      </c>
    </row>
    <row r="4" spans="1:12" s="72" customFormat="1" ht="14.25" x14ac:dyDescent="0.45">
      <c r="A4" s="75"/>
      <c r="B4" s="75" t="s">
        <v>1224</v>
      </c>
      <c r="C4" s="75" t="s">
        <v>1321</v>
      </c>
      <c r="D4" s="75" t="s">
        <v>1235</v>
      </c>
      <c r="E4" s="76">
        <v>1031091</v>
      </c>
      <c r="F4" s="76" t="s">
        <v>1235</v>
      </c>
      <c r="G4" s="76" t="s">
        <v>1322</v>
      </c>
      <c r="H4" s="76" t="s">
        <v>1323</v>
      </c>
      <c r="I4" s="77">
        <v>0.3</v>
      </c>
      <c r="J4" s="76" t="s">
        <v>1238</v>
      </c>
      <c r="K4" s="75"/>
      <c r="L4" s="75" t="s">
        <v>1295</v>
      </c>
    </row>
    <row r="5" spans="1:12" s="72" customFormat="1" ht="14.25" x14ac:dyDescent="0.45">
      <c r="B5" s="72" t="s">
        <v>1224</v>
      </c>
      <c r="C5" s="72" t="s">
        <v>1229</v>
      </c>
      <c r="D5" s="72" t="s">
        <v>1230</v>
      </c>
      <c r="E5" s="73">
        <v>1031092</v>
      </c>
      <c r="F5" s="73" t="s">
        <v>1230</v>
      </c>
      <c r="G5" s="73" t="s">
        <v>1231</v>
      </c>
      <c r="H5" s="73" t="s">
        <v>1232</v>
      </c>
      <c r="I5" s="74">
        <v>10</v>
      </c>
      <c r="J5" s="73" t="s">
        <v>1233</v>
      </c>
      <c r="L5" s="72" t="s">
        <v>1228</v>
      </c>
    </row>
    <row r="6" spans="1:12" s="72" customFormat="1" ht="14.25" x14ac:dyDescent="0.45">
      <c r="A6" s="75"/>
      <c r="B6" s="75" t="s">
        <v>1224</v>
      </c>
      <c r="C6" s="75" t="s">
        <v>1296</v>
      </c>
      <c r="D6" s="75" t="s">
        <v>1297</v>
      </c>
      <c r="E6" s="76">
        <v>1031092</v>
      </c>
      <c r="F6" s="76" t="s">
        <v>1297</v>
      </c>
      <c r="G6" s="76" t="s">
        <v>1298</v>
      </c>
      <c r="H6" s="76" t="s">
        <v>1299</v>
      </c>
      <c r="I6" s="77">
        <v>10</v>
      </c>
      <c r="J6" s="76" t="s">
        <v>1233</v>
      </c>
      <c r="K6" s="75"/>
      <c r="L6" s="75" t="s">
        <v>1295</v>
      </c>
    </row>
    <row r="7" spans="1:12" s="72" customFormat="1" ht="14.25" x14ac:dyDescent="0.45">
      <c r="B7" s="72" t="s">
        <v>1224</v>
      </c>
      <c r="C7" s="72" t="s">
        <v>1260</v>
      </c>
      <c r="D7" s="72" t="s">
        <v>1261</v>
      </c>
      <c r="E7" s="73">
        <v>1031093</v>
      </c>
      <c r="F7" s="73" t="s">
        <v>1261</v>
      </c>
      <c r="G7" s="73" t="s">
        <v>1262</v>
      </c>
      <c r="H7" s="73" t="s">
        <v>1263</v>
      </c>
      <c r="I7" s="74">
        <v>0.01</v>
      </c>
      <c r="J7" s="73" t="s">
        <v>1264</v>
      </c>
      <c r="L7" s="72" t="s">
        <v>1228</v>
      </c>
    </row>
    <row r="8" spans="1:12" s="72" customFormat="1" ht="14.25" x14ac:dyDescent="0.45">
      <c r="B8" s="72" t="s">
        <v>1224</v>
      </c>
      <c r="C8" s="72" t="s">
        <v>1265</v>
      </c>
      <c r="D8" s="72" t="s">
        <v>1266</v>
      </c>
      <c r="E8" s="73">
        <v>1031095</v>
      </c>
      <c r="F8" s="73" t="s">
        <v>1266</v>
      </c>
      <c r="G8" s="73" t="s">
        <v>1267</v>
      </c>
      <c r="H8" s="73" t="s">
        <v>1268</v>
      </c>
      <c r="I8" s="74">
        <v>5</v>
      </c>
      <c r="J8" s="73" t="s">
        <v>1269</v>
      </c>
      <c r="L8" s="72" t="s">
        <v>1228</v>
      </c>
    </row>
    <row r="9" spans="1:12" s="72" customFormat="1" ht="14.25" x14ac:dyDescent="0.45">
      <c r="A9" s="75"/>
      <c r="B9" s="75" t="s">
        <v>1224</v>
      </c>
      <c r="C9" s="75" t="s">
        <v>1306</v>
      </c>
      <c r="D9" s="75" t="s">
        <v>1266</v>
      </c>
      <c r="E9" s="76">
        <v>1031095</v>
      </c>
      <c r="F9" s="76" t="s">
        <v>1266</v>
      </c>
      <c r="G9" s="76" t="s">
        <v>1307</v>
      </c>
      <c r="H9" s="76" t="s">
        <v>1308</v>
      </c>
      <c r="I9" s="77">
        <v>5</v>
      </c>
      <c r="J9" s="76" t="s">
        <v>1269</v>
      </c>
      <c r="K9" s="75"/>
      <c r="L9" s="75" t="s">
        <v>1295</v>
      </c>
    </row>
    <row r="10" spans="1:12" s="72" customFormat="1" ht="14.25" x14ac:dyDescent="0.45">
      <c r="B10" s="72" t="s">
        <v>1224</v>
      </c>
      <c r="C10" s="72" t="s">
        <v>1245</v>
      </c>
      <c r="D10" s="72" t="s">
        <v>1246</v>
      </c>
      <c r="E10" s="73">
        <v>1035856</v>
      </c>
      <c r="F10" s="73" t="s">
        <v>1246</v>
      </c>
      <c r="G10" s="73" t="s">
        <v>1247</v>
      </c>
      <c r="H10" s="73" t="s">
        <v>1248</v>
      </c>
      <c r="I10" s="74">
        <v>11</v>
      </c>
      <c r="J10" s="73" t="s">
        <v>1249</v>
      </c>
      <c r="L10" s="72" t="s">
        <v>1228</v>
      </c>
    </row>
    <row r="11" spans="1:12" s="72" customFormat="1" ht="14.25" x14ac:dyDescent="0.45">
      <c r="B11" s="72" t="s">
        <v>1224</v>
      </c>
      <c r="C11" s="72" t="s">
        <v>1281</v>
      </c>
      <c r="D11" s="72" t="s">
        <v>1282</v>
      </c>
      <c r="E11" s="73">
        <v>1035857</v>
      </c>
      <c r="F11" s="73" t="s">
        <v>1282</v>
      </c>
      <c r="G11" s="73" t="s">
        <v>1283</v>
      </c>
      <c r="H11" s="73" t="s">
        <v>1284</v>
      </c>
      <c r="I11" s="74">
        <v>10</v>
      </c>
      <c r="J11" s="73" t="s">
        <v>1285</v>
      </c>
      <c r="L11" s="72" t="s">
        <v>1228</v>
      </c>
    </row>
    <row r="12" spans="1:12" s="72" customFormat="1" ht="14.25" x14ac:dyDescent="0.45">
      <c r="A12" s="75"/>
      <c r="B12" s="75" t="s">
        <v>1224</v>
      </c>
      <c r="C12" s="75" t="s">
        <v>1291</v>
      </c>
      <c r="D12" s="75" t="s">
        <v>1292</v>
      </c>
      <c r="E12" s="76">
        <v>1035857</v>
      </c>
      <c r="F12" s="76" t="s">
        <v>1292</v>
      </c>
      <c r="G12" s="76" t="s">
        <v>1293</v>
      </c>
      <c r="H12" s="76" t="s">
        <v>1294</v>
      </c>
      <c r="I12" s="77">
        <v>10</v>
      </c>
      <c r="J12" s="76" t="s">
        <v>1285</v>
      </c>
      <c r="K12" s="75"/>
      <c r="L12" s="75" t="s">
        <v>1295</v>
      </c>
    </row>
    <row r="13" spans="1:12" s="72" customFormat="1" ht="14.25" x14ac:dyDescent="0.45">
      <c r="A13" s="75"/>
      <c r="B13" s="75" t="s">
        <v>1224</v>
      </c>
      <c r="C13" s="75" t="s">
        <v>1337</v>
      </c>
      <c r="D13" s="75" t="s">
        <v>1338</v>
      </c>
      <c r="E13" s="76">
        <v>1035858</v>
      </c>
      <c r="F13" s="76" t="s">
        <v>1338</v>
      </c>
      <c r="G13" s="76" t="s">
        <v>1339</v>
      </c>
      <c r="H13" s="76" t="s">
        <v>1340</v>
      </c>
      <c r="I13" s="77">
        <v>0.01</v>
      </c>
      <c r="J13" s="76" t="s">
        <v>1341</v>
      </c>
      <c r="K13" s="75"/>
      <c r="L13" s="75" t="s">
        <v>1295</v>
      </c>
    </row>
    <row r="14" spans="1:12" s="72" customFormat="1" ht="14.25" x14ac:dyDescent="0.45">
      <c r="B14" s="72" t="s">
        <v>1224</v>
      </c>
      <c r="C14" s="72" t="s">
        <v>1225</v>
      </c>
      <c r="D14" s="72" t="s">
        <v>1226</v>
      </c>
      <c r="E14" s="73">
        <v>1102242</v>
      </c>
      <c r="F14" s="73" t="s">
        <v>1226</v>
      </c>
      <c r="G14" s="73" t="s">
        <v>1226</v>
      </c>
      <c r="H14" s="73" t="s">
        <v>1226</v>
      </c>
      <c r="I14" s="74">
        <v>0.1</v>
      </c>
      <c r="J14" s="73" t="s">
        <v>1227</v>
      </c>
      <c r="L14" s="72" t="s">
        <v>1228</v>
      </c>
    </row>
    <row r="15" spans="1:12" s="72" customFormat="1" ht="14.25" x14ac:dyDescent="0.45">
      <c r="B15" s="72" t="s">
        <v>1224</v>
      </c>
      <c r="C15" s="72" t="s">
        <v>1239</v>
      </c>
      <c r="D15" s="72" t="s">
        <v>1240</v>
      </c>
      <c r="E15" s="73">
        <v>1102243</v>
      </c>
      <c r="F15" s="73" t="s">
        <v>1240</v>
      </c>
      <c r="G15" s="73" t="s">
        <v>1240</v>
      </c>
      <c r="H15" s="73" t="s">
        <v>1240</v>
      </c>
      <c r="I15" s="74">
        <v>0.2</v>
      </c>
      <c r="J15" s="73" t="s">
        <v>1241</v>
      </c>
      <c r="L15" s="72" t="s">
        <v>1228</v>
      </c>
    </row>
    <row r="16" spans="1:12" s="72" customFormat="1" ht="14.25" x14ac:dyDescent="0.45">
      <c r="B16" s="72" t="s">
        <v>1224</v>
      </c>
      <c r="C16" s="72" t="s">
        <v>1270</v>
      </c>
      <c r="D16" s="72" t="s">
        <v>1271</v>
      </c>
      <c r="E16" s="73">
        <v>1102244</v>
      </c>
      <c r="F16" s="73" t="s">
        <v>1271</v>
      </c>
      <c r="G16" s="73" t="s">
        <v>1271</v>
      </c>
      <c r="H16" s="73" t="s">
        <v>1271</v>
      </c>
      <c r="I16" s="74">
        <v>0.3</v>
      </c>
      <c r="J16" s="73" t="s">
        <v>1272</v>
      </c>
      <c r="L16" s="72" t="s">
        <v>1228</v>
      </c>
    </row>
    <row r="17" spans="1:12" s="72" customFormat="1" ht="14.25" x14ac:dyDescent="0.45">
      <c r="B17" s="72" t="s">
        <v>1224</v>
      </c>
      <c r="C17" s="72" t="s">
        <v>1242</v>
      </c>
      <c r="D17" s="72" t="s">
        <v>1243</v>
      </c>
      <c r="E17" s="73">
        <v>1102245</v>
      </c>
      <c r="F17" s="73" t="s">
        <v>1243</v>
      </c>
      <c r="G17" s="73" t="s">
        <v>1243</v>
      </c>
      <c r="H17" s="73" t="s">
        <v>1243</v>
      </c>
      <c r="I17" s="74">
        <v>0.5</v>
      </c>
      <c r="J17" s="73" t="s">
        <v>1244</v>
      </c>
      <c r="L17" s="72" t="s">
        <v>1228</v>
      </c>
    </row>
    <row r="18" spans="1:12" s="75" customFormat="1" ht="21.75" customHeight="1" x14ac:dyDescent="0.45">
      <c r="A18" s="72"/>
      <c r="B18" s="72" t="s">
        <v>1224</v>
      </c>
      <c r="C18" s="72" t="s">
        <v>1278</v>
      </c>
      <c r="D18" s="72" t="s">
        <v>1279</v>
      </c>
      <c r="E18" s="73">
        <v>1102280</v>
      </c>
      <c r="F18" s="73" t="s">
        <v>1279</v>
      </c>
      <c r="G18" s="73" t="s">
        <v>1279</v>
      </c>
      <c r="H18" s="73" t="s">
        <v>1279</v>
      </c>
      <c r="I18" s="74">
        <v>1</v>
      </c>
      <c r="J18" s="73" t="s">
        <v>1280</v>
      </c>
      <c r="K18" s="72"/>
      <c r="L18" s="72" t="s">
        <v>1228</v>
      </c>
    </row>
    <row r="19" spans="1:12" s="75" customFormat="1" ht="21.75" customHeight="1" x14ac:dyDescent="0.45">
      <c r="A19" s="72"/>
      <c r="B19" s="72" t="s">
        <v>1224</v>
      </c>
      <c r="C19" s="72" t="s">
        <v>1255</v>
      </c>
      <c r="D19" s="72" t="s">
        <v>1256</v>
      </c>
      <c r="E19" s="73">
        <v>1102315</v>
      </c>
      <c r="F19" s="73" t="s">
        <v>1256</v>
      </c>
      <c r="G19" s="73" t="s">
        <v>1257</v>
      </c>
      <c r="H19" s="73" t="s">
        <v>1258</v>
      </c>
      <c r="I19" s="74">
        <v>5</v>
      </c>
      <c r="J19" s="73" t="s">
        <v>1259</v>
      </c>
      <c r="K19" s="72"/>
      <c r="L19" s="72" t="s">
        <v>1228</v>
      </c>
    </row>
    <row r="20" spans="1:12" s="75" customFormat="1" ht="21.75" customHeight="1" x14ac:dyDescent="0.45">
      <c r="A20" s="72"/>
      <c r="B20" s="72" t="s">
        <v>1224</v>
      </c>
      <c r="C20" s="72" t="s">
        <v>1286</v>
      </c>
      <c r="D20" s="72" t="s">
        <v>1287</v>
      </c>
      <c r="E20" s="73">
        <v>1102316</v>
      </c>
      <c r="F20" s="73" t="s">
        <v>1287</v>
      </c>
      <c r="G20" s="73" t="s">
        <v>1288</v>
      </c>
      <c r="H20" s="73" t="s">
        <v>1289</v>
      </c>
      <c r="I20" s="74">
        <v>10</v>
      </c>
      <c r="J20" s="73" t="s">
        <v>1290</v>
      </c>
      <c r="K20" s="72"/>
      <c r="L20" s="72" t="s">
        <v>1228</v>
      </c>
    </row>
    <row r="21" spans="1:12" s="75" customFormat="1" ht="21.75" customHeight="1" x14ac:dyDescent="0.45">
      <c r="A21" s="72"/>
      <c r="B21" s="72" t="s">
        <v>1224</v>
      </c>
      <c r="C21" s="72" t="s">
        <v>1273</v>
      </c>
      <c r="D21" s="72" t="s">
        <v>1274</v>
      </c>
      <c r="E21" s="73">
        <v>1102317</v>
      </c>
      <c r="F21" s="73" t="s">
        <v>1274</v>
      </c>
      <c r="G21" s="73" t="s">
        <v>1275</v>
      </c>
      <c r="H21" s="73" t="s">
        <v>1276</v>
      </c>
      <c r="I21" s="74">
        <v>55</v>
      </c>
      <c r="J21" s="73" t="s">
        <v>1277</v>
      </c>
      <c r="K21" s="72"/>
      <c r="L21" s="72" t="s">
        <v>1228</v>
      </c>
    </row>
    <row r="22" spans="1:12" s="75" customFormat="1" ht="21.75" customHeight="1" x14ac:dyDescent="0.45">
      <c r="A22" s="72"/>
      <c r="B22" s="72" t="s">
        <v>1224</v>
      </c>
      <c r="C22" s="72" t="s">
        <v>1250</v>
      </c>
      <c r="D22" s="72" t="s">
        <v>1251</v>
      </c>
      <c r="E22" s="73">
        <v>1102318</v>
      </c>
      <c r="F22" s="73" t="s">
        <v>1251</v>
      </c>
      <c r="G22" s="73" t="s">
        <v>1252</v>
      </c>
      <c r="H22" s="73" t="s">
        <v>1253</v>
      </c>
      <c r="I22" s="74">
        <v>65</v>
      </c>
      <c r="J22" s="73" t="s">
        <v>1254</v>
      </c>
      <c r="K22" s="72"/>
      <c r="L22" s="72" t="s">
        <v>1228</v>
      </c>
    </row>
    <row r="23" spans="1:12" s="75" customFormat="1" ht="21.75" customHeight="1" x14ac:dyDescent="0.45">
      <c r="B23" s="75" t="s">
        <v>1224</v>
      </c>
      <c r="C23" s="75" t="s">
        <v>1324</v>
      </c>
      <c r="D23" s="75" t="s">
        <v>1325</v>
      </c>
      <c r="E23" s="76">
        <v>1601722</v>
      </c>
      <c r="F23" s="76" t="s">
        <v>1325</v>
      </c>
      <c r="G23" s="76" t="s">
        <v>1326</v>
      </c>
      <c r="H23" s="76" t="s">
        <v>1327</v>
      </c>
      <c r="I23" s="77">
        <v>11</v>
      </c>
      <c r="J23" s="76" t="s">
        <v>1249</v>
      </c>
      <c r="L23" s="75" t="s">
        <v>1295</v>
      </c>
    </row>
    <row r="24" spans="1:12" s="75" customFormat="1" ht="21.75" customHeight="1" x14ac:dyDescent="0.45">
      <c r="B24" s="75" t="s">
        <v>1224</v>
      </c>
      <c r="C24" s="75" t="s">
        <v>1309</v>
      </c>
      <c r="D24" s="75" t="s">
        <v>1310</v>
      </c>
      <c r="E24" s="76">
        <v>1601762</v>
      </c>
      <c r="F24" s="76" t="s">
        <v>1310</v>
      </c>
      <c r="G24" s="76" t="s">
        <v>1310</v>
      </c>
      <c r="H24" s="76" t="s">
        <v>1310</v>
      </c>
      <c r="I24" s="77">
        <v>0.1</v>
      </c>
      <c r="J24" s="76" t="s">
        <v>1311</v>
      </c>
      <c r="L24" s="75" t="s">
        <v>1295</v>
      </c>
    </row>
    <row r="25" spans="1:12" s="75" customFormat="1" ht="21.75" customHeight="1" x14ac:dyDescent="0.45">
      <c r="B25" s="75" t="s">
        <v>1224</v>
      </c>
      <c r="C25" s="75" t="s">
        <v>1300</v>
      </c>
      <c r="D25" s="75" t="s">
        <v>1301</v>
      </c>
      <c r="E25" s="76">
        <v>1601763</v>
      </c>
      <c r="F25" s="76" t="s">
        <v>1301</v>
      </c>
      <c r="G25" s="76" t="s">
        <v>1301</v>
      </c>
      <c r="H25" s="76" t="s">
        <v>1301</v>
      </c>
      <c r="I25" s="77">
        <v>0.2</v>
      </c>
      <c r="J25" s="76" t="s">
        <v>1302</v>
      </c>
      <c r="L25" s="75" t="s">
        <v>1295</v>
      </c>
    </row>
    <row r="26" spans="1:12" s="75" customFormat="1" ht="21.75" customHeight="1" x14ac:dyDescent="0.45">
      <c r="B26" s="75" t="s">
        <v>1224</v>
      </c>
      <c r="C26" s="75" t="s">
        <v>1328</v>
      </c>
      <c r="D26" s="75" t="s">
        <v>1329</v>
      </c>
      <c r="E26" s="76">
        <v>1601764</v>
      </c>
      <c r="F26" s="76" t="s">
        <v>1329</v>
      </c>
      <c r="G26" s="76" t="s">
        <v>1329</v>
      </c>
      <c r="H26" s="76" t="s">
        <v>1329</v>
      </c>
      <c r="I26" s="77">
        <v>1</v>
      </c>
      <c r="J26" s="76" t="s">
        <v>1330</v>
      </c>
      <c r="L26" s="75" t="s">
        <v>1295</v>
      </c>
    </row>
    <row r="27" spans="1:12" s="75" customFormat="1" ht="21.75" customHeight="1" x14ac:dyDescent="0.45">
      <c r="B27" s="75" t="s">
        <v>1224</v>
      </c>
      <c r="C27" s="75" t="s">
        <v>1334</v>
      </c>
      <c r="D27" s="75" t="s">
        <v>1335</v>
      </c>
      <c r="E27" s="76">
        <v>1601765</v>
      </c>
      <c r="F27" s="76" t="s">
        <v>1335</v>
      </c>
      <c r="G27" s="76" t="s">
        <v>1257</v>
      </c>
      <c r="H27" s="76" t="s">
        <v>1258</v>
      </c>
      <c r="I27" s="77">
        <v>5</v>
      </c>
      <c r="J27" s="76" t="s">
        <v>1336</v>
      </c>
      <c r="L27" s="75" t="s">
        <v>1295</v>
      </c>
    </row>
    <row r="28" spans="1:12" s="75" customFormat="1" ht="21.75" customHeight="1" x14ac:dyDescent="0.45">
      <c r="B28" s="75" t="s">
        <v>1224</v>
      </c>
      <c r="C28" s="75" t="s">
        <v>1312</v>
      </c>
      <c r="D28" s="75" t="s">
        <v>1313</v>
      </c>
      <c r="E28" s="76">
        <v>1601768</v>
      </c>
      <c r="F28" s="76" t="s">
        <v>1313</v>
      </c>
      <c r="G28" s="76" t="s">
        <v>1275</v>
      </c>
      <c r="H28" s="76" t="s">
        <v>1276</v>
      </c>
      <c r="I28" s="77">
        <v>55</v>
      </c>
      <c r="J28" s="76" t="s">
        <v>1314</v>
      </c>
      <c r="L28" s="75" t="s">
        <v>1295</v>
      </c>
    </row>
    <row r="29" spans="1:12" s="75" customFormat="1" ht="21.75" customHeight="1" x14ac:dyDescent="0.45">
      <c r="B29" s="75" t="s">
        <v>1224</v>
      </c>
      <c r="C29" s="75" t="s">
        <v>1303</v>
      </c>
      <c r="D29" s="75" t="s">
        <v>1304</v>
      </c>
      <c r="E29" s="76">
        <v>1601769</v>
      </c>
      <c r="F29" s="76" t="s">
        <v>1304</v>
      </c>
      <c r="G29" s="76" t="s">
        <v>1304</v>
      </c>
      <c r="H29" s="76" t="s">
        <v>1304</v>
      </c>
      <c r="I29" s="77">
        <v>0.3</v>
      </c>
      <c r="J29" s="76" t="s">
        <v>1305</v>
      </c>
      <c r="L29" s="75" t="s">
        <v>1295</v>
      </c>
    </row>
    <row r="30" spans="1:12" s="75" customFormat="1" ht="21.75" customHeight="1" x14ac:dyDescent="0.45">
      <c r="B30" s="75" t="s">
        <v>1224</v>
      </c>
      <c r="C30" s="75" t="s">
        <v>1331</v>
      </c>
      <c r="D30" s="75" t="s">
        <v>1332</v>
      </c>
      <c r="E30" s="76">
        <v>1601770</v>
      </c>
      <c r="F30" s="76" t="s">
        <v>1332</v>
      </c>
      <c r="G30" s="76" t="s">
        <v>1332</v>
      </c>
      <c r="H30" s="76" t="s">
        <v>1332</v>
      </c>
      <c r="I30" s="77">
        <v>0.5</v>
      </c>
      <c r="J30" s="76" t="s">
        <v>1333</v>
      </c>
      <c r="L30" s="75" t="s">
        <v>1295</v>
      </c>
    </row>
    <row r="31" spans="1:12" s="75" customFormat="1" ht="21.75" customHeight="1" x14ac:dyDescent="0.45">
      <c r="B31" s="75" t="s">
        <v>1224</v>
      </c>
      <c r="C31" s="75" t="s">
        <v>1315</v>
      </c>
      <c r="D31" s="75" t="s">
        <v>1316</v>
      </c>
      <c r="E31" s="76">
        <v>1601771</v>
      </c>
      <c r="F31" s="76" t="s">
        <v>1316</v>
      </c>
      <c r="G31" s="76" t="s">
        <v>1288</v>
      </c>
      <c r="H31" s="76" t="s">
        <v>1289</v>
      </c>
      <c r="I31" s="77">
        <v>10</v>
      </c>
      <c r="J31" s="76" t="s">
        <v>1317</v>
      </c>
      <c r="L31" s="75" t="s">
        <v>1295</v>
      </c>
    </row>
    <row r="32" spans="1:12" s="75" customFormat="1" ht="21.75" customHeight="1" x14ac:dyDescent="0.45">
      <c r="B32" s="75" t="s">
        <v>1224</v>
      </c>
      <c r="C32" s="75" t="s">
        <v>1318</v>
      </c>
      <c r="D32" s="75" t="s">
        <v>1319</v>
      </c>
      <c r="E32" s="76">
        <v>1601772</v>
      </c>
      <c r="F32" s="76" t="s">
        <v>1319</v>
      </c>
      <c r="G32" s="76" t="s">
        <v>1252</v>
      </c>
      <c r="H32" s="76" t="s">
        <v>1253</v>
      </c>
      <c r="I32" s="77">
        <v>65</v>
      </c>
      <c r="J32" s="76" t="s">
        <v>1320</v>
      </c>
      <c r="L32" s="75" t="s">
        <v>1295</v>
      </c>
    </row>
  </sheetData>
  <sortState xmlns:xlrd2="http://schemas.microsoft.com/office/spreadsheetml/2017/richdata2" ref="A3:L32">
    <sortCondition ref="E3:E32"/>
  </sortState>
  <mergeCells count="2">
    <mergeCell ref="A1:D1"/>
    <mergeCell ref="F1:J1"/>
  </mergeCells>
  <conditionalFormatting sqref="E1:E1048576">
    <cfRule type="duplicateValues" dxfId="1" priority="2"/>
  </conditionalFormatting>
  <conditionalFormatting sqref="J1:J1048576">
    <cfRule type="duplicateValues" dxfId="0" priority="1"/>
  </conditionalFormatting>
  <dataValidations count="2">
    <dataValidation type="list" allowBlank="1" showInputMessage="1" showErrorMessage="1" promptTitle="Information" prompt="Select value from dropdown" sqref="B3:B1048576" xr:uid="{21E18A9F-58FA-44DE-907A-F3F35639A161}">
      <formula1>RSC_ENTITY_NAME</formula1>
    </dataValidation>
    <dataValidation type="list" allowBlank="1" showInputMessage="1" showErrorMessage="1" promptTitle="Information" prompt="Select value from dropdown" sqref="A3:A1048576" xr:uid="{D59B8A2E-6AC5-4B08-8C96-31C8846A6D5F}">
      <formula1>"DELETE"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2E6-1643-4D6B-B5A1-C041A84C7834}">
  <sheetPr codeName="Sheet5"/>
  <dimension ref="A1:E2"/>
  <sheetViews>
    <sheetView workbookViewId="0"/>
  </sheetViews>
  <sheetFormatPr defaultColWidth="11.59765625" defaultRowHeight="14.25" x14ac:dyDescent="0.45"/>
  <cols>
    <col min="1" max="16384" width="11.59765625" style="4"/>
  </cols>
  <sheetData>
    <row r="1" spans="1:5" ht="15.75" x14ac:dyDescent="0.5">
      <c r="A1" s="36" t="s">
        <v>9</v>
      </c>
      <c r="B1" s="36" t="s">
        <v>10</v>
      </c>
      <c r="D1" s="36" t="s">
        <v>11</v>
      </c>
      <c r="E1" s="36" t="s">
        <v>12</v>
      </c>
    </row>
    <row r="2" spans="1:5" x14ac:dyDescent="0.45">
      <c r="A2" s="4" t="s">
        <v>13</v>
      </c>
      <c r="B2" s="4" t="s">
        <v>10</v>
      </c>
      <c r="D2" s="29" t="s">
        <v>70</v>
      </c>
      <c r="E2" s="4" t="s">
        <v>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D7DF1-0B47-4121-9097-8C6F75899F5B}">
  <sheetPr codeName="Sheet4"/>
  <dimension ref="A1:AQ14"/>
  <sheetViews>
    <sheetView workbookViewId="0"/>
  </sheetViews>
  <sheetFormatPr defaultRowHeight="14.25" x14ac:dyDescent="0.45"/>
  <sheetData>
    <row r="1" spans="1:43" ht="15.75" x14ac:dyDescent="0.5">
      <c r="A1" s="32" t="s">
        <v>72</v>
      </c>
      <c r="B1" s="32" t="s">
        <v>74</v>
      </c>
      <c r="C1" s="32" t="s">
        <v>76</v>
      </c>
      <c r="D1" s="32" t="s">
        <v>77</v>
      </c>
      <c r="E1" s="32" t="s">
        <v>79</v>
      </c>
      <c r="F1" s="32" t="s">
        <v>81</v>
      </c>
      <c r="G1" s="32" t="s">
        <v>83</v>
      </c>
      <c r="H1" s="32" t="s">
        <v>85</v>
      </c>
      <c r="I1" s="32" t="s">
        <v>86</v>
      </c>
      <c r="J1" s="32" t="s">
        <v>88</v>
      </c>
      <c r="K1" s="32" t="s">
        <v>89</v>
      </c>
      <c r="L1" s="32" t="s">
        <v>90</v>
      </c>
      <c r="M1" s="32" t="s">
        <v>91</v>
      </c>
      <c r="N1" s="32" t="s">
        <v>92</v>
      </c>
      <c r="O1" s="32" t="s">
        <v>93</v>
      </c>
      <c r="P1" s="32" t="s">
        <v>95</v>
      </c>
      <c r="Q1" s="32" t="s">
        <v>96</v>
      </c>
      <c r="R1" s="32" t="s">
        <v>97</v>
      </c>
      <c r="S1" s="32" t="s">
        <v>98</v>
      </c>
      <c r="T1" s="29" t="s">
        <v>100</v>
      </c>
      <c r="U1" s="29" t="s">
        <v>104</v>
      </c>
      <c r="V1" s="29" t="s">
        <v>105</v>
      </c>
      <c r="W1" s="29" t="s">
        <v>106</v>
      </c>
      <c r="X1" s="29" t="s">
        <v>118</v>
      </c>
      <c r="Y1" s="29" t="s">
        <v>119</v>
      </c>
      <c r="Z1" s="29" t="s">
        <v>120</v>
      </c>
      <c r="AA1" s="29" t="s">
        <v>125</v>
      </c>
      <c r="AB1" s="29" t="s">
        <v>126</v>
      </c>
      <c r="AC1" s="29" t="s">
        <v>127</v>
      </c>
      <c r="AD1" s="29" t="s">
        <v>139</v>
      </c>
      <c r="AE1" s="29" t="s">
        <v>151</v>
      </c>
      <c r="AF1" s="29" t="s">
        <v>162</v>
      </c>
      <c r="AG1" s="29" t="s">
        <v>166</v>
      </c>
      <c r="AH1" s="29" t="s">
        <v>167</v>
      </c>
      <c r="AI1" s="29" t="s">
        <v>177</v>
      </c>
      <c r="AJ1" s="29" t="s">
        <v>181</v>
      </c>
      <c r="AK1" s="29" t="s">
        <v>185</v>
      </c>
      <c r="AL1" s="29" t="s">
        <v>189</v>
      </c>
      <c r="AM1" s="29" t="s">
        <v>196</v>
      </c>
      <c r="AN1" s="29" t="s">
        <v>203</v>
      </c>
      <c r="AO1" s="29" t="s">
        <v>210</v>
      </c>
      <c r="AP1" s="29" t="s">
        <v>213</v>
      </c>
      <c r="AQ1" s="29" t="s">
        <v>216</v>
      </c>
    </row>
    <row r="2" spans="1:43" x14ac:dyDescent="0.45">
      <c r="A2" t="s">
        <v>73</v>
      </c>
      <c r="B2" t="s">
        <v>75</v>
      </c>
      <c r="C2" t="s">
        <v>73</v>
      </c>
      <c r="D2" t="s">
        <v>78</v>
      </c>
      <c r="E2" t="s">
        <v>80</v>
      </c>
      <c r="F2" t="s">
        <v>82</v>
      </c>
      <c r="G2" t="s">
        <v>84</v>
      </c>
      <c r="H2" t="s">
        <v>73</v>
      </c>
      <c r="I2" t="s">
        <v>87</v>
      </c>
      <c r="J2" t="s">
        <v>87</v>
      </c>
      <c r="K2" t="s">
        <v>82</v>
      </c>
      <c r="L2" t="s">
        <v>84</v>
      </c>
      <c r="M2" t="s">
        <v>84</v>
      </c>
      <c r="N2" t="s">
        <v>78</v>
      </c>
      <c r="O2" t="s">
        <v>94</v>
      </c>
      <c r="P2" t="s">
        <v>87</v>
      </c>
      <c r="Q2" t="s">
        <v>78</v>
      </c>
      <c r="R2" t="s">
        <v>82</v>
      </c>
      <c r="S2" t="s">
        <v>99</v>
      </c>
      <c r="T2" t="s">
        <v>87</v>
      </c>
      <c r="U2" t="s">
        <v>78</v>
      </c>
      <c r="V2" t="s">
        <v>78</v>
      </c>
      <c r="W2" t="s">
        <v>107</v>
      </c>
      <c r="X2" t="s">
        <v>107</v>
      </c>
      <c r="Y2" t="s">
        <v>107</v>
      </c>
      <c r="Z2" t="s">
        <v>121</v>
      </c>
      <c r="AA2" t="s">
        <v>121</v>
      </c>
      <c r="AB2" t="s">
        <v>121</v>
      </c>
      <c r="AC2" t="s">
        <v>128</v>
      </c>
      <c r="AD2" t="s">
        <v>140</v>
      </c>
      <c r="AE2" t="s">
        <v>152</v>
      </c>
      <c r="AF2" t="s">
        <v>163</v>
      </c>
      <c r="AG2" t="s">
        <v>102</v>
      </c>
      <c r="AH2" t="s">
        <v>102</v>
      </c>
      <c r="AI2" t="s">
        <v>178</v>
      </c>
      <c r="AJ2" t="s">
        <v>182</v>
      </c>
      <c r="AK2" t="s">
        <v>186</v>
      </c>
      <c r="AL2" t="s">
        <v>190</v>
      </c>
      <c r="AM2" t="s">
        <v>197</v>
      </c>
      <c r="AN2" t="s">
        <v>204</v>
      </c>
      <c r="AO2" t="s">
        <v>211</v>
      </c>
      <c r="AP2" t="s">
        <v>214</v>
      </c>
      <c r="AQ2" t="s">
        <v>217</v>
      </c>
    </row>
    <row r="3" spans="1:43" x14ac:dyDescent="0.45">
      <c r="T3" t="s">
        <v>101</v>
      </c>
      <c r="U3" t="s">
        <v>84</v>
      </c>
      <c r="V3" t="s">
        <v>84</v>
      </c>
      <c r="W3" t="s">
        <v>108</v>
      </c>
      <c r="X3" t="s">
        <v>109</v>
      </c>
      <c r="Y3" t="s">
        <v>109</v>
      </c>
      <c r="Z3" t="s">
        <v>122</v>
      </c>
      <c r="AA3" t="s">
        <v>122</v>
      </c>
      <c r="AB3" t="s">
        <v>122</v>
      </c>
      <c r="AC3" t="s">
        <v>129</v>
      </c>
      <c r="AD3" t="s">
        <v>141</v>
      </c>
      <c r="AE3" t="s">
        <v>153</v>
      </c>
      <c r="AF3" t="s">
        <v>164</v>
      </c>
      <c r="AG3" t="s">
        <v>103</v>
      </c>
      <c r="AH3" t="s">
        <v>103</v>
      </c>
      <c r="AI3" t="s">
        <v>179</v>
      </c>
      <c r="AJ3" t="s">
        <v>183</v>
      </c>
      <c r="AK3" t="s">
        <v>187</v>
      </c>
      <c r="AL3" t="s">
        <v>191</v>
      </c>
      <c r="AM3" t="s">
        <v>198</v>
      </c>
      <c r="AN3" t="s">
        <v>205</v>
      </c>
      <c r="AO3" t="s">
        <v>212</v>
      </c>
      <c r="AP3" t="s">
        <v>215</v>
      </c>
      <c r="AQ3" t="s">
        <v>218</v>
      </c>
    </row>
    <row r="4" spans="1:43" x14ac:dyDescent="0.45">
      <c r="T4" t="s">
        <v>102</v>
      </c>
      <c r="U4" t="s">
        <v>102</v>
      </c>
      <c r="V4" t="s">
        <v>102</v>
      </c>
      <c r="W4" t="s">
        <v>109</v>
      </c>
      <c r="X4" t="s">
        <v>117</v>
      </c>
      <c r="Y4" t="s">
        <v>117</v>
      </c>
      <c r="Z4" t="s">
        <v>123</v>
      </c>
      <c r="AA4" t="s">
        <v>123</v>
      </c>
      <c r="AB4" t="s">
        <v>123</v>
      </c>
      <c r="AC4" t="s">
        <v>130</v>
      </c>
      <c r="AD4" t="s">
        <v>142</v>
      </c>
      <c r="AE4" t="s">
        <v>154</v>
      </c>
      <c r="AF4" t="s">
        <v>165</v>
      </c>
      <c r="AI4" t="s">
        <v>180</v>
      </c>
      <c r="AJ4" t="s">
        <v>184</v>
      </c>
      <c r="AK4" t="s">
        <v>188</v>
      </c>
      <c r="AL4" t="s">
        <v>192</v>
      </c>
      <c r="AM4" t="s">
        <v>199</v>
      </c>
      <c r="AN4" t="s">
        <v>206</v>
      </c>
      <c r="AO4" t="s">
        <v>102</v>
      </c>
      <c r="AP4" t="s">
        <v>102</v>
      </c>
      <c r="AQ4" t="s">
        <v>102</v>
      </c>
    </row>
    <row r="5" spans="1:43" x14ac:dyDescent="0.45">
      <c r="T5" t="s">
        <v>103</v>
      </c>
      <c r="U5" t="s">
        <v>103</v>
      </c>
      <c r="V5" t="s">
        <v>103</v>
      </c>
      <c r="W5" t="s">
        <v>110</v>
      </c>
      <c r="X5" t="s">
        <v>102</v>
      </c>
      <c r="Y5" t="s">
        <v>102</v>
      </c>
      <c r="Z5" t="s">
        <v>124</v>
      </c>
      <c r="AA5" t="s">
        <v>124</v>
      </c>
      <c r="AB5" t="s">
        <v>124</v>
      </c>
      <c r="AC5" t="s">
        <v>131</v>
      </c>
      <c r="AD5" t="s">
        <v>143</v>
      </c>
      <c r="AE5" t="s">
        <v>155</v>
      </c>
      <c r="AF5" t="s">
        <v>102</v>
      </c>
      <c r="AI5" t="s">
        <v>102</v>
      </c>
      <c r="AJ5" t="s">
        <v>102</v>
      </c>
      <c r="AK5" t="s">
        <v>102</v>
      </c>
      <c r="AL5" t="s">
        <v>193</v>
      </c>
      <c r="AM5" t="s">
        <v>200</v>
      </c>
      <c r="AN5" t="s">
        <v>207</v>
      </c>
      <c r="AO5" t="s">
        <v>103</v>
      </c>
      <c r="AP5" t="s">
        <v>103</v>
      </c>
      <c r="AQ5" t="s">
        <v>103</v>
      </c>
    </row>
    <row r="6" spans="1:43" x14ac:dyDescent="0.45">
      <c r="W6" t="s">
        <v>111</v>
      </c>
      <c r="X6" t="s">
        <v>103</v>
      </c>
      <c r="Y6" t="s">
        <v>103</v>
      </c>
      <c r="Z6" t="s">
        <v>102</v>
      </c>
      <c r="AA6" t="s">
        <v>102</v>
      </c>
      <c r="AB6" t="s">
        <v>102</v>
      </c>
      <c r="AC6" t="s">
        <v>132</v>
      </c>
      <c r="AD6" t="s">
        <v>144</v>
      </c>
      <c r="AE6" t="s">
        <v>156</v>
      </c>
      <c r="AF6" t="s">
        <v>103</v>
      </c>
      <c r="AI6" t="s">
        <v>103</v>
      </c>
      <c r="AJ6" t="s">
        <v>103</v>
      </c>
      <c r="AK6" t="s">
        <v>103</v>
      </c>
      <c r="AL6" t="s">
        <v>194</v>
      </c>
      <c r="AM6" t="s">
        <v>201</v>
      </c>
      <c r="AN6" t="s">
        <v>208</v>
      </c>
    </row>
    <row r="7" spans="1:43" x14ac:dyDescent="0.45">
      <c r="W7" t="s">
        <v>112</v>
      </c>
      <c r="Z7" t="s">
        <v>103</v>
      </c>
      <c r="AA7" t="s">
        <v>103</v>
      </c>
      <c r="AB7" t="s">
        <v>103</v>
      </c>
      <c r="AC7" t="s">
        <v>133</v>
      </c>
      <c r="AD7" t="s">
        <v>145</v>
      </c>
      <c r="AE7" t="s">
        <v>129</v>
      </c>
      <c r="AL7" t="s">
        <v>195</v>
      </c>
      <c r="AM7" t="s">
        <v>202</v>
      </c>
      <c r="AN7" t="s">
        <v>209</v>
      </c>
    </row>
    <row r="8" spans="1:43" x14ac:dyDescent="0.45">
      <c r="W8" t="s">
        <v>113</v>
      </c>
      <c r="AC8" t="s">
        <v>134</v>
      </c>
      <c r="AD8" t="s">
        <v>146</v>
      </c>
      <c r="AE8" t="s">
        <v>157</v>
      </c>
      <c r="AL8" t="s">
        <v>102</v>
      </c>
      <c r="AM8" t="s">
        <v>102</v>
      </c>
      <c r="AN8" t="s">
        <v>102</v>
      </c>
    </row>
    <row r="9" spans="1:43" x14ac:dyDescent="0.45">
      <c r="W9" t="s">
        <v>114</v>
      </c>
      <c r="AC9" t="s">
        <v>135</v>
      </c>
      <c r="AD9" t="s">
        <v>147</v>
      </c>
      <c r="AE9" t="s">
        <v>158</v>
      </c>
      <c r="AL9" t="s">
        <v>103</v>
      </c>
      <c r="AM9" t="s">
        <v>103</v>
      </c>
      <c r="AN9" t="s">
        <v>103</v>
      </c>
    </row>
    <row r="10" spans="1:43" x14ac:dyDescent="0.45">
      <c r="W10" t="s">
        <v>115</v>
      </c>
      <c r="AC10" t="s">
        <v>136</v>
      </c>
      <c r="AD10" t="s">
        <v>148</v>
      </c>
      <c r="AE10" t="s">
        <v>159</v>
      </c>
    </row>
    <row r="11" spans="1:43" x14ac:dyDescent="0.45">
      <c r="W11" t="s">
        <v>116</v>
      </c>
      <c r="AC11" t="s">
        <v>137</v>
      </c>
      <c r="AD11" t="s">
        <v>149</v>
      </c>
      <c r="AE11" t="s">
        <v>160</v>
      </c>
    </row>
    <row r="12" spans="1:43" x14ac:dyDescent="0.45">
      <c r="W12" t="s">
        <v>117</v>
      </c>
      <c r="AC12" t="s">
        <v>138</v>
      </c>
      <c r="AD12" t="s">
        <v>150</v>
      </c>
      <c r="AE12" t="s">
        <v>161</v>
      </c>
    </row>
    <row r="13" spans="1:43" x14ac:dyDescent="0.45">
      <c r="W13" t="s">
        <v>102</v>
      </c>
      <c r="AC13" t="s">
        <v>102</v>
      </c>
      <c r="AD13" t="s">
        <v>102</v>
      </c>
      <c r="AE13" t="s">
        <v>102</v>
      </c>
    </row>
    <row r="14" spans="1:43" x14ac:dyDescent="0.45">
      <c r="W14" t="s">
        <v>103</v>
      </c>
      <c r="AC14" t="s">
        <v>103</v>
      </c>
      <c r="AD14" t="s">
        <v>103</v>
      </c>
      <c r="AE14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A80F-37E0-4439-87C1-64DCF3AB2315}">
  <sheetPr codeName="Sheet7"/>
  <dimension ref="A1:K6"/>
  <sheetViews>
    <sheetView workbookViewId="0"/>
  </sheetViews>
  <sheetFormatPr defaultRowHeight="14.25" x14ac:dyDescent="0.45"/>
  <sheetData>
    <row r="1" spans="1:11" ht="15.75" x14ac:dyDescent="0.5">
      <c r="A1" s="33" t="s">
        <v>111</v>
      </c>
      <c r="B1" s="33" t="s">
        <v>117</v>
      </c>
      <c r="C1" s="33" t="s">
        <v>170</v>
      </c>
      <c r="D1" s="33" t="s">
        <v>116</v>
      </c>
      <c r="E1" s="33" t="s">
        <v>107</v>
      </c>
      <c r="F1" s="33" t="s">
        <v>112</v>
      </c>
      <c r="G1" s="33" t="s">
        <v>108</v>
      </c>
      <c r="H1" s="33" t="s">
        <v>109</v>
      </c>
      <c r="I1" s="33" t="s">
        <v>114</v>
      </c>
      <c r="J1" s="33" t="s">
        <v>110</v>
      </c>
      <c r="K1" s="33" t="s">
        <v>113</v>
      </c>
    </row>
    <row r="2" spans="1:11" x14ac:dyDescent="0.45">
      <c r="A2" t="s">
        <v>168</v>
      </c>
      <c r="B2" t="s">
        <v>169</v>
      </c>
      <c r="C2" t="s">
        <v>168</v>
      </c>
      <c r="D2" t="s">
        <v>168</v>
      </c>
      <c r="E2" t="s">
        <v>168</v>
      </c>
      <c r="F2" t="s">
        <v>168</v>
      </c>
      <c r="G2" t="s">
        <v>168</v>
      </c>
      <c r="H2" t="s">
        <v>168</v>
      </c>
      <c r="I2" t="s">
        <v>171</v>
      </c>
      <c r="J2" t="s">
        <v>168</v>
      </c>
      <c r="K2" t="s">
        <v>168</v>
      </c>
    </row>
    <row r="3" spans="1:11" x14ac:dyDescent="0.45">
      <c r="A3" t="s">
        <v>169</v>
      </c>
      <c r="B3" t="s">
        <v>102</v>
      </c>
      <c r="C3" t="s">
        <v>171</v>
      </c>
      <c r="D3" t="s">
        <v>169</v>
      </c>
      <c r="E3" t="s">
        <v>169</v>
      </c>
      <c r="F3" t="s">
        <v>169</v>
      </c>
      <c r="G3" t="s">
        <v>169</v>
      </c>
      <c r="H3" t="s">
        <v>169</v>
      </c>
      <c r="I3" t="s">
        <v>102</v>
      </c>
      <c r="J3" t="s">
        <v>169</v>
      </c>
      <c r="K3" t="s">
        <v>169</v>
      </c>
    </row>
    <row r="4" spans="1:11" x14ac:dyDescent="0.45">
      <c r="A4" t="s">
        <v>102</v>
      </c>
      <c r="B4" t="s">
        <v>103</v>
      </c>
      <c r="C4" t="s">
        <v>169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103</v>
      </c>
      <c r="J4" t="s">
        <v>102</v>
      </c>
      <c r="K4" t="s">
        <v>102</v>
      </c>
    </row>
    <row r="5" spans="1:11" x14ac:dyDescent="0.45">
      <c r="A5" t="s">
        <v>103</v>
      </c>
      <c r="C5" t="s">
        <v>102</v>
      </c>
      <c r="D5" t="s">
        <v>103</v>
      </c>
      <c r="E5" t="s">
        <v>103</v>
      </c>
      <c r="F5" t="s">
        <v>103</v>
      </c>
      <c r="G5" t="s">
        <v>103</v>
      </c>
      <c r="H5" t="s">
        <v>103</v>
      </c>
      <c r="J5" t="s">
        <v>103</v>
      </c>
      <c r="K5" t="s">
        <v>103</v>
      </c>
    </row>
    <row r="6" spans="1:11" x14ac:dyDescent="0.45">
      <c r="C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34BF8-2D9F-4481-9281-686A8AA45487}">
  <sheetPr codeName="Sheet8"/>
  <dimension ref="A1:D6"/>
  <sheetViews>
    <sheetView workbookViewId="0"/>
  </sheetViews>
  <sheetFormatPr defaultRowHeight="14.25" x14ac:dyDescent="0.45"/>
  <sheetData>
    <row r="1" spans="1:4" ht="15.75" x14ac:dyDescent="0.5">
      <c r="A1" s="34" t="s">
        <v>117</v>
      </c>
      <c r="B1" s="34" t="s">
        <v>170</v>
      </c>
      <c r="C1" s="34" t="s">
        <v>107</v>
      </c>
      <c r="D1" s="34" t="s">
        <v>109</v>
      </c>
    </row>
    <row r="2" spans="1:4" x14ac:dyDescent="0.45">
      <c r="A2" t="s">
        <v>172</v>
      </c>
      <c r="B2" t="s">
        <v>173</v>
      </c>
      <c r="C2" t="s">
        <v>173</v>
      </c>
      <c r="D2" t="s">
        <v>173</v>
      </c>
    </row>
    <row r="3" spans="1:4" x14ac:dyDescent="0.45">
      <c r="A3" t="s">
        <v>102</v>
      </c>
      <c r="B3" t="s">
        <v>174</v>
      </c>
      <c r="C3" t="s">
        <v>172</v>
      </c>
      <c r="D3" t="s">
        <v>172</v>
      </c>
    </row>
    <row r="4" spans="1:4" x14ac:dyDescent="0.45">
      <c r="A4" t="s">
        <v>103</v>
      </c>
      <c r="B4" t="s">
        <v>172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FE83-9F4E-4EA0-8697-4B26B1EF1ECE}">
  <sheetPr codeName="Sheet9"/>
  <dimension ref="A1:D6"/>
  <sheetViews>
    <sheetView workbookViewId="0"/>
  </sheetViews>
  <sheetFormatPr defaultRowHeight="14.25" x14ac:dyDescent="0.45"/>
  <sheetData>
    <row r="1" spans="1:4" ht="15.75" x14ac:dyDescent="0.5">
      <c r="A1" s="35" t="s">
        <v>117</v>
      </c>
      <c r="B1" s="35" t="s">
        <v>170</v>
      </c>
      <c r="C1" s="35" t="s">
        <v>107</v>
      </c>
      <c r="D1" s="35" t="s">
        <v>109</v>
      </c>
    </row>
    <row r="2" spans="1:4" x14ac:dyDescent="0.45">
      <c r="A2" t="s">
        <v>175</v>
      </c>
      <c r="B2" t="s">
        <v>168</v>
      </c>
      <c r="C2" t="s">
        <v>168</v>
      </c>
      <c r="D2" t="s">
        <v>168</v>
      </c>
    </row>
    <row r="3" spans="1:4" x14ac:dyDescent="0.45">
      <c r="A3" t="s">
        <v>102</v>
      </c>
      <c r="B3" t="s">
        <v>176</v>
      </c>
      <c r="C3" t="s">
        <v>175</v>
      </c>
      <c r="D3" t="s">
        <v>175</v>
      </c>
    </row>
    <row r="4" spans="1:4" x14ac:dyDescent="0.45">
      <c r="A4" t="s">
        <v>103</v>
      </c>
      <c r="B4" t="s">
        <v>175</v>
      </c>
      <c r="C4" t="s">
        <v>102</v>
      </c>
      <c r="D4" t="s">
        <v>102</v>
      </c>
    </row>
    <row r="5" spans="1:4" x14ac:dyDescent="0.45">
      <c r="B5" t="s">
        <v>102</v>
      </c>
      <c r="C5" t="s">
        <v>103</v>
      </c>
      <c r="D5" t="s">
        <v>103</v>
      </c>
    </row>
    <row r="6" spans="1:4" x14ac:dyDescent="0.45">
      <c r="B6" t="s">
        <v>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1866A2CD-A332-4B27-916F-1830469205C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E6ED023-3B1A-4880-9851-35ADE6F36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46</vt:i4>
      </vt:variant>
    </vt:vector>
  </HeadingPairs>
  <TitlesOfParts>
    <vt:vector size="55" baseType="lpstr">
      <vt:lpstr>Help</vt:lpstr>
      <vt:lpstr>Entities</vt:lpstr>
      <vt:lpstr>Migrationsartikel</vt:lpstr>
      <vt:lpstr>Leergutliste</vt:lpstr>
      <vt:lpstr>Model</vt:lpstr>
      <vt:lpstr>Reference Data</vt:lpstr>
      <vt:lpstr>dedea_axba2387</vt:lpstr>
      <vt:lpstr>frfra_axba1516</vt:lpstr>
      <vt:lpstr>itita_axba3948</vt:lpstr>
      <vt:lpstr>EntitiesCol</vt:lpstr>
      <vt:lpstr>EntitiesRow</vt:lpstr>
      <vt:lpstr>Migrationsartikel!Print_Area</vt:lpstr>
      <vt:lpstr>RSC__refxartikeltypsap</vt:lpstr>
      <vt:lpstr>RSC__refxbooleanalkoholhaltig</vt:lpstr>
      <vt:lpstr>RSC__refxboolen</vt:lpstr>
      <vt:lpstr>RSC__refxgtintyperegioartikel</vt:lpstr>
      <vt:lpstr>RSC__refxshopinshop</vt:lpstr>
      <vt:lpstr>RSC__refxsystemsap</vt:lpstr>
      <vt:lpstr>RSC_atxalkoholhaltig__de_DE</vt:lpstr>
      <vt:lpstr>RSC_atxalkoholhaltig__fr_FR</vt:lpstr>
      <vt:lpstr>RSC_atxalkoholhaltig__it_IT</vt:lpstr>
      <vt:lpstr>RSC_atxwarengruppesap__de_DE</vt:lpstr>
      <vt:lpstr>RSC_atxwarengruppesap__fr_FR</vt:lpstr>
      <vt:lpstr>RSC_atxwarengruppesap__it_IT</vt:lpstr>
      <vt:lpstr>RSC_axartikelslpmstruktur__de_DE</vt:lpstr>
      <vt:lpstr>RSC_axartikelslpmstruktur__fr_FR</vt:lpstr>
      <vt:lpstr>RSC_axartikelslpmstruktur__it_IT</vt:lpstr>
      <vt:lpstr>RSC_axartikeltypsap__de_DE</vt:lpstr>
      <vt:lpstr>RSC_axartikeltypsap__fr_FR</vt:lpstr>
      <vt:lpstr>RSC_axartikeltypsap__it_IT</vt:lpstr>
      <vt:lpstr>RSC_axmhdvorhanden__de_DE</vt:lpstr>
      <vt:lpstr>RSC_axmhdvorhanden__fr_FR</vt:lpstr>
      <vt:lpstr>RSC_axmhdvorhanden__it_IT</vt:lpstr>
      <vt:lpstr>RSC_axtaxdummyfilter__de_DE</vt:lpstr>
      <vt:lpstr>RSC_axtaxdummyfilter__fr_FR</vt:lpstr>
      <vt:lpstr>RSC_axtaxdummyfilter__it_IT</vt:lpstr>
      <vt:lpstr>RSC_de_DE_refxaltersbegrtyp</vt:lpstr>
      <vt:lpstr>RSC_de_DE_refxartikelartsap</vt:lpstr>
      <vt:lpstr>RSC_de_DE_refxmengeneinheit</vt:lpstr>
      <vt:lpstr>RSC_de_DE_refxsaisontypsap</vt:lpstr>
      <vt:lpstr>RSC_de_DE_refxtaxclass</vt:lpstr>
      <vt:lpstr>RSC_de_DE_refxvergleichspreiseinheit</vt:lpstr>
      <vt:lpstr>RSC_ENTITY_NAME</vt:lpstr>
      <vt:lpstr>RSC_fr_FR_refxaltersbegrtyp</vt:lpstr>
      <vt:lpstr>RSC_fr_FR_refxartikelartsap</vt:lpstr>
      <vt:lpstr>RSC_fr_FR_refxmengeneinheit</vt:lpstr>
      <vt:lpstr>RSC_fr_FR_refxsaisontypsap</vt:lpstr>
      <vt:lpstr>RSC_fr_FR_refxtaxclass</vt:lpstr>
      <vt:lpstr>RSC_fr_FR_refxvergleichspreiseinheit</vt:lpstr>
      <vt:lpstr>RSC_it_IT_refxaltersbegrtyp</vt:lpstr>
      <vt:lpstr>RSC_it_IT_refxartikelartsap</vt:lpstr>
      <vt:lpstr>RSC_it_IT_refxmengeneinheit</vt:lpstr>
      <vt:lpstr>RSC_it_IT_refxsaisontypsap</vt:lpstr>
      <vt:lpstr>RSC_it_IT_refxtaxclass</vt:lpstr>
      <vt:lpstr>RSC_it_IT_refxvergleichspreiseinheit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Nair</dc:creator>
  <cp:lastModifiedBy>Otto Mischler</cp:lastModifiedBy>
  <dcterms:created xsi:type="dcterms:W3CDTF">2017-05-21T21:17:00Z</dcterms:created>
  <dcterms:modified xsi:type="dcterms:W3CDTF">2025-12-08T12:06:44Z</dcterms:modified>
</cp:coreProperties>
</file>