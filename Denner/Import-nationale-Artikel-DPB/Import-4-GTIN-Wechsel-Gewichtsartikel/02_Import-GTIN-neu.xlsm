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\Projeke\Denner\Import-nationale-Artikel-DPB\GTIN-Wechsel-Gewichtsartikel\"/>
    </mc:Choice>
  </mc:AlternateContent>
  <xr:revisionPtr revIDLastSave="0" documentId="13_ncr:1_{77EC2EA3-B910-43AB-AE92-260BC16E0973}" xr6:coauthVersionLast="47" xr6:coauthVersionMax="47" xr10:uidLastSave="{00000000-0000-0000-0000-000000000000}"/>
  <bookViews>
    <workbookView xWindow="-5510" yWindow="-21710" windowWidth="38620" windowHeight="2110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  <sheet name="dedea_axba263" sheetId="6" state="hidden" r:id="rId5"/>
    <sheet name="frfra_axba9520" sheetId="7" state="hidden" r:id="rId6"/>
    <sheet name="itita_axba9007" sheetId="8" state="hidden" r:id="rId7"/>
    <sheet name="Entities_comment" sheetId="9" state="hidden" r:id="rId8"/>
  </sheets>
  <externalReferences>
    <externalReference r:id="rId9"/>
    <externalReference r:id="rId10"/>
  </externalReferences>
  <definedNames>
    <definedName name="EntitiesCol">Entities!$SRB$2</definedName>
    <definedName name="EntitiesRow">Entities!$A$1000000</definedName>
    <definedName name="RelationshipsCol">[1]Relationships!$SSS$2</definedName>
    <definedName name="RelationshipsRow">[1]Relationships!$A$1000000</definedName>
    <definedName name="RSC__refxartikeltypsap">'Reference Data'!$Q$2:$Q$5</definedName>
    <definedName name="RSC__refxboolen">'Reference Data'!$R$2:$R$5</definedName>
    <definedName name="RSC__refxgtintyperegioartikel">'Reference Data'!$AO$2:$AO$6</definedName>
    <definedName name="RSC__refxshopinshop">'Reference Data'!$AK$2:$AK$5</definedName>
    <definedName name="RSC_atxwarengruppesap__de_DE">'Reference Data'!$B$2:$B$4</definedName>
    <definedName name="RSC_atxwarengruppesap__fr_FR">'Reference Data'!$E$2:$E$4</definedName>
    <definedName name="RSC_atxwarengruppesap__it_IT">'Reference Data'!$L$2:$L$4</definedName>
    <definedName name="RSC_axartikelslpmstruktur__de_DE">'Reference Data'!$C$2:$C$4</definedName>
    <definedName name="RSC_axartikelslpmstruktur__fr_FR">'Reference Data'!$G$2:$G$4</definedName>
    <definedName name="RSC_axartikelslpmstruktur__it_IT">'Reference Data'!$A$2:$A$4</definedName>
    <definedName name="RSC_axartikeltypsap__de_DE">'Reference Data'!$I$2:$I$2</definedName>
    <definedName name="RSC_axartikeltypsap__fr_FR">'Reference Data'!$H$2:$H$2</definedName>
    <definedName name="RSC_axartikeltypsap__it_IT">'Reference Data'!$M$2:$M$2</definedName>
    <definedName name="RSC_axmhdvorhanden__de_DE">'Reference Data'!$K$2:$K$2</definedName>
    <definedName name="RSC_axmhdvorhanden__fr_FR">'Reference Data'!$N$2:$N$2</definedName>
    <definedName name="RSC_axmhdvorhanden__it_IT">'Reference Data'!$D$2:$D$2</definedName>
    <definedName name="RSC_axtaxdummyfilter__de_DE">'Reference Data'!$J$2:$J$2</definedName>
    <definedName name="RSC_axtaxdummyfilter__fr_FR">'Reference Data'!$O$2:$O$2</definedName>
    <definedName name="RSC_axtaxdummyfilter__it_IT">'Reference Data'!$F$2:$F$2</definedName>
    <definedName name="RSC_de_DE_refxaltersbegrtyp">'Reference Data'!$AH$2:$AH$9</definedName>
    <definedName name="RSC_de_DE_refxartikelartsap">'Reference Data'!$S$2:$S$16</definedName>
    <definedName name="RSC_de_DE_refxdepotartikel">'Reference Data'!$AL$2:$AL$18</definedName>
    <definedName name="RSC_de_DE_refxmengeneinheit">'Reference Data'!$Y$2:$Y$16</definedName>
    <definedName name="RSC_de_DE_refxsaisontypsap">'Reference Data'!$V$2:$V$7</definedName>
    <definedName name="RSC_de_DE_refxtaxclass">'Reference Data'!$AE$2:$AE$6</definedName>
    <definedName name="RSC_de_DE_refxvergleichspreiseinheit">'Reference Data'!$AB$2:$AB$6</definedName>
    <definedName name="RSC_ENTITY_NAME">'Reference Data'!$P$2:$P$2</definedName>
    <definedName name="RSC_fr_FR_refxaltersbegrtyp">'Reference Data'!$AI$2:$AI$9</definedName>
    <definedName name="RSC_fr_FR_refxartikelartsap">'Reference Data'!$T$2:$T$6</definedName>
    <definedName name="RSC_fr_FR_refxdepotartikel">'Reference Data'!$AM$2:$AM$18</definedName>
    <definedName name="RSC_fr_FR_refxmengeneinheit">'Reference Data'!$Z$2:$Z$16</definedName>
    <definedName name="RSC_fr_FR_refxsaisontypsap">'Reference Data'!$W$2:$W$7</definedName>
    <definedName name="RSC_fr_FR_refxtaxclass">'Reference Data'!$AF$2:$AF$6</definedName>
    <definedName name="RSC_fr_FR_refxvergleichspreiseinheit">'Reference Data'!$AC$2:$AC$3</definedName>
    <definedName name="RSC_it_IT_refxaltersbegrtyp">'Reference Data'!$AJ$2:$AJ$9</definedName>
    <definedName name="RSC_it_IT_refxartikelartsap">'Reference Data'!$U$2:$U$6</definedName>
    <definedName name="RSC_it_IT_refxdepotartikel">'Reference Data'!$AN$2:$AN$18</definedName>
    <definedName name="RSC_it_IT_refxmengeneinheit">'Reference Data'!$AA$2:$AA$16</definedName>
    <definedName name="RSC_it_IT_refxsaisontypsap">'Reference Data'!$X$2:$X$7</definedName>
    <definedName name="RSC_it_IT_refxtaxclass">'Reference Data'!$AG$2:$AG$6</definedName>
    <definedName name="RSC_it_IT_refxvergleichspreiseinheit">'Reference Data'!$AD$2:$AD$3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  <comment ref="E2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00 - Einzelartikel: bei allen In/Out- &amp; Sortimentsartikeln
12 - Display: bei Displays + beim Display Aktionsartikel</t>
        </r>
      </text>
    </comment>
    <comment ref="F2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G2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H2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SAP Warengruppe</t>
        </r>
      </text>
    </comment>
    <comment ref="I2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Mindestrestlaufzeit und Verweildauer (optional unter 07-MHD) müssen gepflegt werden</t>
        </r>
      </text>
    </comment>
    <comment ref="P2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MDM-Identifier</t>
        </r>
      </text>
    </comment>
  </commentList>
</comments>
</file>

<file path=xl/sharedStrings.xml><?xml version="1.0" encoding="utf-8"?>
<sst xmlns="http://schemas.openxmlformats.org/spreadsheetml/2006/main" count="967" uniqueCount="308">
  <si>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</si>
  <si>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</si>
  <si>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</si>
  <si>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</si>
  <si>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</si>
  <si>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</si>
  <si>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</si>
  <si>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</si>
  <si>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</si>
  <si>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</si>
  <si>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</si>
  <si>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</si>
  <si>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</si>
  <si>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</si>
  <si>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</si>
  <si>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</si>
  <si>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</si>
  <si>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</si>
  <si>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</si>
  <si>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</si>
  <si>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</si>
  <si>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</si>
  <si>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</si>
  <si>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</si>
  <si>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</si>
  <si>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</si>
  <si>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</si>
  <si>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</si>
  <si>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</si>
  <si>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</si>
  <si>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Artikeltyp</t>
  </si>
  <si>
    <t>Warengruppe//de-DE</t>
  </si>
  <si>
    <t>Warengruppe//fr-FR</t>
  </si>
  <si>
    <t>Warengruppe//it-IT</t>
  </si>
  <si>
    <t>MHD vorhanden?</t>
  </si>
  <si>
    <t>Dummy for Attribute Filter//de-DE</t>
  </si>
  <si>
    <t>Dummy for Attribute Filter//fr-FR</t>
  </si>
  <si>
    <t>Dummy for Attribute Filter//it-IT</t>
  </si>
  <si>
    <t>SLPM Struktur//de-DE</t>
  </si>
  <si>
    <t>SLPM Struktur//fr-FR</t>
  </si>
  <si>
    <t>SLPM Struktur//it-IT</t>
  </si>
  <si>
    <t>Enhancer Attribute(s)</t>
  </si>
  <si>
    <t>MDM ID</t>
  </si>
  <si>
    <t>Matching Attribute(s)</t>
  </si>
  <si>
    <t>Artikelart//de-DE</t>
  </si>
  <si>
    <t>Artikelart//fr-FR</t>
  </si>
  <si>
    <t>Artikelart//it-IT</t>
  </si>
  <si>
    <t>Saison Typ//de-DE</t>
  </si>
  <si>
    <t>Saison Typ//fr-FR</t>
  </si>
  <si>
    <t>Saison Typ//it-IT</t>
  </si>
  <si>
    <t>GTIN Suche</t>
  </si>
  <si>
    <t>01 - Rumpfinformationen</t>
  </si>
  <si>
    <t>Ergänzte Regio-Artikel-GTIN</t>
  </si>
  <si>
    <t>99 - intern</t>
  </si>
  <si>
    <t>GTIN-Typ Regioapp</t>
  </si>
  <si>
    <t>axartikelslpmstruktur__it_IT</t>
  </si>
  <si>
    <t>SLPM Struktur&gt;&gt;1 Frische&gt;&gt;15 Früchte und Gemüse&gt;&gt;1510 Früchte und Gemüse&gt;&gt;15101010 Früchte</t>
  </si>
  <si>
    <t>SLPM Struktur&gt;&gt;1 Frische&gt;&gt;15 Früchte und Gemüse&gt;&gt;1510 Früchte und Gemüse&gt;&gt;15101015 Gemüse</t>
  </si>
  <si>
    <t>SLPM Struktur&gt;&gt;2 Food/Near Food/Tabakwaren&gt;&gt;25 Food&gt;&gt;2540 Snacks/Apero&gt;&gt;25401010 Snacks/Apero</t>
  </si>
  <si>
    <t>atxwarengruppesap__de_DE</t>
  </si>
  <si>
    <t>Warengruppe&gt;&gt;Food&gt;&gt;Snacks/Apero&gt;&gt;Snacks/Apero</t>
  </si>
  <si>
    <t>Warengruppe&gt;&gt;Früchte und Gemüse&gt;&gt;Früchte und Gemüse&gt;&gt;Früchte</t>
  </si>
  <si>
    <t>Warengruppe&gt;&gt;Früchte und Gemüse&gt;&gt;Früchte und Gemüse&gt;&gt;Gemüse</t>
  </si>
  <si>
    <t>axartikelslpmstruktur__de_DE</t>
  </si>
  <si>
    <t>axmhdvorhanden__it_IT</t>
  </si>
  <si>
    <t>Ja</t>
  </si>
  <si>
    <t>atxwarengruppesap__fr_FR</t>
  </si>
  <si>
    <t>Groupe de produits&gt;&gt;Alimentation&gt;&gt;Snacks / Apéritifs&gt;&gt;Snacks/apéro</t>
  </si>
  <si>
    <t>Groupe de produits&gt;&gt;Fruits et légumes&gt;&gt;Fruits et légumes&gt;&gt;Fruits</t>
  </si>
  <si>
    <t>Groupe de produits&gt;&gt;Fruits et légumes&gt;&gt;Fruits et légumes&gt;&gt;Légumes</t>
  </si>
  <si>
    <t>axtaxdummyfilter__it_IT</t>
  </si>
  <si>
    <t>Dummy for Attribute Filtering</t>
  </si>
  <si>
    <t>axartikelslpmstruktur__fr_FR</t>
  </si>
  <si>
    <t>axartikeltypsap__fr_FR</t>
  </si>
  <si>
    <t>00 - Einzelartikel</t>
  </si>
  <si>
    <t>axartikeltypsap__de_DE</t>
  </si>
  <si>
    <t>axtaxdummyfilter__de_DE</t>
  </si>
  <si>
    <t>axmhdvorhanden__de_DE</t>
  </si>
  <si>
    <t>atxwarengruppesap__it_IT</t>
  </si>
  <si>
    <t>Gruppo di prodotti&gt;&gt;Alimenti&gt;&gt;Snack / Aperitivi&gt;&gt;Snack/Aperitivi</t>
  </si>
  <si>
    <t>Gruppo di prodotti&gt;&gt;Frutta e verdura&gt;&gt;Frutta e verdura&gt;&gt;Frutta</t>
  </si>
  <si>
    <t>Gruppo di prodotti&gt;&gt;Frutta e verdura&gt;&gt;Frutta e verdura&gt;&gt;Verdura</t>
  </si>
  <si>
    <t>axartikeltypsap__it_IT</t>
  </si>
  <si>
    <t>axmhdvorhanden__fr_FR</t>
  </si>
  <si>
    <t>axtaxdummyfilter__fr_FR</t>
  </si>
  <si>
    <t>ENTITY_NAME</t>
  </si>
  <si>
    <t>exartikel</t>
  </si>
  <si>
    <t xml:space="preserve">refxartikeltypsap </t>
  </si>
  <si>
    <t>12 - Display</t>
  </si>
  <si>
    <t>[DELETE]</t>
  </si>
  <si>
    <t>[NULL]</t>
  </si>
  <si>
    <t xml:space="preserve">refxboolen </t>
  </si>
  <si>
    <t>Nein</t>
  </si>
  <si>
    <t>refxartikelartsap de-DE</t>
  </si>
  <si>
    <t>COUP - Coupon</t>
  </si>
  <si>
    <t>ZAUS - Display In/Out Artikel</t>
  </si>
  <si>
    <t>ZDIP - Dienstleistung POS</t>
  </si>
  <si>
    <t>ZEGS - Externe Gutscheine</t>
  </si>
  <si>
    <t>ZHAW - Handelsware ohne Charge</t>
  </si>
  <si>
    <t>ZHIB - Hilfs-/Betriebsstoffe aus VZ</t>
  </si>
  <si>
    <t>ZIGS  - Denner Gutschein</t>
  </si>
  <si>
    <t>ZLEE - Leergut</t>
  </si>
  <si>
    <t>ZLOS - Lose</t>
  </si>
  <si>
    <t>ZRWE - Wein in Tanks</t>
  </si>
  <si>
    <t>ZVBR - Verbrauchsmat. aus Antalis</t>
  </si>
  <si>
    <t>ZVOL - Vollgut</t>
  </si>
  <si>
    <t>ZWEI - Wein mit Charge</t>
  </si>
  <si>
    <t>refxartikelartsap fr-FR</t>
  </si>
  <si>
    <t>refxartikelartsap it-IT</t>
  </si>
  <si>
    <t>refxsaisontypsap de-DE</t>
  </si>
  <si>
    <t>In/Out</t>
  </si>
  <si>
    <t>Permanent</t>
  </si>
  <si>
    <t>Saison</t>
  </si>
  <si>
    <t>Saison/Promo</t>
  </si>
  <si>
    <t>refxsaisontypsap fr-FR</t>
  </si>
  <si>
    <t>refxsaisontypsap it-IT</t>
  </si>
  <si>
    <t>refxmengeneinheit de-DE</t>
  </si>
  <si>
    <t>Centiliter</t>
  </si>
  <si>
    <t>Each</t>
  </si>
  <si>
    <t>Gramm</t>
  </si>
  <si>
    <t>Kilogramm</t>
  </si>
  <si>
    <t>Kiste</t>
  </si>
  <si>
    <t>Liter</t>
  </si>
  <si>
    <t>Milliliter</t>
  </si>
  <si>
    <t>Pack</t>
  </si>
  <si>
    <t>Rolle</t>
  </si>
  <si>
    <t>Sticks</t>
  </si>
  <si>
    <t>Stück</t>
  </si>
  <si>
    <t>Tüte</t>
  </si>
  <si>
    <t>Waschgänge</t>
  </si>
  <si>
    <t>refxmengeneinheit fr-FR</t>
  </si>
  <si>
    <t>Caisse</t>
  </si>
  <si>
    <t>Centilitre</t>
  </si>
  <si>
    <t>Chaque</t>
  </si>
  <si>
    <t>Gramme</t>
  </si>
  <si>
    <t>Kilogramme</t>
  </si>
  <si>
    <t>Lessives</t>
  </si>
  <si>
    <t>Litre</t>
  </si>
  <si>
    <t>Millilitre</t>
  </si>
  <si>
    <t>Paquet</t>
  </si>
  <si>
    <t>Pièce</t>
  </si>
  <si>
    <t>Rouleau</t>
  </si>
  <si>
    <t>Sachet</t>
  </si>
  <si>
    <t>refxmengeneinheit it-IT</t>
  </si>
  <si>
    <t>Borsa</t>
  </si>
  <si>
    <t>Cassa</t>
  </si>
  <si>
    <t>Centilitro</t>
  </si>
  <si>
    <t>Chilogrammo</t>
  </si>
  <si>
    <t>Cicli di lavaggio</t>
  </si>
  <si>
    <t>Confezione</t>
  </si>
  <si>
    <t>Grammo</t>
  </si>
  <si>
    <t>Litro</t>
  </si>
  <si>
    <t>Millilitro</t>
  </si>
  <si>
    <t>Pezzo</t>
  </si>
  <si>
    <t>Rotolo</t>
  </si>
  <si>
    <t>refxvergleichspreiseinheit de-DE</t>
  </si>
  <si>
    <t>1</t>
  </si>
  <si>
    <t>10</t>
  </si>
  <si>
    <t>100</t>
  </si>
  <si>
    <t>refxvergleichspreiseinheit fr-FR</t>
  </si>
  <si>
    <t>refxvergleichspreiseinheit it-IT</t>
  </si>
  <si>
    <t>(PCE) Stück</t>
  </si>
  <si>
    <t>(KGM) KG</t>
  </si>
  <si>
    <t>[EMPTY]</t>
  </si>
  <si>
    <t>(LTR) Liter</t>
  </si>
  <si>
    <t>(PCE) Pièce</t>
  </si>
  <si>
    <t>(KGM) kg</t>
  </si>
  <si>
    <t>(L) Litre</t>
  </si>
  <si>
    <t>(PCE) Pezzo</t>
  </si>
  <si>
    <t>(L) Litro</t>
  </si>
  <si>
    <t>refxtaxclass de-DE</t>
  </si>
  <si>
    <t>0 - Ohne MWST</t>
  </si>
  <si>
    <t>1 - Normalsatz</t>
  </si>
  <si>
    <t>3 - Reduzierter Satz</t>
  </si>
  <si>
    <t>refxtaxclass fr-FR</t>
  </si>
  <si>
    <t>0 - Sans TVA</t>
  </si>
  <si>
    <t>1 - Taux normal</t>
  </si>
  <si>
    <t>3 - Taux réduit</t>
  </si>
  <si>
    <t>refxtaxclass it-IT</t>
  </si>
  <si>
    <t>0 - Senza IVA</t>
  </si>
  <si>
    <t>1 - Tariffa standard</t>
  </si>
  <si>
    <t>3 - Tariffa ridotta</t>
  </si>
  <si>
    <t>refxaltersbegrtyp de-DE</t>
  </si>
  <si>
    <t>Alcopops</t>
  </si>
  <si>
    <t>Bier</t>
  </si>
  <si>
    <t>Keine</t>
  </si>
  <si>
    <t>Rauchwaren</t>
  </si>
  <si>
    <t>Spirituosen</t>
  </si>
  <si>
    <t>Wein</t>
  </si>
  <si>
    <t>refxaltersbegrtyp fr-FR</t>
  </si>
  <si>
    <t>Alcopop</t>
  </si>
  <si>
    <t>Aucune</t>
  </si>
  <si>
    <t>Bière</t>
  </si>
  <si>
    <t>Spiriteux</t>
  </si>
  <si>
    <t>Tabac</t>
  </si>
  <si>
    <t>Vin</t>
  </si>
  <si>
    <t>refxaltersbegrtyp it-IT</t>
  </si>
  <si>
    <t>Alcolpop</t>
  </si>
  <si>
    <t>Birra</t>
  </si>
  <si>
    <t>Nessuna</t>
  </si>
  <si>
    <t>Superalcolici</t>
  </si>
  <si>
    <t>Tabacchi</t>
  </si>
  <si>
    <t>Vino</t>
  </si>
  <si>
    <t xml:space="preserve">refxshopinshop </t>
  </si>
  <si>
    <t>Denner Partner</t>
  </si>
  <si>
    <t>Postartikel</t>
  </si>
  <si>
    <t>refxdepotartikel de-DE</t>
  </si>
  <si>
    <t>1031091 - Flasche Depot Fr. 0.30 1Stk</t>
  </si>
  <si>
    <t>1031092 - Zylinder Soda Pfand Lieferung 1Stk CHF 10.00</t>
  </si>
  <si>
    <t>1031093 - Soda Lieferkarton 1Stk CHF 0.01</t>
  </si>
  <si>
    <t>1031095 - Bierharass Depot 20er Fr. 5.00 1Stk</t>
  </si>
  <si>
    <t>1035856 - Depot Harasse mit 20 Fl. CHF 11.00</t>
  </si>
  <si>
    <t>1035857 - Soda Zylinder Gebinde Rückgabe 1Stk CHF 10.00</t>
  </si>
  <si>
    <t>1102242 - Depot CHF 0.10</t>
  </si>
  <si>
    <t>1102243 - Depot CHF 0.20</t>
  </si>
  <si>
    <t>1102244 - Depot CHF 0.30</t>
  </si>
  <si>
    <t>1102245 - Depot CHF 0.50</t>
  </si>
  <si>
    <t>1102280 - Depot CHF 1.00</t>
  </si>
  <si>
    <t>1102315 - Depot Harasse CHF 5.00</t>
  </si>
  <si>
    <t>1102316 - Depot Bierfass CHF 10.00</t>
  </si>
  <si>
    <t>1102317 - Depot Gasflasche Stahl CHF 55.00</t>
  </si>
  <si>
    <t>1102318 - Depot Gasflasche Composite Vito 65.00</t>
  </si>
  <si>
    <t>refxdepotartikel fr-FR</t>
  </si>
  <si>
    <t>1031091 - Bouteille Dépôt Fr. 0.30 1pce</t>
  </si>
  <si>
    <t>1031092 - Cylindre Soda consigne 1pc CHF 10.00</t>
  </si>
  <si>
    <t>1031093 - Carton de livraison Soda 1pc CHF 0.01</t>
  </si>
  <si>
    <t>1031095 - Caisse de bière dépôt 20 bt Fr. 5.00 1pc</t>
  </si>
  <si>
    <t>1035856 - Depot Caisse avec 20 btlles CHF 11.00</t>
  </si>
  <si>
    <t>1035857 - Soda Cylindre vide reprise 1 pce CHF 10.00</t>
  </si>
  <si>
    <t>1102315 - Depot Caisse CHF 5.00</t>
  </si>
  <si>
    <t>1102316 - Depot Tonneau de bière CHF 10.00</t>
  </si>
  <si>
    <t>1102317 - Bouteille à gaz Depot Stahl CHF 55.00</t>
  </si>
  <si>
    <t>1102318 - Dépot Bouteille gaz Composite Vito 65.00</t>
  </si>
  <si>
    <t>refxdepotartikel it-IT</t>
  </si>
  <si>
    <t>1031091 - Bottiglia deposito CHF 0.30 1pz</t>
  </si>
  <si>
    <t>1031092 - Zylinder Soda cilindro consegna 1pz CHF 10.00</t>
  </si>
  <si>
    <t>1031093 - Soda Cartone consegna 1pz CHF 0.01</t>
  </si>
  <si>
    <t>1031095 - Cassa di birra da 20 deposi Fr. 5.00 1pz</t>
  </si>
  <si>
    <t>1035856 - Depot Cassa 20 bottiglie CHF 11.00</t>
  </si>
  <si>
    <t>1035857 - Soda Cilindri Contenitore resi 1pz CHF 10.00</t>
  </si>
  <si>
    <t>1102315 - Depot Cassa CHF 5.00</t>
  </si>
  <si>
    <t>1102316 - Depot Barilotto di birra CHF 10.00</t>
  </si>
  <si>
    <t>1102317 - Bombole di gas Depot Stahl CHF 55.00</t>
  </si>
  <si>
    <t>1102318 - Bombole di gas deposito Vito CHF 65.00</t>
  </si>
  <si>
    <t xml:space="preserve">refxgtintyperegioartikel </t>
  </si>
  <si>
    <t>GTIN</t>
  </si>
  <si>
    <t>Kassentastenbelegung (ohne GTIN/PLU)</t>
  </si>
  <si>
    <t>PLU</t>
  </si>
  <si>
    <t>true</t>
  </si>
  <si>
    <t>7e759164-7578-4a63-a076-cd95e7c65dd4</t>
  </si>
  <si>
    <t>1104965 - 665680 - Cicorino Rosso 1Stk</t>
  </si>
  <si>
    <t>f15be442-f810-4367-a28c-f0a44846736c</t>
  </si>
  <si>
    <t>1104917 - 665623 - Äpfel Pink Lady Kl. 1 gepackt</t>
  </si>
  <si>
    <t>74b9abd8-d31f-4c19-9fa5-8dbadc7ca213</t>
  </si>
  <si>
    <t>1105127 - 665832 - Spitzkabis</t>
  </si>
  <si>
    <t>00540196-a317-4bdb-8c20-420bf731edda</t>
  </si>
  <si>
    <t>1104988 - 665701 - Ingwer ca. 200g</t>
  </si>
  <si>
    <t>c858265f-f500-47fb-ad56-49866b2f1d04</t>
  </si>
  <si>
    <t>1104872 - 665582 - Früchtemix Äpfel/Orangen/Bananen</t>
  </si>
  <si>
    <t>295ef7d8-d808-454e-b4b9-853ba18643a2</t>
  </si>
  <si>
    <t>1104869 - 665575 - Äpfel Jazz Kl. 1 gepackt</t>
  </si>
  <si>
    <t>655804d9-1608-4fa6-bd59-33afec3588ec</t>
  </si>
  <si>
    <t>1104954 - 665660 - Trauben mix gepackt ca. 500g</t>
  </si>
  <si>
    <t>bed5a4cc-595c-4193-afbe-56c0676727ca</t>
  </si>
  <si>
    <t>1104835 - 665541 - Birnen Packhams Kl. 1 gepackt</t>
  </si>
  <si>
    <t>69eac2c7-e380-4af8-ac36-c44bf49b6b63</t>
  </si>
  <si>
    <t>1104856 - 665562 - Äpfel Elstar Kl. 1 gepackt</t>
  </si>
  <si>
    <t>3d1f1de9-47f7-4a5b-accd-5c071aebdae4</t>
  </si>
  <si>
    <t>1104830 - 665536 - Birnen Boscop Kl. 1 gepackt</t>
  </si>
  <si>
    <t>89b28277-0fe0-49a1-b83f-69be2e585829</t>
  </si>
  <si>
    <t>1105148 - 665852 - Tomaten San Marzano Schale ca. 500g</t>
  </si>
  <si>
    <t>5d10899f-45cc-42a8-ba9e-17b7d644e7bf</t>
  </si>
  <si>
    <t>1104897 - 665602 - Marroni Netz 750g</t>
  </si>
  <si>
    <t>7c17a93a-4a5f-4d7c-901b-5c8c9ff389b2</t>
  </si>
  <si>
    <t>1105165 - 665869 - Zucchetti gelb ca. 500g</t>
  </si>
  <si>
    <t>0f7b247c-4e01-4314-b4cd-532bcc197eb4</t>
  </si>
  <si>
    <t>1105118 - 665824 - Süsskartoffeln Gross</t>
  </si>
  <si>
    <t>b8f049c0-09fe-4023-8754-569f46ec22bf</t>
  </si>
  <si>
    <t>1105133 - 665842 - Tomaten Datterino Mix Schale</t>
  </si>
  <si>
    <t>18d49b54-278f-48d7-b1b2-37e14f9d9eb0</t>
  </si>
  <si>
    <t>1104890 - 665596 - Limetten gepackt</t>
  </si>
  <si>
    <t>9d5fc5d9-9b74-46a9-9289-598be864d902</t>
  </si>
  <si>
    <t>1104871 - 665577 - Äpfel Cox Orange Kl. 1 gepackt</t>
  </si>
  <si>
    <t>666c7e47-aaf9-4725-ba7d-66a4a74d37c8</t>
  </si>
  <si>
    <t>1104934 - 665637 - Bio Äpfel Topaz Kl. 1 gepackt</t>
  </si>
  <si>
    <t>4148b784-7f9a-430b-9c54-e24495767986</t>
  </si>
  <si>
    <t>1105166 - 665870 - Bio Zuckerhut</t>
  </si>
  <si>
    <t>0ca5939d-9cea-4586-b272-0c5890575c94</t>
  </si>
  <si>
    <t>1104859 - 665565 - Äpfel Granny Smith Kl. 1 gepackt</t>
  </si>
  <si>
    <t>2b2f28bd-62ad-4e8b-9841-576563e86144</t>
  </si>
  <si>
    <t>1104837 - 665543 - Äpfel Braeburn Kl. 1 gepackt</t>
  </si>
  <si>
    <t>36cd9c0a-9e4a-4a77-b601-50b68171abf5</t>
  </si>
  <si>
    <t>1105124 - 665830 - Bio Tomaten Schale</t>
  </si>
  <si>
    <t>2edec3e1-ba7e-4d5b-b47b-12e050ee67ea</t>
  </si>
  <si>
    <t>1105147 - 665854 - Bio Zucchetti ca. 500g</t>
  </si>
  <si>
    <t>c499802a-2c22-4f3f-a3da-1f98eb8119c5</t>
  </si>
  <si>
    <t>1105051 - 665757 - Rhabarbern ca. 700g</t>
  </si>
  <si>
    <t>0448ff33-a802-4c9a-b3d8-15e47f805f4b</t>
  </si>
  <si>
    <t>1105129 - 665833 - Tomaten Fleisch gepackt 2Stk</t>
  </si>
  <si>
    <t>b16d3815-fce6-497c-a1d6-aa94171e847c</t>
  </si>
  <si>
    <t>1104862 - 665568 - Äpfel Boskoop Kl. 1 gepackt</t>
  </si>
  <si>
    <t>c3274973-e9af-41ba-93db-cb5093303d82</t>
  </si>
  <si>
    <t>1104919 - 665625 - Nektarinen ca. 500g</t>
  </si>
  <si>
    <t>43543538-cbeb-4c97-b8cc-a2038892f543</t>
  </si>
  <si>
    <t>1104922 - 665628 - Äpfel Pinova Kl. 1 gepackt</t>
  </si>
  <si>
    <t>62a09e5b-247b-47bf-9a1d-14505c595e5a</t>
  </si>
  <si>
    <t>1104925 - 665633 - Äpfel Rubens Kl. 1 gepackt</t>
  </si>
  <si>
    <t>Req001: Erforderlich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</si>
</sst>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indexed="60"/>
      <name val="Calibri"/>
    </font>
  </fonts>
  <fills count="27">
    <fill>
      <patternFill patternType="none"/>
    </fill>
    <fill>
      <patternFill patternType="gray125"/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5" fillId="3" borderId="3" xfId="1" applyFont="1" applyFill="1" applyBorder="1" applyAlignment="1">
      <alignment vertical="center"/>
    </xf>
    <xf numFmtId="0" fontId="6" fillId="4" borderId="0" xfId="0" applyFont="1" applyFill="1"/>
    <xf numFmtId="0" fontId="7" fillId="5" borderId="0" xfId="0" applyFont="1" applyFill="1"/>
    <xf numFmtId="0" fontId="8" fillId="6" borderId="0" xfId="0" applyFont="1" applyFill="1"/>
    <xf numFmtId="0" fontId="8" fillId="7" borderId="0" xfId="0" applyFont="1" applyFill="1"/>
    <xf numFmtId="0" fontId="6" fillId="8" borderId="0" xfId="0" applyFont="1" applyFill="1"/>
    <xf numFmtId="0" fontId="6" fillId="9" borderId="0" xfId="0" applyFont="1" applyFill="1"/>
    <xf numFmtId="0" fontId="8" fillId="10" borderId="0" xfId="0" applyFont="1" applyFill="1"/>
    <xf numFmtId="0" fontId="8" fillId="11" borderId="0" xfId="0" applyFont="1" applyFill="1"/>
    <xf numFmtId="0" fontId="4" fillId="12" borderId="3" xfId="0" applyFont="1" applyFill="1" applyBorder="1" applyAlignment="1">
      <alignment horizontal="left" vertical="center"/>
    </xf>
    <xf numFmtId="0" fontId="6" fillId="13" borderId="0" xfId="0" applyFont="1" applyFill="1"/>
    <xf numFmtId="0" fontId="8" fillId="14" borderId="0" xfId="0" applyFont="1" applyFill="1"/>
    <xf numFmtId="0" fontId="8" fillId="15" borderId="0" xfId="0" applyFont="1" applyFill="1"/>
    <xf numFmtId="0" fontId="4" fillId="2" borderId="1" xfId="0" applyFont="1" applyFill="1" applyBorder="1" applyAlignment="1">
      <alignment horizontal="left" vertical="center"/>
    </xf>
    <xf numFmtId="0" fontId="6" fillId="16" borderId="0" xfId="0" applyFont="1" applyFill="1"/>
    <xf numFmtId="0" fontId="8" fillId="17" borderId="0" xfId="0" applyFont="1" applyFill="1"/>
    <xf numFmtId="0" fontId="8" fillId="18" borderId="0" xfId="0" applyFont="1" applyFill="1"/>
    <xf numFmtId="0" fontId="6" fillId="19" borderId="0" xfId="0" applyFont="1" applyFill="1"/>
    <xf numFmtId="0" fontId="6" fillId="20" borderId="0" xfId="0" applyFont="1" applyFill="1"/>
    <xf numFmtId="0" fontId="8" fillId="21" borderId="0" xfId="0" applyFont="1" applyFill="1"/>
    <xf numFmtId="0" fontId="8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2" fillId="4" borderId="0" xfId="0" applyFont="1" applyFill="1"/>
    <xf numFmtId="0" fontId="13" fillId="6" borderId="0" xfId="0" applyFont="1" applyFill="1"/>
    <xf numFmtId="49" fontId="0" fillId="0" borderId="0" xfId="0" applyNumberFormat="1"/>
    <xf numFmtId="0" fontId="16" fillId="8" borderId="0" xfId="0" applyFont="1" applyFill="1"/>
    <xf numFmtId="0" fontId="17" fillId="26" borderId="4" xfId="0" applyFont="1" applyFill="1" applyBorder="1" applyAlignment="1">
      <alignment horizontal="left"/>
    </xf>
    <xf numFmtId="0" fontId="18" fillId="10" borderId="0" xfId="0" applyFont="1" applyFill="1"/>
    <xf numFmtId="0" fontId="16" fillId="9" borderId="0" xfId="0" applyFont="1" applyFill="1"/>
    <xf numFmtId="1" fontId="0" fillId="0" borderId="0" xfId="0" applyNumberFormat="1"/>
    <xf numFmtId="0" fontId="21" fillId="25" borderId="0" xfId="0" applyFont="1" applyFill="1"/>
    <xf numFmtId="0" fontId="22" fillId="25" borderId="0" xfId="0" applyFont="1" applyFill="1"/>
    <xf numFmtId="0" fontId="23" fillId="25" borderId="0" xfId="0" applyFont="1" applyFill="1"/>
    <xf numFmtId="0" fontId="24" fillId="25" borderId="0" xfId="0" applyFont="1" applyFill="1"/>
    <xf numFmtId="0" fontId="25" fillId="25" borderId="0" xfId="0" applyFont="1" applyFill="1"/>
    <xf numFmtId="49" fontId="26" fillId="24" borderId="0" xfId="0" applyNumberFormat="1" applyFont="1" applyFill="1"/>
    <xf numFmtId="0" fontId="14" fillId="26" borderId="4" xfId="0" applyFont="1" applyFill="1" applyBorder="1" applyAlignment="1">
      <alignment horizontal="left"/>
    </xf>
    <xf numFmtId="0" fontId="0" fillId="0" borderId="0" xfId="0"/>
    <xf numFmtId="0" fontId="15" fillId="26" borderId="4" xfId="0" applyFont="1" applyFill="1" applyBorder="1" applyAlignment="1">
      <alignment horizontal="left"/>
    </xf>
    <xf numFmtId="49" fontId="0" fillId="0" borderId="0" xfId="0" applyNumberFormat="1"/>
    <xf numFmtId="0" fontId="19" fillId="26" borderId="4" xfId="0" applyFont="1" applyFill="1" applyBorder="1" applyAlignment="1">
      <alignment horizontal="left"/>
    </xf>
    <xf numFmtId="0" fontId="20" fillId="26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GIT\Projeke\Denner\Import-nationale-Artikel-DPB\GTIN-Wechsel-Gewichtsartikel\01-eval-Artikelstammdaten_Regio_Alle_Sprachen%20(005).xlsx" TargetMode="External"/><Relationship Id="rId1" Type="http://schemas.openxmlformats.org/officeDocument/2006/relationships/externalLinkPath" Target="01-eval-Artikelstammdaten_Regio_Alle_Sprachen%20(005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ilialen_Alle_inkl. Nationale"/>
      <sheetName val="Originalreihenfolge_Nur_Regio"/>
      <sheetName val="Model"/>
      <sheetName val="Reference Data"/>
      <sheetName val="dedea_axba6677"/>
      <sheetName val="frfra_axba9713"/>
      <sheetName val="itita_axba8760"/>
      <sheetName val="Entities_comment"/>
    </sheetNames>
    <sheetDataSet>
      <sheetData sheetId="0">
        <row r="206">
          <cell r="B206">
            <v>1104897</v>
          </cell>
          <cell r="D206">
            <v>2201401000000</v>
          </cell>
        </row>
        <row r="207">
          <cell r="B207">
            <v>1104801</v>
          </cell>
        </row>
        <row r="208">
          <cell r="B208">
            <v>1104893</v>
          </cell>
        </row>
        <row r="209">
          <cell r="B209">
            <v>1104883</v>
          </cell>
        </row>
        <row r="210">
          <cell r="B210">
            <v>1104870</v>
          </cell>
        </row>
        <row r="211">
          <cell r="B211">
            <v>1104831</v>
          </cell>
        </row>
        <row r="212">
          <cell r="B212">
            <v>1104871</v>
          </cell>
          <cell r="D212">
            <v>2202261000000</v>
          </cell>
        </row>
        <row r="213">
          <cell r="B213">
            <v>1104856</v>
          </cell>
          <cell r="D213">
            <v>2202291000000</v>
          </cell>
        </row>
        <row r="214">
          <cell r="B214">
            <v>1104879</v>
          </cell>
        </row>
        <row r="215">
          <cell r="B215">
            <v>1104864</v>
          </cell>
        </row>
        <row r="216">
          <cell r="B216">
            <v>1104922</v>
          </cell>
          <cell r="D216">
            <v>2202451000000</v>
          </cell>
        </row>
        <row r="217">
          <cell r="B217">
            <v>1104938</v>
          </cell>
        </row>
        <row r="218">
          <cell r="B218">
            <v>1104861</v>
          </cell>
        </row>
        <row r="219">
          <cell r="B219">
            <v>1104867</v>
          </cell>
        </row>
        <row r="220">
          <cell r="B220">
            <v>1104878</v>
          </cell>
        </row>
        <row r="221">
          <cell r="B221">
            <v>1104876</v>
          </cell>
        </row>
        <row r="222">
          <cell r="B222">
            <v>1104902</v>
          </cell>
        </row>
        <row r="223">
          <cell r="B223">
            <v>1104859</v>
          </cell>
          <cell r="D223">
            <v>2202901000000</v>
          </cell>
        </row>
        <row r="224">
          <cell r="B224">
            <v>1104847</v>
          </cell>
        </row>
        <row r="225">
          <cell r="B225">
            <v>1104910</v>
          </cell>
        </row>
        <row r="226">
          <cell r="B226">
            <v>1104912</v>
          </cell>
        </row>
        <row r="227">
          <cell r="B227">
            <v>1104890</v>
          </cell>
          <cell r="D227">
            <v>2205051000000</v>
          </cell>
        </row>
        <row r="228">
          <cell r="B228">
            <v>1104825</v>
          </cell>
        </row>
        <row r="229">
          <cell r="B229">
            <v>1104924</v>
          </cell>
        </row>
        <row r="230">
          <cell r="B230">
            <v>1104888</v>
          </cell>
        </row>
        <row r="231">
          <cell r="B231">
            <v>1104833</v>
          </cell>
        </row>
        <row r="232">
          <cell r="B232">
            <v>1104894</v>
          </cell>
        </row>
        <row r="233">
          <cell r="B233">
            <v>1104895</v>
          </cell>
        </row>
        <row r="234">
          <cell r="B234">
            <v>1104846</v>
          </cell>
        </row>
        <row r="235">
          <cell r="B235">
            <v>1104828</v>
          </cell>
        </row>
        <row r="236">
          <cell r="B236">
            <v>1104904</v>
          </cell>
        </row>
        <row r="237">
          <cell r="B237">
            <v>1104942</v>
          </cell>
        </row>
        <row r="238">
          <cell r="B238">
            <v>1104932</v>
          </cell>
        </row>
        <row r="239">
          <cell r="B239">
            <v>1104928</v>
          </cell>
        </row>
        <row r="240">
          <cell r="B240">
            <v>1104832</v>
          </cell>
        </row>
        <row r="241">
          <cell r="B241">
            <v>1104931</v>
          </cell>
        </row>
        <row r="242">
          <cell r="B242">
            <v>1104891</v>
          </cell>
        </row>
        <row r="243">
          <cell r="B243">
            <v>1104887</v>
          </cell>
        </row>
        <row r="244">
          <cell r="B244">
            <v>1104829</v>
          </cell>
          <cell r="D244">
            <v>2216791000000</v>
          </cell>
        </row>
        <row r="245">
          <cell r="B245">
            <v>1104819</v>
          </cell>
        </row>
        <row r="246">
          <cell r="B246">
            <v>1104848</v>
          </cell>
        </row>
        <row r="247">
          <cell r="B247">
            <v>1104803</v>
          </cell>
          <cell r="D247">
            <v>2216831000000</v>
          </cell>
        </row>
        <row r="248">
          <cell r="B248">
            <v>1104835</v>
          </cell>
          <cell r="D248">
            <v>2216921000000</v>
          </cell>
        </row>
        <row r="249">
          <cell r="B249">
            <v>1104862</v>
          </cell>
          <cell r="D249">
            <v>2216961000000</v>
          </cell>
        </row>
        <row r="250">
          <cell r="B250">
            <v>1104899</v>
          </cell>
        </row>
        <row r="251">
          <cell r="B251">
            <v>1104869</v>
          </cell>
          <cell r="D251">
            <v>2245251000000</v>
          </cell>
        </row>
        <row r="252">
          <cell r="B252">
            <v>1104925</v>
          </cell>
          <cell r="D252">
            <v>2254611000000</v>
          </cell>
        </row>
        <row r="253">
          <cell r="B253">
            <v>1104933</v>
          </cell>
        </row>
        <row r="254">
          <cell r="B254">
            <v>1104915</v>
          </cell>
        </row>
        <row r="255">
          <cell r="B255">
            <v>1104954</v>
          </cell>
          <cell r="D255">
            <v>2259931000000</v>
          </cell>
        </row>
        <row r="256">
          <cell r="B256">
            <v>1104892</v>
          </cell>
        </row>
        <row r="257">
          <cell r="B257">
            <v>1104830</v>
          </cell>
          <cell r="D257">
            <v>2260561000000</v>
          </cell>
        </row>
        <row r="258">
          <cell r="B258">
            <v>1104898</v>
          </cell>
        </row>
        <row r="259">
          <cell r="B259">
            <v>1104919</v>
          </cell>
          <cell r="D259">
            <v>2268451000000</v>
          </cell>
        </row>
        <row r="260">
          <cell r="B260">
            <v>1104837</v>
          </cell>
          <cell r="D260">
            <v>2274484000000</v>
          </cell>
        </row>
        <row r="261">
          <cell r="B261">
            <v>1104917</v>
          </cell>
          <cell r="D261">
            <v>2287291000000</v>
          </cell>
        </row>
        <row r="262">
          <cell r="B262">
            <v>1104840</v>
          </cell>
        </row>
        <row r="263">
          <cell r="B263">
            <v>1104937</v>
          </cell>
        </row>
        <row r="264">
          <cell r="B264">
            <v>1104934</v>
          </cell>
          <cell r="D264">
            <v>2287599000000</v>
          </cell>
        </row>
        <row r="265">
          <cell r="B265">
            <v>1104907</v>
          </cell>
        </row>
        <row r="266">
          <cell r="B266">
            <v>1104872</v>
          </cell>
          <cell r="D266">
            <v>2296291000000</v>
          </cell>
        </row>
        <row r="267">
          <cell r="B267">
            <v>1104800</v>
          </cell>
        </row>
        <row r="268">
          <cell r="B268">
            <v>1104874</v>
          </cell>
        </row>
        <row r="269">
          <cell r="B269">
            <v>1104852</v>
          </cell>
        </row>
        <row r="270">
          <cell r="B270">
            <v>1104818</v>
          </cell>
        </row>
        <row r="271">
          <cell r="B271">
            <v>1104941</v>
          </cell>
        </row>
        <row r="272">
          <cell r="B272">
            <v>1104811</v>
          </cell>
        </row>
        <row r="273">
          <cell r="B273">
            <v>1104873</v>
          </cell>
        </row>
        <row r="274">
          <cell r="B274">
            <v>1104916</v>
          </cell>
        </row>
        <row r="275">
          <cell r="B275">
            <v>1104935</v>
          </cell>
        </row>
        <row r="276">
          <cell r="B276">
            <v>1104927</v>
          </cell>
        </row>
        <row r="277">
          <cell r="B277">
            <v>1104889</v>
          </cell>
        </row>
        <row r="278">
          <cell r="B278">
            <v>1104881</v>
          </cell>
        </row>
        <row r="279">
          <cell r="B279">
            <v>1104816</v>
          </cell>
        </row>
        <row r="280">
          <cell r="B280">
            <v>1104812</v>
          </cell>
        </row>
        <row r="281">
          <cell r="B281">
            <v>1104823</v>
          </cell>
        </row>
        <row r="282">
          <cell r="B282">
            <v>1104814</v>
          </cell>
        </row>
        <row r="283">
          <cell r="B283">
            <v>1104802</v>
          </cell>
        </row>
        <row r="284">
          <cell r="B284">
            <v>1104849</v>
          </cell>
        </row>
        <row r="285">
          <cell r="B285">
            <v>1104805</v>
          </cell>
        </row>
        <row r="286">
          <cell r="B286">
            <v>1104808</v>
          </cell>
        </row>
        <row r="287">
          <cell r="B287">
            <v>1104885</v>
          </cell>
        </row>
        <row r="288">
          <cell r="B288">
            <v>1104901</v>
          </cell>
        </row>
        <row r="289">
          <cell r="B289">
            <v>1104930</v>
          </cell>
        </row>
        <row r="290">
          <cell r="B290">
            <v>1104821</v>
          </cell>
        </row>
        <row r="291">
          <cell r="B291">
            <v>1104882</v>
          </cell>
        </row>
        <row r="292">
          <cell r="B292">
            <v>1104807</v>
          </cell>
        </row>
        <row r="293">
          <cell r="B293">
            <v>1104855</v>
          </cell>
        </row>
        <row r="294">
          <cell r="B294">
            <v>1105099</v>
          </cell>
        </row>
        <row r="295">
          <cell r="B295">
            <v>1006187</v>
          </cell>
        </row>
        <row r="296">
          <cell r="B296">
            <v>1006258</v>
          </cell>
        </row>
        <row r="297">
          <cell r="B297">
            <v>1006116</v>
          </cell>
        </row>
        <row r="298">
          <cell r="B298">
            <v>1105031</v>
          </cell>
        </row>
        <row r="299">
          <cell r="B299">
            <v>1104966</v>
          </cell>
        </row>
        <row r="300">
          <cell r="B300">
            <v>1104968</v>
          </cell>
        </row>
        <row r="301">
          <cell r="B301">
            <v>1006073</v>
          </cell>
        </row>
        <row r="302">
          <cell r="B302">
            <v>1006281</v>
          </cell>
        </row>
        <row r="303">
          <cell r="B303">
            <v>1006079</v>
          </cell>
        </row>
        <row r="304">
          <cell r="B304">
            <v>1006161</v>
          </cell>
        </row>
        <row r="305">
          <cell r="B305">
            <v>1006107</v>
          </cell>
        </row>
        <row r="306">
          <cell r="B306">
            <v>1104959</v>
          </cell>
        </row>
        <row r="307">
          <cell r="B307">
            <v>1006072</v>
          </cell>
        </row>
        <row r="308">
          <cell r="B308">
            <v>1006134</v>
          </cell>
        </row>
        <row r="309">
          <cell r="B309">
            <v>1006023</v>
          </cell>
        </row>
        <row r="310">
          <cell r="B310">
            <v>1104972</v>
          </cell>
        </row>
        <row r="311">
          <cell r="B311">
            <v>1104971</v>
          </cell>
        </row>
        <row r="312">
          <cell r="B312">
            <v>1104962</v>
          </cell>
        </row>
        <row r="313">
          <cell r="B313">
            <v>1105169</v>
          </cell>
        </row>
        <row r="314">
          <cell r="B314">
            <v>1006257</v>
          </cell>
        </row>
        <row r="315">
          <cell r="B315">
            <v>1105012</v>
          </cell>
        </row>
        <row r="316">
          <cell r="B316">
            <v>1105010</v>
          </cell>
        </row>
        <row r="317">
          <cell r="B317">
            <v>1104989</v>
          </cell>
        </row>
        <row r="318">
          <cell r="B318">
            <v>1105018</v>
          </cell>
        </row>
        <row r="319">
          <cell r="B319">
            <v>1105014</v>
          </cell>
        </row>
        <row r="320">
          <cell r="B320">
            <v>1006102</v>
          </cell>
        </row>
        <row r="321">
          <cell r="B321">
            <v>1006093</v>
          </cell>
        </row>
        <row r="322">
          <cell r="B322">
            <v>1105033</v>
          </cell>
        </row>
        <row r="323">
          <cell r="B323">
            <v>1105090</v>
          </cell>
        </row>
        <row r="324">
          <cell r="B324">
            <v>1105027</v>
          </cell>
        </row>
        <row r="325">
          <cell r="B325">
            <v>1105008</v>
          </cell>
        </row>
        <row r="326">
          <cell r="B326">
            <v>1006145</v>
          </cell>
        </row>
        <row r="327">
          <cell r="B327">
            <v>1006233</v>
          </cell>
        </row>
        <row r="328">
          <cell r="B328">
            <v>1105064</v>
          </cell>
        </row>
        <row r="329">
          <cell r="B329">
            <v>1105040</v>
          </cell>
        </row>
        <row r="330">
          <cell r="B330">
            <v>1006020</v>
          </cell>
        </row>
        <row r="331">
          <cell r="B331">
            <v>1006010</v>
          </cell>
        </row>
        <row r="332">
          <cell r="B332">
            <v>1006224</v>
          </cell>
        </row>
        <row r="333">
          <cell r="B333">
            <v>1006160</v>
          </cell>
        </row>
        <row r="334">
          <cell r="B334">
            <v>1006288</v>
          </cell>
        </row>
        <row r="335">
          <cell r="B335">
            <v>1006162</v>
          </cell>
        </row>
        <row r="336">
          <cell r="B336">
            <v>1105081</v>
          </cell>
        </row>
        <row r="337">
          <cell r="B337">
            <v>1105112</v>
          </cell>
        </row>
        <row r="338">
          <cell r="B338">
            <v>1006140</v>
          </cell>
        </row>
        <row r="339">
          <cell r="B339">
            <v>1006110</v>
          </cell>
        </row>
        <row r="340">
          <cell r="B340">
            <v>1006022</v>
          </cell>
        </row>
        <row r="341">
          <cell r="B341">
            <v>1006146</v>
          </cell>
        </row>
        <row r="342">
          <cell r="B342">
            <v>1006345</v>
          </cell>
        </row>
        <row r="343">
          <cell r="B343">
            <v>1100727</v>
          </cell>
        </row>
        <row r="344">
          <cell r="B344">
            <v>1103823</v>
          </cell>
        </row>
        <row r="345">
          <cell r="B345">
            <v>1105107</v>
          </cell>
        </row>
        <row r="346">
          <cell r="B346">
            <v>1105035</v>
          </cell>
        </row>
        <row r="347">
          <cell r="B347">
            <v>1105066</v>
          </cell>
        </row>
        <row r="348">
          <cell r="B348">
            <v>1105047</v>
          </cell>
        </row>
        <row r="349">
          <cell r="B349">
            <v>1105098</v>
          </cell>
        </row>
        <row r="350">
          <cell r="B350">
            <v>1105117</v>
          </cell>
        </row>
        <row r="351">
          <cell r="B351">
            <v>1105125</v>
          </cell>
        </row>
        <row r="352">
          <cell r="B352">
            <v>1105137</v>
          </cell>
        </row>
        <row r="353">
          <cell r="B353">
            <v>1105126</v>
          </cell>
        </row>
        <row r="354">
          <cell r="B354">
            <v>1105135</v>
          </cell>
        </row>
        <row r="355">
          <cell r="B355">
            <v>1105132</v>
          </cell>
        </row>
        <row r="356">
          <cell r="B356">
            <v>1105142</v>
          </cell>
        </row>
        <row r="357">
          <cell r="B357">
            <v>1105141</v>
          </cell>
        </row>
        <row r="358">
          <cell r="B358">
            <v>1105143</v>
          </cell>
        </row>
        <row r="359">
          <cell r="B359">
            <v>1105095</v>
          </cell>
        </row>
        <row r="360">
          <cell r="B360">
            <v>1105155</v>
          </cell>
        </row>
        <row r="361">
          <cell r="B361">
            <v>1105167</v>
          </cell>
        </row>
        <row r="362">
          <cell r="B362">
            <v>1105159</v>
          </cell>
        </row>
        <row r="363">
          <cell r="B363">
            <v>1105093</v>
          </cell>
        </row>
        <row r="364">
          <cell r="B364">
            <v>1104979</v>
          </cell>
        </row>
        <row r="365">
          <cell r="B365">
            <v>1104984</v>
          </cell>
        </row>
        <row r="366">
          <cell r="B366">
            <v>1105032</v>
          </cell>
        </row>
        <row r="367">
          <cell r="B367">
            <v>1105158</v>
          </cell>
        </row>
        <row r="368">
          <cell r="B368">
            <v>1105171</v>
          </cell>
        </row>
        <row r="369">
          <cell r="B369">
            <v>1105144</v>
          </cell>
        </row>
        <row r="370">
          <cell r="B370">
            <v>1105101</v>
          </cell>
        </row>
        <row r="371">
          <cell r="B371">
            <v>1105104</v>
          </cell>
        </row>
        <row r="372">
          <cell r="B372">
            <v>1105028</v>
          </cell>
        </row>
        <row r="373">
          <cell r="B373">
            <v>1105120</v>
          </cell>
        </row>
        <row r="374">
          <cell r="B374">
            <v>1105085</v>
          </cell>
        </row>
        <row r="375">
          <cell r="B375">
            <v>1105124</v>
          </cell>
          <cell r="D375">
            <v>2201522000000</v>
          </cell>
        </row>
        <row r="376">
          <cell r="B376">
            <v>1105166</v>
          </cell>
          <cell r="D376">
            <v>2201530000000</v>
          </cell>
        </row>
        <row r="377">
          <cell r="B377">
            <v>1105116</v>
          </cell>
        </row>
        <row r="378">
          <cell r="B378">
            <v>1105030</v>
          </cell>
        </row>
        <row r="379">
          <cell r="B379">
            <v>1105043</v>
          </cell>
        </row>
        <row r="380">
          <cell r="B380">
            <v>1105154</v>
          </cell>
        </row>
        <row r="381">
          <cell r="B381">
            <v>1105139</v>
          </cell>
        </row>
        <row r="382">
          <cell r="B382">
            <v>1105150</v>
          </cell>
        </row>
        <row r="383">
          <cell r="B383">
            <v>1104983</v>
          </cell>
        </row>
        <row r="384">
          <cell r="B384">
            <v>1105006</v>
          </cell>
        </row>
        <row r="385">
          <cell r="B385">
            <v>1105011</v>
          </cell>
        </row>
        <row r="386">
          <cell r="B386">
            <v>1104951</v>
          </cell>
        </row>
        <row r="387">
          <cell r="B387">
            <v>1104960</v>
          </cell>
        </row>
        <row r="388">
          <cell r="B388">
            <v>1104964</v>
          </cell>
        </row>
        <row r="389">
          <cell r="B389">
            <v>1104965</v>
          </cell>
          <cell r="D389">
            <v>2203771000000</v>
          </cell>
        </row>
        <row r="390">
          <cell r="B390">
            <v>1104978</v>
          </cell>
        </row>
        <row r="391">
          <cell r="B391">
            <v>1104993</v>
          </cell>
        </row>
        <row r="392">
          <cell r="B392">
            <v>1105002</v>
          </cell>
        </row>
        <row r="393">
          <cell r="B393">
            <v>1105017</v>
          </cell>
        </row>
        <row r="394">
          <cell r="B394">
            <v>1105039</v>
          </cell>
        </row>
        <row r="395">
          <cell r="B395">
            <v>1105022</v>
          </cell>
        </row>
        <row r="396">
          <cell r="B396">
            <v>1105049</v>
          </cell>
        </row>
        <row r="397">
          <cell r="B397">
            <v>1105025</v>
          </cell>
        </row>
        <row r="398">
          <cell r="B398">
            <v>1105058</v>
          </cell>
          <cell r="D398">
            <v>2203951000000</v>
          </cell>
        </row>
        <row r="399">
          <cell r="B399">
            <v>1105073</v>
          </cell>
        </row>
        <row r="400">
          <cell r="B400">
            <v>1105051</v>
          </cell>
          <cell r="D400">
            <v>2204011000000</v>
          </cell>
        </row>
        <row r="401">
          <cell r="B401">
            <v>1105052</v>
          </cell>
        </row>
        <row r="402">
          <cell r="B402">
            <v>1105130</v>
          </cell>
        </row>
        <row r="403">
          <cell r="B403">
            <v>1105123</v>
          </cell>
        </row>
        <row r="404">
          <cell r="B404">
            <v>1104963</v>
          </cell>
        </row>
        <row r="405">
          <cell r="B405">
            <v>1105161</v>
          </cell>
        </row>
        <row r="406">
          <cell r="B406">
            <v>1105170</v>
          </cell>
        </row>
        <row r="407">
          <cell r="B407">
            <v>1105156</v>
          </cell>
        </row>
        <row r="408">
          <cell r="B408">
            <v>1105152</v>
          </cell>
        </row>
        <row r="409">
          <cell r="B409">
            <v>1104988</v>
          </cell>
          <cell r="D409">
            <v>2204591000000</v>
          </cell>
        </row>
        <row r="410">
          <cell r="B410">
            <v>1104987</v>
          </cell>
        </row>
        <row r="411">
          <cell r="B411">
            <v>1104986</v>
          </cell>
        </row>
        <row r="412">
          <cell r="B412">
            <v>1104990</v>
          </cell>
        </row>
        <row r="413">
          <cell r="B413">
            <v>1105007</v>
          </cell>
        </row>
        <row r="414">
          <cell r="B414">
            <v>1105136</v>
          </cell>
        </row>
        <row r="415">
          <cell r="B415">
            <v>1105113</v>
          </cell>
        </row>
        <row r="416">
          <cell r="B416">
            <v>1105157</v>
          </cell>
        </row>
        <row r="417">
          <cell r="B417">
            <v>1105005</v>
          </cell>
        </row>
        <row r="418">
          <cell r="B418">
            <v>1105029</v>
          </cell>
        </row>
        <row r="419">
          <cell r="B419">
            <v>1105041</v>
          </cell>
        </row>
        <row r="420">
          <cell r="B420">
            <v>1105004</v>
          </cell>
        </row>
        <row r="421">
          <cell r="B421">
            <v>1105023</v>
          </cell>
        </row>
        <row r="422">
          <cell r="B422">
            <v>1105034</v>
          </cell>
        </row>
        <row r="423">
          <cell r="B423">
            <v>1105046</v>
          </cell>
        </row>
        <row r="424">
          <cell r="B424">
            <v>1105149</v>
          </cell>
        </row>
        <row r="425">
          <cell r="B425">
            <v>1105009</v>
          </cell>
        </row>
        <row r="426">
          <cell r="B426">
            <v>1105133</v>
          </cell>
          <cell r="D426">
            <v>2205619000000</v>
          </cell>
        </row>
        <row r="427">
          <cell r="B427">
            <v>1105108</v>
          </cell>
        </row>
        <row r="428">
          <cell r="B428">
            <v>1105131</v>
          </cell>
        </row>
        <row r="429">
          <cell r="B429">
            <v>1104998</v>
          </cell>
        </row>
        <row r="430">
          <cell r="B430">
            <v>1105127</v>
          </cell>
          <cell r="D430">
            <v>2207081000000</v>
          </cell>
        </row>
        <row r="431">
          <cell r="B431">
            <v>1104956</v>
          </cell>
        </row>
        <row r="432">
          <cell r="B432">
            <v>1105026</v>
          </cell>
        </row>
        <row r="433">
          <cell r="B433">
            <v>1104953</v>
          </cell>
        </row>
        <row r="434">
          <cell r="B434">
            <v>1105015</v>
          </cell>
        </row>
        <row r="435">
          <cell r="B435">
            <v>1105162</v>
          </cell>
        </row>
        <row r="436">
          <cell r="B436">
            <v>1104980</v>
          </cell>
        </row>
        <row r="437">
          <cell r="B437">
            <v>1105000</v>
          </cell>
        </row>
        <row r="438">
          <cell r="B438">
            <v>1104957</v>
          </cell>
        </row>
        <row r="439">
          <cell r="B439">
            <v>1105001</v>
          </cell>
        </row>
        <row r="440">
          <cell r="B440">
            <v>1105013</v>
          </cell>
        </row>
        <row r="441">
          <cell r="B441">
            <v>1104946</v>
          </cell>
        </row>
        <row r="442">
          <cell r="B442">
            <v>1105105</v>
          </cell>
        </row>
        <row r="443">
          <cell r="B443">
            <v>1105129</v>
          </cell>
          <cell r="D443">
            <v>2216701000000</v>
          </cell>
        </row>
        <row r="444">
          <cell r="B444">
            <v>1105148</v>
          </cell>
          <cell r="D444">
            <v>2216711000000</v>
          </cell>
        </row>
        <row r="445">
          <cell r="B445">
            <v>1105121</v>
          </cell>
        </row>
        <row r="446">
          <cell r="B446">
            <v>1105134</v>
          </cell>
        </row>
        <row r="447">
          <cell r="B447">
            <v>1105138</v>
          </cell>
        </row>
        <row r="448">
          <cell r="B448">
            <v>1105084</v>
          </cell>
        </row>
        <row r="449">
          <cell r="B449">
            <v>1104994</v>
          </cell>
        </row>
        <row r="450">
          <cell r="B450">
            <v>1104995</v>
          </cell>
        </row>
        <row r="451">
          <cell r="B451">
            <v>1105048</v>
          </cell>
        </row>
        <row r="452">
          <cell r="B452">
            <v>1105079</v>
          </cell>
        </row>
        <row r="453">
          <cell r="B453">
            <v>1105075</v>
          </cell>
        </row>
        <row r="454">
          <cell r="B454">
            <v>1105168</v>
          </cell>
        </row>
        <row r="455">
          <cell r="B455">
            <v>1105089</v>
          </cell>
        </row>
        <row r="456">
          <cell r="B456">
            <v>1105078</v>
          </cell>
        </row>
        <row r="457">
          <cell r="B457">
            <v>1105097</v>
          </cell>
        </row>
        <row r="458">
          <cell r="B458">
            <v>1105165</v>
          </cell>
          <cell r="D458">
            <v>2261552000000</v>
          </cell>
        </row>
        <row r="459">
          <cell r="B459">
            <v>1105118</v>
          </cell>
          <cell r="D459">
            <v>2264491000000</v>
          </cell>
        </row>
        <row r="460">
          <cell r="B460">
            <v>1105072</v>
          </cell>
        </row>
        <row r="461">
          <cell r="B461">
            <v>1105077</v>
          </cell>
        </row>
        <row r="462">
          <cell r="B462">
            <v>1105021</v>
          </cell>
        </row>
        <row r="463">
          <cell r="B463">
            <v>1105119</v>
          </cell>
        </row>
        <row r="464">
          <cell r="B464">
            <v>1104970</v>
          </cell>
        </row>
        <row r="465">
          <cell r="B465">
            <v>1104973</v>
          </cell>
        </row>
        <row r="466">
          <cell r="B466">
            <v>1105153</v>
          </cell>
        </row>
        <row r="467">
          <cell r="B467">
            <v>1104955</v>
          </cell>
        </row>
        <row r="468">
          <cell r="B468">
            <v>1104981</v>
          </cell>
        </row>
        <row r="469">
          <cell r="B469">
            <v>1105003</v>
          </cell>
        </row>
        <row r="470">
          <cell r="B470">
            <v>1104948</v>
          </cell>
        </row>
        <row r="471">
          <cell r="B471">
            <v>1105147</v>
          </cell>
          <cell r="D471">
            <v>2292911000000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51051-0A54-4122-A9B5-36B0C9B5EB00}">
  <sheetPr codeName="Sheet6"/>
  <dimension ref="A3:D17"/>
  <sheetViews>
    <sheetView workbookViewId="0">
      <selection activeCell="A18" sqref="A18"/>
    </sheetView>
  </sheetViews>
  <sheetFormatPr defaultColWidth="12.3984375" defaultRowHeight="21.75" customHeight="1" x14ac:dyDescent="0.5"/>
  <cols>
    <col min="1" max="1" width="29.265625" style="3" bestFit="1" customWidth="1" collapsed="1"/>
    <col min="2" max="2" width="28.3984375" style="3" bestFit="1" customWidth="1" collapsed="1"/>
    <col min="3" max="3" width="16.1328125" style="3" bestFit="1" customWidth="1" collapsed="1"/>
    <col min="4" max="4" width="31.265625" style="3" bestFit="1" customWidth="1" collapsed="1"/>
    <col min="5" max="16384" width="12.3984375" style="3" collapsed="1"/>
  </cols>
  <sheetData>
    <row r="3" spans="1:4" ht="21.75" customHeight="1" x14ac:dyDescent="0.5">
      <c r="B3" s="3" t="s">
        <v>14</v>
      </c>
    </row>
    <row r="4" spans="1:4" ht="21.75" customHeight="1" x14ac:dyDescent="0.5">
      <c r="A4" s="1" t="s">
        <v>0</v>
      </c>
      <c r="B4" s="2" t="s">
        <v>1</v>
      </c>
    </row>
    <row r="5" spans="1:4" ht="21.75" customHeight="1" x14ac:dyDescent="0.5">
      <c r="A5" s="1" t="s">
        <v>2</v>
      </c>
      <c r="B5" s="2" t="s">
        <v>21</v>
      </c>
    </row>
    <row r="6" spans="1:4" ht="21.75" customHeight="1" x14ac:dyDescent="0.5">
      <c r="A6" s="1" t="s">
        <v>3</v>
      </c>
      <c r="B6" s="2" t="s">
        <v>4</v>
      </c>
    </row>
    <row r="7" spans="1:4" ht="21.75" customHeight="1" x14ac:dyDescent="0.5">
      <c r="A7" s="1" t="s">
        <v>5</v>
      </c>
      <c r="B7" s="2" t="s">
        <v>8</v>
      </c>
    </row>
    <row r="8" spans="1:4" ht="21.75" customHeight="1" x14ac:dyDescent="0.55000000000000004">
      <c r="A8" s="5" t="s">
        <v>6</v>
      </c>
      <c r="B8" s="27" t="s">
        <v>24</v>
      </c>
    </row>
    <row r="9" spans="1:4" ht="21.75" customHeight="1" x14ac:dyDescent="0.55000000000000004">
      <c r="A9" s="1"/>
      <c r="B9" s="28" t="s">
        <v>25</v>
      </c>
    </row>
    <row r="12" spans="1:4" ht="21.75" customHeight="1" x14ac:dyDescent="0.5">
      <c r="A12" s="6" t="s">
        <v>15</v>
      </c>
    </row>
    <row r="13" spans="1:4" ht="21.75" customHeight="1" x14ac:dyDescent="0.55000000000000004">
      <c r="A13" s="7" t="s">
        <v>16</v>
      </c>
      <c r="B13" s="8" t="s">
        <v>17</v>
      </c>
      <c r="C13" s="9" t="s">
        <v>7</v>
      </c>
      <c r="D13" s="10" t="s">
        <v>18</v>
      </c>
    </row>
    <row r="14" spans="1:4" ht="21.75" customHeight="1" x14ac:dyDescent="0.55000000000000004">
      <c r="A14" s="11" t="s">
        <v>22</v>
      </c>
      <c r="B14" s="12" t="s">
        <v>17</v>
      </c>
      <c r="C14" s="13" t="s">
        <v>7</v>
      </c>
      <c r="D14" s="14" t="s">
        <v>18</v>
      </c>
    </row>
    <row r="15" spans="1:4" ht="21.75" customHeight="1" x14ac:dyDescent="0.55000000000000004">
      <c r="A15" s="15" t="s">
        <v>23</v>
      </c>
      <c r="B15" s="16" t="s">
        <v>17</v>
      </c>
      <c r="C15" s="17" t="s">
        <v>7</v>
      </c>
      <c r="D15" s="18" t="s">
        <v>18</v>
      </c>
    </row>
    <row r="16" spans="1:4" ht="21.75" customHeight="1" x14ac:dyDescent="0.55000000000000004">
      <c r="A16" s="19" t="s">
        <v>19</v>
      </c>
      <c r="B16" s="20" t="s">
        <v>17</v>
      </c>
      <c r="C16" s="21" t="s">
        <v>7</v>
      </c>
      <c r="D16" s="22" t="s">
        <v>18</v>
      </c>
    </row>
    <row r="17" spans="1:4" ht="21.75" customHeight="1" x14ac:dyDescent="0.55000000000000004">
      <c r="A17" s="23" t="s">
        <v>20</v>
      </c>
      <c r="B17" s="24" t="s">
        <v>17</v>
      </c>
      <c r="C17" s="25" t="s">
        <v>7</v>
      </c>
      <c r="D17" s="26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07843-91A4-499A-B0C4-EDD8AD022CA4}">
  <sheetPr codeName="Sheet1"/>
  <dimension ref="A1:X31"/>
  <sheetViews>
    <sheetView tabSelected="1" workbookViewId="0">
      <pane xSplit="15" ySplit="2" topLeftCell="P3" activePane="bottomRight" state="frozen"/>
      <selection pane="topRight"/>
      <selection pane="bottomLeft"/>
      <selection pane="bottomRight" activeCell="X28" sqref="X28"/>
    </sheetView>
  </sheetViews>
  <sheetFormatPr defaultRowHeight="21.75" customHeight="1" x14ac:dyDescent="0.45"/>
  <cols>
    <col min="2" max="2" width="12" customWidth="1"/>
    <col min="3" max="3" width="14" customWidth="1"/>
    <col min="4" max="4" width="12.59765625" customWidth="1"/>
    <col min="5" max="7" width="10.86328125" style="31" customWidth="1"/>
    <col min="8" max="22" width="8" style="31"/>
    <col min="23" max="23" width="13.796875" style="31" bestFit="1" customWidth="1"/>
    <col min="24" max="24" width="23.46484375" style="31" bestFit="1" customWidth="1"/>
  </cols>
  <sheetData>
    <row r="1" spans="1:24" ht="21.75" customHeight="1" x14ac:dyDescent="0.5">
      <c r="A1" s="43" t="s">
        <v>29</v>
      </c>
      <c r="B1" s="44"/>
      <c r="C1" s="44"/>
      <c r="D1" s="44"/>
      <c r="E1" s="45" t="s">
        <v>41</v>
      </c>
      <c r="F1" s="46"/>
      <c r="G1" s="46"/>
      <c r="H1" s="46"/>
      <c r="I1" s="46"/>
      <c r="J1" s="46"/>
      <c r="K1" s="46"/>
      <c r="L1" s="46"/>
      <c r="M1" s="46"/>
      <c r="N1" s="46"/>
      <c r="O1" s="46"/>
      <c r="P1" s="33" t="s">
        <v>43</v>
      </c>
      <c r="Q1" s="47" t="s">
        <v>51</v>
      </c>
      <c r="R1" s="46"/>
      <c r="S1" s="46"/>
      <c r="T1" s="46"/>
      <c r="U1" s="46"/>
      <c r="V1" s="46"/>
      <c r="W1" s="48" t="s">
        <v>53</v>
      </c>
      <c r="X1" s="46"/>
    </row>
    <row r="2" spans="1:24" x14ac:dyDescent="0.45">
      <c r="A2" s="29" t="s">
        <v>26</v>
      </c>
      <c r="B2" s="30" t="s">
        <v>15</v>
      </c>
      <c r="C2" s="29" t="s">
        <v>27</v>
      </c>
      <c r="D2" s="29" t="s">
        <v>28</v>
      </c>
      <c r="E2" s="30" t="s">
        <v>30</v>
      </c>
      <c r="F2" s="30" t="s">
        <v>31</v>
      </c>
      <c r="G2" s="30" t="s">
        <v>32</v>
      </c>
      <c r="H2" s="30" t="s">
        <v>33</v>
      </c>
      <c r="I2" s="30" t="s">
        <v>34</v>
      </c>
      <c r="J2" s="29" t="s">
        <v>35</v>
      </c>
      <c r="K2" s="29" t="s">
        <v>36</v>
      </c>
      <c r="L2" s="29" t="s">
        <v>37</v>
      </c>
      <c r="M2" s="29" t="s">
        <v>38</v>
      </c>
      <c r="N2" s="29" t="s">
        <v>39</v>
      </c>
      <c r="O2" s="29" t="s">
        <v>40</v>
      </c>
      <c r="P2" s="32" t="s">
        <v>42</v>
      </c>
      <c r="Q2" s="34" t="s">
        <v>44</v>
      </c>
      <c r="R2" s="34" t="s">
        <v>45</v>
      </c>
      <c r="S2" s="34" t="s">
        <v>46</v>
      </c>
      <c r="T2" s="34" t="s">
        <v>47</v>
      </c>
      <c r="U2" s="34" t="s">
        <v>48</v>
      </c>
      <c r="V2" s="34" t="s">
        <v>49</v>
      </c>
      <c r="W2" s="35" t="s">
        <v>50</v>
      </c>
      <c r="X2" s="35" t="s">
        <v>52</v>
      </c>
    </row>
    <row r="3" spans="1:24" x14ac:dyDescent="0.45">
      <c r="B3" t="s">
        <v>86</v>
      </c>
      <c r="C3" t="s">
        <v>249</v>
      </c>
      <c r="D3" t="s">
        <v>250</v>
      </c>
      <c r="E3" s="31" t="s">
        <v>74</v>
      </c>
      <c r="F3" s="31" t="s">
        <v>62</v>
      </c>
      <c r="G3" s="31" t="s">
        <v>69</v>
      </c>
      <c r="H3" s="31" t="s">
        <v>81</v>
      </c>
      <c r="I3" s="31" t="s">
        <v>65</v>
      </c>
      <c r="J3" s="31" t="s">
        <v>71</v>
      </c>
      <c r="K3" s="31" t="s">
        <v>71</v>
      </c>
      <c r="L3" s="31" t="s">
        <v>71</v>
      </c>
      <c r="M3" s="31" t="s">
        <v>57</v>
      </c>
      <c r="N3" s="31" t="s">
        <v>57</v>
      </c>
      <c r="O3" s="31" t="s">
        <v>57</v>
      </c>
      <c r="P3" s="31">
        <v>1104965</v>
      </c>
      <c r="Q3" s="31" t="s">
        <v>98</v>
      </c>
      <c r="R3" s="31" t="s">
        <v>98</v>
      </c>
      <c r="S3" s="31" t="s">
        <v>98</v>
      </c>
      <c r="T3" s="42"/>
      <c r="W3" s="36">
        <f>_xlfn.XLOOKUP(P3,'[2]Filialen_Alle_inkl. Nationale'!$B$206:$B$471,'[2]Filialen_Alle_inkl. Nationale'!$D$206:$D$471)</f>
        <v>2203771000000</v>
      </c>
    </row>
    <row r="4" spans="1:24" x14ac:dyDescent="0.45">
      <c r="B4" t="s">
        <v>86</v>
      </c>
      <c r="C4" t="s">
        <v>251</v>
      </c>
      <c r="D4" t="s">
        <v>252</v>
      </c>
      <c r="E4" s="31" t="s">
        <v>74</v>
      </c>
      <c r="F4" s="31" t="s">
        <v>61</v>
      </c>
      <c r="G4" s="31" t="s">
        <v>68</v>
      </c>
      <c r="H4" s="31" t="s">
        <v>80</v>
      </c>
      <c r="I4" s="31" t="s">
        <v>65</v>
      </c>
      <c r="J4" s="31" t="s">
        <v>71</v>
      </c>
      <c r="K4" s="31" t="s">
        <v>71</v>
      </c>
      <c r="L4" s="31" t="s">
        <v>71</v>
      </c>
      <c r="M4" s="31" t="s">
        <v>56</v>
      </c>
      <c r="N4" s="31" t="s">
        <v>56</v>
      </c>
      <c r="O4" s="31" t="s">
        <v>56</v>
      </c>
      <c r="P4" s="31">
        <v>1104917</v>
      </c>
      <c r="Q4" s="31" t="s">
        <v>98</v>
      </c>
      <c r="R4" s="31" t="s">
        <v>98</v>
      </c>
      <c r="S4" s="31" t="s">
        <v>98</v>
      </c>
      <c r="T4" s="42"/>
      <c r="W4" s="36">
        <f>_xlfn.XLOOKUP(P4,'[2]Filialen_Alle_inkl. Nationale'!$B$206:$B$471,'[2]Filialen_Alle_inkl. Nationale'!$D$206:$D$471)</f>
        <v>2287291000000</v>
      </c>
    </row>
    <row r="5" spans="1:24" x14ac:dyDescent="0.45">
      <c r="B5" t="s">
        <v>86</v>
      </c>
      <c r="C5" t="s">
        <v>253</v>
      </c>
      <c r="D5" t="s">
        <v>254</v>
      </c>
      <c r="E5" s="31" t="s">
        <v>74</v>
      </c>
      <c r="F5" s="31" t="s">
        <v>62</v>
      </c>
      <c r="G5" s="31" t="s">
        <v>69</v>
      </c>
      <c r="H5" s="31" t="s">
        <v>81</v>
      </c>
      <c r="I5" s="31" t="s">
        <v>65</v>
      </c>
      <c r="J5" s="31" t="s">
        <v>71</v>
      </c>
      <c r="K5" s="31" t="s">
        <v>71</v>
      </c>
      <c r="L5" s="31" t="s">
        <v>71</v>
      </c>
      <c r="M5" s="31" t="s">
        <v>57</v>
      </c>
      <c r="N5" s="31" t="s">
        <v>57</v>
      </c>
      <c r="O5" s="31" t="s">
        <v>57</v>
      </c>
      <c r="P5" s="31">
        <v>1105127</v>
      </c>
      <c r="Q5" s="31" t="s">
        <v>98</v>
      </c>
      <c r="R5" s="31" t="s">
        <v>98</v>
      </c>
      <c r="S5" s="31" t="s">
        <v>98</v>
      </c>
      <c r="T5" s="42"/>
      <c r="W5" s="36">
        <f>_xlfn.XLOOKUP(P5,'[2]Filialen_Alle_inkl. Nationale'!$B$206:$B$471,'[2]Filialen_Alle_inkl. Nationale'!$D$206:$D$471)</f>
        <v>2207081000000</v>
      </c>
    </row>
    <row r="6" spans="1:24" x14ac:dyDescent="0.45">
      <c r="B6" t="s">
        <v>86</v>
      </c>
      <c r="C6" t="s">
        <v>255</v>
      </c>
      <c r="D6" t="s">
        <v>256</v>
      </c>
      <c r="E6" s="31" t="s">
        <v>74</v>
      </c>
      <c r="F6" s="31" t="s">
        <v>62</v>
      </c>
      <c r="G6" s="31" t="s">
        <v>69</v>
      </c>
      <c r="H6" s="31" t="s">
        <v>81</v>
      </c>
      <c r="I6" s="31" t="s">
        <v>65</v>
      </c>
      <c r="J6" s="31" t="s">
        <v>71</v>
      </c>
      <c r="K6" s="31" t="s">
        <v>71</v>
      </c>
      <c r="L6" s="31" t="s">
        <v>71</v>
      </c>
      <c r="M6" s="31" t="s">
        <v>57</v>
      </c>
      <c r="N6" s="31" t="s">
        <v>57</v>
      </c>
      <c r="O6" s="31" t="s">
        <v>57</v>
      </c>
      <c r="P6" s="31">
        <v>1104988</v>
      </c>
      <c r="Q6" s="31" t="s">
        <v>98</v>
      </c>
      <c r="R6" s="31" t="s">
        <v>98</v>
      </c>
      <c r="S6" s="31" t="s">
        <v>98</v>
      </c>
      <c r="T6" s="42"/>
      <c r="W6" s="36">
        <f>_xlfn.XLOOKUP(P6,'[2]Filialen_Alle_inkl. Nationale'!$B$206:$B$471,'[2]Filialen_Alle_inkl. Nationale'!$D$206:$D$471)</f>
        <v>2204591000000</v>
      </c>
    </row>
    <row r="7" spans="1:24" x14ac:dyDescent="0.45">
      <c r="B7" t="s">
        <v>86</v>
      </c>
      <c r="C7" t="s">
        <v>257</v>
      </c>
      <c r="D7" t="s">
        <v>258</v>
      </c>
      <c r="E7" s="31" t="s">
        <v>74</v>
      </c>
      <c r="F7" s="31" t="s">
        <v>61</v>
      </c>
      <c r="G7" s="31" t="s">
        <v>68</v>
      </c>
      <c r="H7" s="31" t="s">
        <v>80</v>
      </c>
      <c r="I7" s="31" t="s">
        <v>65</v>
      </c>
      <c r="J7" s="31" t="s">
        <v>71</v>
      </c>
      <c r="K7" s="31" t="s">
        <v>71</v>
      </c>
      <c r="L7" s="31" t="s">
        <v>71</v>
      </c>
      <c r="M7" s="31" t="s">
        <v>56</v>
      </c>
      <c r="N7" s="31" t="s">
        <v>56</v>
      </c>
      <c r="O7" s="31" t="s">
        <v>56</v>
      </c>
      <c r="P7" s="31">
        <v>1104872</v>
      </c>
      <c r="Q7" s="31" t="s">
        <v>98</v>
      </c>
      <c r="R7" s="31" t="s">
        <v>98</v>
      </c>
      <c r="S7" s="31" t="s">
        <v>98</v>
      </c>
      <c r="T7" s="42"/>
      <c r="W7" s="36">
        <f>_xlfn.XLOOKUP(P7,'[2]Filialen_Alle_inkl. Nationale'!$B$206:$B$471,'[2]Filialen_Alle_inkl. Nationale'!$D$206:$D$471)</f>
        <v>2296291000000</v>
      </c>
    </row>
    <row r="8" spans="1:24" x14ac:dyDescent="0.45">
      <c r="B8" t="s">
        <v>86</v>
      </c>
      <c r="C8" t="s">
        <v>259</v>
      </c>
      <c r="D8" t="s">
        <v>260</v>
      </c>
      <c r="E8" s="31" t="s">
        <v>74</v>
      </c>
      <c r="F8" s="31" t="s">
        <v>61</v>
      </c>
      <c r="G8" s="31" t="s">
        <v>68</v>
      </c>
      <c r="H8" s="31" t="s">
        <v>80</v>
      </c>
      <c r="I8" s="31" t="s">
        <v>65</v>
      </c>
      <c r="J8" s="31" t="s">
        <v>71</v>
      </c>
      <c r="K8" s="31" t="s">
        <v>71</v>
      </c>
      <c r="L8" s="31" t="s">
        <v>71</v>
      </c>
      <c r="M8" s="31" t="s">
        <v>56</v>
      </c>
      <c r="N8" s="31" t="s">
        <v>56</v>
      </c>
      <c r="O8" s="31" t="s">
        <v>56</v>
      </c>
      <c r="P8" s="31">
        <v>1104869</v>
      </c>
      <c r="Q8" s="31" t="s">
        <v>98</v>
      </c>
      <c r="R8" s="31" t="s">
        <v>98</v>
      </c>
      <c r="S8" s="31" t="s">
        <v>98</v>
      </c>
      <c r="T8" s="42"/>
      <c r="W8" s="36">
        <f>_xlfn.XLOOKUP(P8,'[2]Filialen_Alle_inkl. Nationale'!$B$206:$B$471,'[2]Filialen_Alle_inkl. Nationale'!$D$206:$D$471)</f>
        <v>2245251000000</v>
      </c>
    </row>
    <row r="9" spans="1:24" x14ac:dyDescent="0.45">
      <c r="B9" t="s">
        <v>86</v>
      </c>
      <c r="C9" t="s">
        <v>261</v>
      </c>
      <c r="D9" t="s">
        <v>262</v>
      </c>
      <c r="E9" s="31" t="s">
        <v>74</v>
      </c>
      <c r="F9" s="31" t="s">
        <v>61</v>
      </c>
      <c r="G9" s="31" t="s">
        <v>68</v>
      </c>
      <c r="H9" s="31" t="s">
        <v>80</v>
      </c>
      <c r="I9" s="31" t="s">
        <v>65</v>
      </c>
      <c r="J9" s="31" t="s">
        <v>71</v>
      </c>
      <c r="K9" s="31" t="s">
        <v>71</v>
      </c>
      <c r="L9" s="31" t="s">
        <v>71</v>
      </c>
      <c r="M9" s="31" t="s">
        <v>56</v>
      </c>
      <c r="N9" s="31" t="s">
        <v>56</v>
      </c>
      <c r="O9" s="31" t="s">
        <v>56</v>
      </c>
      <c r="P9" s="31">
        <v>1104954</v>
      </c>
      <c r="Q9" s="31" t="s">
        <v>98</v>
      </c>
      <c r="R9" s="31" t="s">
        <v>98</v>
      </c>
      <c r="S9" s="31" t="s">
        <v>98</v>
      </c>
      <c r="T9" s="42"/>
      <c r="W9" s="36">
        <f>_xlfn.XLOOKUP(P9,'[2]Filialen_Alle_inkl. Nationale'!$B$206:$B$471,'[2]Filialen_Alle_inkl. Nationale'!$D$206:$D$471)</f>
        <v>2259931000000</v>
      </c>
    </row>
    <row r="10" spans="1:24" x14ac:dyDescent="0.45">
      <c r="B10" t="s">
        <v>86</v>
      </c>
      <c r="C10" t="s">
        <v>263</v>
      </c>
      <c r="D10" t="s">
        <v>264</v>
      </c>
      <c r="E10" s="31" t="s">
        <v>74</v>
      </c>
      <c r="F10" s="31" t="s">
        <v>60</v>
      </c>
      <c r="G10" s="31" t="s">
        <v>67</v>
      </c>
      <c r="H10" s="31" t="s">
        <v>79</v>
      </c>
      <c r="I10" s="31" t="s">
        <v>65</v>
      </c>
      <c r="J10" s="31" t="s">
        <v>71</v>
      </c>
      <c r="K10" s="31" t="s">
        <v>71</v>
      </c>
      <c r="L10" s="31" t="s">
        <v>71</v>
      </c>
      <c r="M10" s="31" t="s">
        <v>58</v>
      </c>
      <c r="N10" s="31" t="s">
        <v>58</v>
      </c>
      <c r="O10" s="31" t="s">
        <v>58</v>
      </c>
      <c r="P10" s="31">
        <v>1104835</v>
      </c>
      <c r="Q10" s="31" t="s">
        <v>98</v>
      </c>
      <c r="R10" s="31" t="s">
        <v>98</v>
      </c>
      <c r="S10" s="31" t="s">
        <v>98</v>
      </c>
      <c r="T10" s="42"/>
      <c r="W10" s="36">
        <f>_xlfn.XLOOKUP(P10,'[2]Filialen_Alle_inkl. Nationale'!$B$206:$B$471,'[2]Filialen_Alle_inkl. Nationale'!$D$206:$D$471)</f>
        <v>2216921000000</v>
      </c>
    </row>
    <row r="11" spans="1:24" x14ac:dyDescent="0.45">
      <c r="B11" t="s">
        <v>86</v>
      </c>
      <c r="C11" t="s">
        <v>265</v>
      </c>
      <c r="D11" t="s">
        <v>266</v>
      </c>
      <c r="E11" s="31" t="s">
        <v>74</v>
      </c>
      <c r="F11" s="31" t="s">
        <v>61</v>
      </c>
      <c r="G11" s="31" t="s">
        <v>68</v>
      </c>
      <c r="H11" s="31" t="s">
        <v>80</v>
      </c>
      <c r="I11" s="31" t="s">
        <v>65</v>
      </c>
      <c r="J11" s="31" t="s">
        <v>71</v>
      </c>
      <c r="K11" s="31" t="s">
        <v>71</v>
      </c>
      <c r="L11" s="31" t="s">
        <v>71</v>
      </c>
      <c r="M11" s="31" t="s">
        <v>56</v>
      </c>
      <c r="N11" s="31" t="s">
        <v>56</v>
      </c>
      <c r="O11" s="31" t="s">
        <v>56</v>
      </c>
      <c r="P11" s="31">
        <v>1104856</v>
      </c>
      <c r="Q11" s="31" t="s">
        <v>98</v>
      </c>
      <c r="R11" s="31" t="s">
        <v>98</v>
      </c>
      <c r="S11" s="31" t="s">
        <v>98</v>
      </c>
      <c r="T11" s="42"/>
      <c r="W11" s="36">
        <f>_xlfn.XLOOKUP(P11,'[2]Filialen_Alle_inkl. Nationale'!$B$206:$B$471,'[2]Filialen_Alle_inkl. Nationale'!$D$206:$D$471)</f>
        <v>2202291000000</v>
      </c>
    </row>
    <row r="12" spans="1:24" x14ac:dyDescent="0.45">
      <c r="B12" t="s">
        <v>86</v>
      </c>
      <c r="C12" t="s">
        <v>267</v>
      </c>
      <c r="D12" t="s">
        <v>268</v>
      </c>
      <c r="E12" s="31" t="s">
        <v>74</v>
      </c>
      <c r="F12" s="31" t="s">
        <v>61</v>
      </c>
      <c r="G12" s="31" t="s">
        <v>68</v>
      </c>
      <c r="H12" s="31" t="s">
        <v>80</v>
      </c>
      <c r="I12" s="31" t="s">
        <v>65</v>
      </c>
      <c r="J12" s="31" t="s">
        <v>71</v>
      </c>
      <c r="K12" s="31" t="s">
        <v>71</v>
      </c>
      <c r="L12" s="31" t="s">
        <v>71</v>
      </c>
      <c r="M12" s="31" t="s">
        <v>56</v>
      </c>
      <c r="N12" s="31" t="s">
        <v>56</v>
      </c>
      <c r="O12" s="31" t="s">
        <v>56</v>
      </c>
      <c r="P12" s="31">
        <v>1104830</v>
      </c>
      <c r="Q12" s="31" t="s">
        <v>98</v>
      </c>
      <c r="R12" s="31" t="s">
        <v>98</v>
      </c>
      <c r="S12" s="31" t="s">
        <v>98</v>
      </c>
      <c r="T12" s="42"/>
      <c r="W12" s="36">
        <f>_xlfn.XLOOKUP(P12,'[2]Filialen_Alle_inkl. Nationale'!$B$206:$B$471,'[2]Filialen_Alle_inkl. Nationale'!$D$206:$D$471)</f>
        <v>2260561000000</v>
      </c>
    </row>
    <row r="13" spans="1:24" x14ac:dyDescent="0.45">
      <c r="B13" t="s">
        <v>86</v>
      </c>
      <c r="C13" t="s">
        <v>269</v>
      </c>
      <c r="D13" t="s">
        <v>270</v>
      </c>
      <c r="E13" s="31" t="s">
        <v>74</v>
      </c>
      <c r="F13" s="31" t="s">
        <v>62</v>
      </c>
      <c r="G13" s="31" t="s">
        <v>69</v>
      </c>
      <c r="H13" s="31" t="s">
        <v>81</v>
      </c>
      <c r="I13" s="31" t="s">
        <v>65</v>
      </c>
      <c r="J13" s="31" t="s">
        <v>71</v>
      </c>
      <c r="K13" s="31" t="s">
        <v>71</v>
      </c>
      <c r="L13" s="31" t="s">
        <v>71</v>
      </c>
      <c r="M13" s="31" t="s">
        <v>57</v>
      </c>
      <c r="N13" s="31" t="s">
        <v>57</v>
      </c>
      <c r="O13" s="31" t="s">
        <v>57</v>
      </c>
      <c r="P13" s="31">
        <v>1105148</v>
      </c>
      <c r="Q13" s="31" t="s">
        <v>98</v>
      </c>
      <c r="R13" s="31" t="s">
        <v>98</v>
      </c>
      <c r="S13" s="31" t="s">
        <v>98</v>
      </c>
      <c r="T13" s="42"/>
      <c r="W13" s="36">
        <f>_xlfn.XLOOKUP(P13,'[2]Filialen_Alle_inkl. Nationale'!$B$206:$B$471,'[2]Filialen_Alle_inkl. Nationale'!$D$206:$D$471)</f>
        <v>2216711000000</v>
      </c>
    </row>
    <row r="14" spans="1:24" x14ac:dyDescent="0.45">
      <c r="B14" t="s">
        <v>86</v>
      </c>
      <c r="C14" t="s">
        <v>271</v>
      </c>
      <c r="D14" t="s">
        <v>272</v>
      </c>
      <c r="E14" s="31" t="s">
        <v>74</v>
      </c>
      <c r="F14" s="31" t="s">
        <v>61</v>
      </c>
      <c r="G14" s="31" t="s">
        <v>68</v>
      </c>
      <c r="H14" s="31" t="s">
        <v>80</v>
      </c>
      <c r="I14" s="31" t="s">
        <v>65</v>
      </c>
      <c r="J14" s="31" t="s">
        <v>71</v>
      </c>
      <c r="K14" s="31" t="s">
        <v>71</v>
      </c>
      <c r="L14" s="31" t="s">
        <v>71</v>
      </c>
      <c r="M14" s="31" t="s">
        <v>56</v>
      </c>
      <c r="N14" s="31" t="s">
        <v>56</v>
      </c>
      <c r="O14" s="31" t="s">
        <v>56</v>
      </c>
      <c r="P14" s="31">
        <v>1104897</v>
      </c>
      <c r="Q14" s="31" t="s">
        <v>98</v>
      </c>
      <c r="R14" s="31" t="s">
        <v>98</v>
      </c>
      <c r="S14" s="31" t="s">
        <v>98</v>
      </c>
      <c r="T14" s="42"/>
      <c r="W14" s="36">
        <f>_xlfn.XLOOKUP(P14,'[2]Filialen_Alle_inkl. Nationale'!$B$206:$B$471,'[2]Filialen_Alle_inkl. Nationale'!$D$206:$D$471)</f>
        <v>2201401000000</v>
      </c>
    </row>
    <row r="15" spans="1:24" x14ac:dyDescent="0.45">
      <c r="B15" t="s">
        <v>86</v>
      </c>
      <c r="C15" t="s">
        <v>273</v>
      </c>
      <c r="D15" t="s">
        <v>274</v>
      </c>
      <c r="E15" s="31" t="s">
        <v>74</v>
      </c>
      <c r="F15" s="31" t="s">
        <v>62</v>
      </c>
      <c r="G15" s="31" t="s">
        <v>69</v>
      </c>
      <c r="H15" s="31" t="s">
        <v>81</v>
      </c>
      <c r="I15" s="31" t="s">
        <v>65</v>
      </c>
      <c r="J15" s="31" t="s">
        <v>71</v>
      </c>
      <c r="K15" s="31" t="s">
        <v>71</v>
      </c>
      <c r="L15" s="31" t="s">
        <v>71</v>
      </c>
      <c r="M15" s="31" t="s">
        <v>57</v>
      </c>
      <c r="N15" s="31" t="s">
        <v>57</v>
      </c>
      <c r="O15" s="31" t="s">
        <v>57</v>
      </c>
      <c r="P15" s="31">
        <v>1105165</v>
      </c>
      <c r="Q15" s="31" t="s">
        <v>98</v>
      </c>
      <c r="R15" s="31" t="s">
        <v>98</v>
      </c>
      <c r="S15" s="31" t="s">
        <v>98</v>
      </c>
      <c r="T15" s="42"/>
      <c r="W15" s="36">
        <f>_xlfn.XLOOKUP(P15,'[2]Filialen_Alle_inkl. Nationale'!$B$206:$B$471,'[2]Filialen_Alle_inkl. Nationale'!$D$206:$D$471)</f>
        <v>2261552000000</v>
      </c>
    </row>
    <row r="16" spans="1:24" x14ac:dyDescent="0.45">
      <c r="B16" t="s">
        <v>86</v>
      </c>
      <c r="C16" t="s">
        <v>275</v>
      </c>
      <c r="D16" t="s">
        <v>276</v>
      </c>
      <c r="E16" s="31" t="s">
        <v>74</v>
      </c>
      <c r="F16" s="31" t="s">
        <v>62</v>
      </c>
      <c r="G16" s="31" t="s">
        <v>69</v>
      </c>
      <c r="H16" s="31" t="s">
        <v>81</v>
      </c>
      <c r="I16" s="31" t="s">
        <v>65</v>
      </c>
      <c r="J16" s="31" t="s">
        <v>71</v>
      </c>
      <c r="K16" s="31" t="s">
        <v>71</v>
      </c>
      <c r="L16" s="31" t="s">
        <v>71</v>
      </c>
      <c r="M16" s="31" t="s">
        <v>57</v>
      </c>
      <c r="N16" s="31" t="s">
        <v>57</v>
      </c>
      <c r="O16" s="31" t="s">
        <v>57</v>
      </c>
      <c r="P16" s="31">
        <v>1105118</v>
      </c>
      <c r="Q16" s="31" t="s">
        <v>98</v>
      </c>
      <c r="R16" s="31" t="s">
        <v>98</v>
      </c>
      <c r="S16" s="31" t="s">
        <v>98</v>
      </c>
      <c r="T16" s="42"/>
      <c r="W16" s="36">
        <f>_xlfn.XLOOKUP(P16,'[2]Filialen_Alle_inkl. Nationale'!$B$206:$B$471,'[2]Filialen_Alle_inkl. Nationale'!$D$206:$D$471)</f>
        <v>2264491000000</v>
      </c>
    </row>
    <row r="17" spans="2:23" x14ac:dyDescent="0.45">
      <c r="B17" t="s">
        <v>86</v>
      </c>
      <c r="C17" t="s">
        <v>277</v>
      </c>
      <c r="D17" t="s">
        <v>278</v>
      </c>
      <c r="E17" s="31" t="s">
        <v>74</v>
      </c>
      <c r="F17" s="31" t="s">
        <v>62</v>
      </c>
      <c r="G17" s="31" t="s">
        <v>69</v>
      </c>
      <c r="H17" s="31" t="s">
        <v>81</v>
      </c>
      <c r="I17" s="31" t="s">
        <v>65</v>
      </c>
      <c r="J17" s="31" t="s">
        <v>71</v>
      </c>
      <c r="K17" s="31" t="s">
        <v>71</v>
      </c>
      <c r="L17" s="31" t="s">
        <v>71</v>
      </c>
      <c r="M17" s="31" t="s">
        <v>57</v>
      </c>
      <c r="N17" s="31" t="s">
        <v>57</v>
      </c>
      <c r="O17" s="31" t="s">
        <v>57</v>
      </c>
      <c r="P17" s="31">
        <v>1105133</v>
      </c>
      <c r="Q17" s="31" t="s">
        <v>98</v>
      </c>
      <c r="R17" s="31" t="s">
        <v>98</v>
      </c>
      <c r="S17" s="31" t="s">
        <v>98</v>
      </c>
      <c r="T17" s="42"/>
      <c r="W17" s="36">
        <f>_xlfn.XLOOKUP(P17,'[2]Filialen_Alle_inkl. Nationale'!$B$206:$B$471,'[2]Filialen_Alle_inkl. Nationale'!$D$206:$D$471)</f>
        <v>2205619000000</v>
      </c>
    </row>
    <row r="18" spans="2:23" x14ac:dyDescent="0.45">
      <c r="B18" t="s">
        <v>86</v>
      </c>
      <c r="C18" t="s">
        <v>279</v>
      </c>
      <c r="D18" t="s">
        <v>280</v>
      </c>
      <c r="E18" s="31" t="s">
        <v>74</v>
      </c>
      <c r="F18" s="31" t="s">
        <v>61</v>
      </c>
      <c r="G18" s="31" t="s">
        <v>68</v>
      </c>
      <c r="H18" s="31" t="s">
        <v>80</v>
      </c>
      <c r="I18" s="31" t="s">
        <v>65</v>
      </c>
      <c r="J18" s="31" t="s">
        <v>71</v>
      </c>
      <c r="K18" s="31" t="s">
        <v>71</v>
      </c>
      <c r="L18" s="31" t="s">
        <v>71</v>
      </c>
      <c r="M18" s="31" t="s">
        <v>56</v>
      </c>
      <c r="N18" s="31" t="s">
        <v>56</v>
      </c>
      <c r="O18" s="31" t="s">
        <v>56</v>
      </c>
      <c r="P18" s="31">
        <v>1104890</v>
      </c>
      <c r="Q18" s="31" t="s">
        <v>98</v>
      </c>
      <c r="R18" s="31" t="s">
        <v>98</v>
      </c>
      <c r="S18" s="31" t="s">
        <v>98</v>
      </c>
      <c r="T18" s="42"/>
      <c r="W18" s="36">
        <f>_xlfn.XLOOKUP(P18,'[2]Filialen_Alle_inkl. Nationale'!$B$206:$B$471,'[2]Filialen_Alle_inkl. Nationale'!$D$206:$D$471)</f>
        <v>2205051000000</v>
      </c>
    </row>
    <row r="19" spans="2:23" x14ac:dyDescent="0.45">
      <c r="B19" t="s">
        <v>86</v>
      </c>
      <c r="C19" t="s">
        <v>281</v>
      </c>
      <c r="D19" t="s">
        <v>282</v>
      </c>
      <c r="E19" s="31" t="s">
        <v>74</v>
      </c>
      <c r="F19" s="31" t="s">
        <v>61</v>
      </c>
      <c r="G19" s="31" t="s">
        <v>68</v>
      </c>
      <c r="H19" s="31" t="s">
        <v>80</v>
      </c>
      <c r="I19" s="31" t="s">
        <v>65</v>
      </c>
      <c r="J19" s="31" t="s">
        <v>71</v>
      </c>
      <c r="K19" s="31" t="s">
        <v>71</v>
      </c>
      <c r="L19" s="31" t="s">
        <v>71</v>
      </c>
      <c r="M19" s="31" t="s">
        <v>56</v>
      </c>
      <c r="N19" s="31" t="s">
        <v>56</v>
      </c>
      <c r="O19" s="31" t="s">
        <v>56</v>
      </c>
      <c r="P19" s="31">
        <v>1104871</v>
      </c>
      <c r="Q19" s="31" t="s">
        <v>98</v>
      </c>
      <c r="R19" s="31" t="s">
        <v>98</v>
      </c>
      <c r="S19" s="31" t="s">
        <v>98</v>
      </c>
      <c r="T19" s="42"/>
      <c r="W19" s="36">
        <f>_xlfn.XLOOKUP(P19,'[2]Filialen_Alle_inkl. Nationale'!$B$206:$B$471,'[2]Filialen_Alle_inkl. Nationale'!$D$206:$D$471)</f>
        <v>2202261000000</v>
      </c>
    </row>
    <row r="20" spans="2:23" x14ac:dyDescent="0.45">
      <c r="B20" t="s">
        <v>86</v>
      </c>
      <c r="C20" t="s">
        <v>283</v>
      </c>
      <c r="D20" t="s">
        <v>284</v>
      </c>
      <c r="E20" s="31" t="s">
        <v>74</v>
      </c>
      <c r="F20" s="31" t="s">
        <v>61</v>
      </c>
      <c r="G20" s="31" t="s">
        <v>68</v>
      </c>
      <c r="H20" s="31" t="s">
        <v>80</v>
      </c>
      <c r="I20" s="31" t="s">
        <v>65</v>
      </c>
      <c r="J20" s="31" t="s">
        <v>71</v>
      </c>
      <c r="K20" s="31" t="s">
        <v>71</v>
      </c>
      <c r="L20" s="31" t="s">
        <v>71</v>
      </c>
      <c r="M20" s="31" t="s">
        <v>56</v>
      </c>
      <c r="N20" s="31" t="s">
        <v>56</v>
      </c>
      <c r="O20" s="31" t="s">
        <v>56</v>
      </c>
      <c r="P20" s="31">
        <v>1104934</v>
      </c>
      <c r="Q20" s="31" t="s">
        <v>98</v>
      </c>
      <c r="R20" s="31" t="s">
        <v>98</v>
      </c>
      <c r="S20" s="31" t="s">
        <v>98</v>
      </c>
      <c r="T20" s="42"/>
      <c r="W20" s="36">
        <f>_xlfn.XLOOKUP(P20,'[2]Filialen_Alle_inkl. Nationale'!$B$206:$B$471,'[2]Filialen_Alle_inkl. Nationale'!$D$206:$D$471)</f>
        <v>2287599000000</v>
      </c>
    </row>
    <row r="21" spans="2:23" x14ac:dyDescent="0.45">
      <c r="B21" t="s">
        <v>86</v>
      </c>
      <c r="C21" t="s">
        <v>285</v>
      </c>
      <c r="D21" t="s">
        <v>286</v>
      </c>
      <c r="E21" s="31" t="s">
        <v>74</v>
      </c>
      <c r="F21" s="31" t="s">
        <v>62</v>
      </c>
      <c r="G21" s="31" t="s">
        <v>69</v>
      </c>
      <c r="H21" s="31" t="s">
        <v>81</v>
      </c>
      <c r="I21" s="31" t="s">
        <v>65</v>
      </c>
      <c r="J21" s="31" t="s">
        <v>71</v>
      </c>
      <c r="K21" s="31" t="s">
        <v>71</v>
      </c>
      <c r="L21" s="31" t="s">
        <v>71</v>
      </c>
      <c r="M21" s="31" t="s">
        <v>57</v>
      </c>
      <c r="N21" s="31" t="s">
        <v>57</v>
      </c>
      <c r="O21" s="31" t="s">
        <v>57</v>
      </c>
      <c r="P21" s="31">
        <v>1105166</v>
      </c>
      <c r="Q21" s="31" t="s">
        <v>98</v>
      </c>
      <c r="R21" s="31" t="s">
        <v>98</v>
      </c>
      <c r="S21" s="31" t="s">
        <v>98</v>
      </c>
      <c r="T21" s="42"/>
      <c r="W21" s="36">
        <f>_xlfn.XLOOKUP(P21,'[2]Filialen_Alle_inkl. Nationale'!$B$206:$B$471,'[2]Filialen_Alle_inkl. Nationale'!$D$206:$D$471)</f>
        <v>2201530000000</v>
      </c>
    </row>
    <row r="22" spans="2:23" x14ac:dyDescent="0.45">
      <c r="B22" t="s">
        <v>86</v>
      </c>
      <c r="C22" t="s">
        <v>287</v>
      </c>
      <c r="D22" t="s">
        <v>288</v>
      </c>
      <c r="E22" s="31" t="s">
        <v>74</v>
      </c>
      <c r="F22" s="31" t="s">
        <v>61</v>
      </c>
      <c r="G22" s="31" t="s">
        <v>68</v>
      </c>
      <c r="H22" s="31" t="s">
        <v>80</v>
      </c>
      <c r="I22" s="31" t="s">
        <v>65</v>
      </c>
      <c r="J22" s="31" t="s">
        <v>71</v>
      </c>
      <c r="K22" s="31" t="s">
        <v>71</v>
      </c>
      <c r="L22" s="31" t="s">
        <v>71</v>
      </c>
      <c r="M22" s="31" t="s">
        <v>56</v>
      </c>
      <c r="N22" s="31" t="s">
        <v>56</v>
      </c>
      <c r="O22" s="31" t="s">
        <v>56</v>
      </c>
      <c r="P22" s="31">
        <v>1104859</v>
      </c>
      <c r="Q22" s="31" t="s">
        <v>98</v>
      </c>
      <c r="R22" s="31" t="s">
        <v>98</v>
      </c>
      <c r="S22" s="31" t="s">
        <v>98</v>
      </c>
      <c r="T22" s="42"/>
      <c r="W22" s="36">
        <f>_xlfn.XLOOKUP(P22,'[2]Filialen_Alle_inkl. Nationale'!$B$206:$B$471,'[2]Filialen_Alle_inkl. Nationale'!$D$206:$D$471)</f>
        <v>2202901000000</v>
      </c>
    </row>
    <row r="23" spans="2:23" x14ac:dyDescent="0.45">
      <c r="B23" t="s">
        <v>86</v>
      </c>
      <c r="C23" t="s">
        <v>289</v>
      </c>
      <c r="D23" t="s">
        <v>290</v>
      </c>
      <c r="E23" s="31" t="s">
        <v>74</v>
      </c>
      <c r="F23" s="31" t="s">
        <v>61</v>
      </c>
      <c r="G23" s="31" t="s">
        <v>68</v>
      </c>
      <c r="H23" s="31" t="s">
        <v>80</v>
      </c>
      <c r="I23" s="31" t="s">
        <v>65</v>
      </c>
      <c r="J23" s="31" t="s">
        <v>71</v>
      </c>
      <c r="K23" s="31" t="s">
        <v>71</v>
      </c>
      <c r="L23" s="31" t="s">
        <v>71</v>
      </c>
      <c r="M23" s="31" t="s">
        <v>56</v>
      </c>
      <c r="N23" s="31" t="s">
        <v>56</v>
      </c>
      <c r="O23" s="31" t="s">
        <v>56</v>
      </c>
      <c r="P23" s="31">
        <v>1104837</v>
      </c>
      <c r="Q23" s="31" t="s">
        <v>98</v>
      </c>
      <c r="R23" s="31" t="s">
        <v>98</v>
      </c>
      <c r="S23" s="31" t="s">
        <v>98</v>
      </c>
      <c r="T23" s="42"/>
      <c r="W23" s="36">
        <f>_xlfn.XLOOKUP(P23,'[2]Filialen_Alle_inkl. Nationale'!$B$206:$B$471,'[2]Filialen_Alle_inkl. Nationale'!$D$206:$D$471)</f>
        <v>2274484000000</v>
      </c>
    </row>
    <row r="24" spans="2:23" x14ac:dyDescent="0.45">
      <c r="B24" t="s">
        <v>86</v>
      </c>
      <c r="C24" t="s">
        <v>291</v>
      </c>
      <c r="D24" t="s">
        <v>292</v>
      </c>
      <c r="E24" s="31" t="s">
        <v>74</v>
      </c>
      <c r="F24" s="31" t="s">
        <v>62</v>
      </c>
      <c r="G24" s="31" t="s">
        <v>69</v>
      </c>
      <c r="H24" s="31" t="s">
        <v>81</v>
      </c>
      <c r="I24" s="31" t="s">
        <v>65</v>
      </c>
      <c r="J24" s="31" t="s">
        <v>71</v>
      </c>
      <c r="K24" s="31" t="s">
        <v>71</v>
      </c>
      <c r="L24" s="31" t="s">
        <v>71</v>
      </c>
      <c r="M24" s="31" t="s">
        <v>57</v>
      </c>
      <c r="N24" s="31" t="s">
        <v>57</v>
      </c>
      <c r="O24" s="31" t="s">
        <v>57</v>
      </c>
      <c r="P24" s="31">
        <v>1105124</v>
      </c>
      <c r="Q24" s="31" t="s">
        <v>98</v>
      </c>
      <c r="R24" s="31" t="s">
        <v>98</v>
      </c>
      <c r="S24" s="31" t="s">
        <v>98</v>
      </c>
      <c r="T24" s="42"/>
      <c r="W24" s="36">
        <f>_xlfn.XLOOKUP(P24,'[2]Filialen_Alle_inkl. Nationale'!$B$206:$B$471,'[2]Filialen_Alle_inkl. Nationale'!$D$206:$D$471)</f>
        <v>2201522000000</v>
      </c>
    </row>
    <row r="25" spans="2:23" x14ac:dyDescent="0.45">
      <c r="B25" t="s">
        <v>86</v>
      </c>
      <c r="C25" t="s">
        <v>293</v>
      </c>
      <c r="D25" t="s">
        <v>294</v>
      </c>
      <c r="E25" s="31" t="s">
        <v>74</v>
      </c>
      <c r="F25" s="31" t="s">
        <v>62</v>
      </c>
      <c r="G25" s="31" t="s">
        <v>69</v>
      </c>
      <c r="H25" s="31" t="s">
        <v>81</v>
      </c>
      <c r="I25" s="31" t="s">
        <v>65</v>
      </c>
      <c r="J25" s="31" t="s">
        <v>71</v>
      </c>
      <c r="K25" s="31" t="s">
        <v>71</v>
      </c>
      <c r="L25" s="31" t="s">
        <v>71</v>
      </c>
      <c r="M25" s="31" t="s">
        <v>57</v>
      </c>
      <c r="N25" s="31" t="s">
        <v>57</v>
      </c>
      <c r="O25" s="31" t="s">
        <v>57</v>
      </c>
      <c r="P25" s="31">
        <v>1105147</v>
      </c>
      <c r="Q25" s="31" t="s">
        <v>98</v>
      </c>
      <c r="R25" s="31" t="s">
        <v>98</v>
      </c>
      <c r="S25" s="31" t="s">
        <v>98</v>
      </c>
      <c r="T25" s="42"/>
      <c r="W25" s="36">
        <f>_xlfn.XLOOKUP(P25,'[2]Filialen_Alle_inkl. Nationale'!$B$206:$B$471,'[2]Filialen_Alle_inkl. Nationale'!$D$206:$D$471)</f>
        <v>2292911000000</v>
      </c>
    </row>
    <row r="26" spans="2:23" x14ac:dyDescent="0.45">
      <c r="B26" t="s">
        <v>86</v>
      </c>
      <c r="C26" t="s">
        <v>295</v>
      </c>
      <c r="D26" t="s">
        <v>296</v>
      </c>
      <c r="E26" s="31" t="s">
        <v>74</v>
      </c>
      <c r="F26" s="31" t="s">
        <v>62</v>
      </c>
      <c r="G26" s="31" t="s">
        <v>69</v>
      </c>
      <c r="H26" s="31" t="s">
        <v>81</v>
      </c>
      <c r="I26" s="31" t="s">
        <v>65</v>
      </c>
      <c r="J26" s="31" t="s">
        <v>71</v>
      </c>
      <c r="K26" s="31" t="s">
        <v>71</v>
      </c>
      <c r="L26" s="31" t="s">
        <v>71</v>
      </c>
      <c r="M26" s="31" t="s">
        <v>57</v>
      </c>
      <c r="N26" s="31" t="s">
        <v>57</v>
      </c>
      <c r="O26" s="31" t="s">
        <v>57</v>
      </c>
      <c r="P26" s="31">
        <v>1105051</v>
      </c>
      <c r="Q26" s="31" t="s">
        <v>98</v>
      </c>
      <c r="R26" s="31" t="s">
        <v>98</v>
      </c>
      <c r="S26" s="31" t="s">
        <v>98</v>
      </c>
      <c r="T26" s="42"/>
      <c r="W26" s="36">
        <f>_xlfn.XLOOKUP(P26,'[2]Filialen_Alle_inkl. Nationale'!$B$206:$B$471,'[2]Filialen_Alle_inkl. Nationale'!$D$206:$D$471)</f>
        <v>2204011000000</v>
      </c>
    </row>
    <row r="27" spans="2:23" x14ac:dyDescent="0.45">
      <c r="B27" t="s">
        <v>86</v>
      </c>
      <c r="C27" t="s">
        <v>297</v>
      </c>
      <c r="D27" t="s">
        <v>298</v>
      </c>
      <c r="E27" s="31" t="s">
        <v>74</v>
      </c>
      <c r="F27" s="31" t="s">
        <v>62</v>
      </c>
      <c r="G27" s="31" t="s">
        <v>69</v>
      </c>
      <c r="H27" s="31" t="s">
        <v>81</v>
      </c>
      <c r="I27" s="31" t="s">
        <v>65</v>
      </c>
      <c r="J27" s="31" t="s">
        <v>71</v>
      </c>
      <c r="K27" s="31" t="s">
        <v>71</v>
      </c>
      <c r="L27" s="31" t="s">
        <v>71</v>
      </c>
      <c r="M27" s="31" t="s">
        <v>57</v>
      </c>
      <c r="N27" s="31" t="s">
        <v>57</v>
      </c>
      <c r="O27" s="31" t="s">
        <v>57</v>
      </c>
      <c r="P27" s="31">
        <v>1105129</v>
      </c>
      <c r="Q27" s="31" t="s">
        <v>98</v>
      </c>
      <c r="R27" s="31" t="s">
        <v>98</v>
      </c>
      <c r="S27" s="31" t="s">
        <v>98</v>
      </c>
      <c r="T27" s="42"/>
      <c r="W27" s="36">
        <f>_xlfn.XLOOKUP(P27,'[2]Filialen_Alle_inkl. Nationale'!$B$206:$B$471,'[2]Filialen_Alle_inkl. Nationale'!$D$206:$D$471)</f>
        <v>2216701000000</v>
      </c>
    </row>
    <row r="28" spans="2:23" x14ac:dyDescent="0.45">
      <c r="B28" t="s">
        <v>86</v>
      </c>
      <c r="C28" t="s">
        <v>299</v>
      </c>
      <c r="D28" t="s">
        <v>300</v>
      </c>
      <c r="E28" s="31" t="s">
        <v>74</v>
      </c>
      <c r="F28" s="31" t="s">
        <v>61</v>
      </c>
      <c r="G28" s="31" t="s">
        <v>68</v>
      </c>
      <c r="H28" s="31" t="s">
        <v>80</v>
      </c>
      <c r="I28" s="31" t="s">
        <v>65</v>
      </c>
      <c r="J28" s="31" t="s">
        <v>71</v>
      </c>
      <c r="K28" s="31" t="s">
        <v>71</v>
      </c>
      <c r="L28" s="31" t="s">
        <v>71</v>
      </c>
      <c r="M28" s="31" t="s">
        <v>56</v>
      </c>
      <c r="N28" s="31" t="s">
        <v>56</v>
      </c>
      <c r="O28" s="31" t="s">
        <v>56</v>
      </c>
      <c r="P28" s="31">
        <v>1104862</v>
      </c>
      <c r="Q28" s="31" t="s">
        <v>98</v>
      </c>
      <c r="R28" s="31" t="s">
        <v>98</v>
      </c>
      <c r="S28" s="31" t="s">
        <v>98</v>
      </c>
      <c r="T28" s="42"/>
      <c r="W28" s="36">
        <f>_xlfn.XLOOKUP(P28,'[2]Filialen_Alle_inkl. Nationale'!$B$206:$B$471,'[2]Filialen_Alle_inkl. Nationale'!$D$206:$D$471)</f>
        <v>2216961000000</v>
      </c>
    </row>
    <row r="29" spans="2:23" x14ac:dyDescent="0.45">
      <c r="B29" t="s">
        <v>86</v>
      </c>
      <c r="C29" t="s">
        <v>301</v>
      </c>
      <c r="D29" t="s">
        <v>302</v>
      </c>
      <c r="E29" s="31" t="s">
        <v>74</v>
      </c>
      <c r="F29" s="31" t="s">
        <v>61</v>
      </c>
      <c r="G29" s="31" t="s">
        <v>68</v>
      </c>
      <c r="H29" s="31" t="s">
        <v>80</v>
      </c>
      <c r="I29" s="31" t="s">
        <v>65</v>
      </c>
      <c r="J29" s="31" t="s">
        <v>71</v>
      </c>
      <c r="K29" s="31" t="s">
        <v>71</v>
      </c>
      <c r="L29" s="31" t="s">
        <v>71</v>
      </c>
      <c r="M29" s="31" t="s">
        <v>56</v>
      </c>
      <c r="N29" s="31" t="s">
        <v>56</v>
      </c>
      <c r="O29" s="31" t="s">
        <v>56</v>
      </c>
      <c r="P29" s="31">
        <v>1104919</v>
      </c>
      <c r="Q29" s="31" t="s">
        <v>98</v>
      </c>
      <c r="R29" s="31" t="s">
        <v>98</v>
      </c>
      <c r="S29" s="31" t="s">
        <v>98</v>
      </c>
      <c r="T29" s="42"/>
      <c r="W29" s="36">
        <f>_xlfn.XLOOKUP(P29,'[2]Filialen_Alle_inkl. Nationale'!$B$206:$B$471,'[2]Filialen_Alle_inkl. Nationale'!$D$206:$D$471)</f>
        <v>2268451000000</v>
      </c>
    </row>
    <row r="30" spans="2:23" x14ac:dyDescent="0.45">
      <c r="B30" t="s">
        <v>86</v>
      </c>
      <c r="C30" t="s">
        <v>303</v>
      </c>
      <c r="D30" t="s">
        <v>304</v>
      </c>
      <c r="E30" s="31" t="s">
        <v>74</v>
      </c>
      <c r="F30" s="31" t="s">
        <v>61</v>
      </c>
      <c r="G30" s="31" t="s">
        <v>68</v>
      </c>
      <c r="H30" s="31" t="s">
        <v>80</v>
      </c>
      <c r="I30" s="31" t="s">
        <v>65</v>
      </c>
      <c r="J30" s="31" t="s">
        <v>71</v>
      </c>
      <c r="K30" s="31" t="s">
        <v>71</v>
      </c>
      <c r="L30" s="31" t="s">
        <v>71</v>
      </c>
      <c r="M30" s="31" t="s">
        <v>56</v>
      </c>
      <c r="N30" s="31" t="s">
        <v>56</v>
      </c>
      <c r="O30" s="31" t="s">
        <v>56</v>
      </c>
      <c r="P30" s="31">
        <v>1104922</v>
      </c>
      <c r="Q30" s="31" t="s">
        <v>98</v>
      </c>
      <c r="R30" s="31" t="s">
        <v>98</v>
      </c>
      <c r="S30" s="31" t="s">
        <v>98</v>
      </c>
      <c r="T30" s="42"/>
      <c r="W30" s="36">
        <f>_xlfn.XLOOKUP(P30,'[2]Filialen_Alle_inkl. Nationale'!$B$206:$B$471,'[2]Filialen_Alle_inkl. Nationale'!$D$206:$D$471)</f>
        <v>2202451000000</v>
      </c>
    </row>
    <row r="31" spans="2:23" x14ac:dyDescent="0.45">
      <c r="B31" t="s">
        <v>86</v>
      </c>
      <c r="C31" t="s">
        <v>305</v>
      </c>
      <c r="D31" t="s">
        <v>306</v>
      </c>
      <c r="E31" s="31" t="s">
        <v>74</v>
      </c>
      <c r="F31" s="31" t="s">
        <v>61</v>
      </c>
      <c r="G31" s="31" t="s">
        <v>68</v>
      </c>
      <c r="H31" s="31" t="s">
        <v>80</v>
      </c>
      <c r="I31" s="31" t="s">
        <v>65</v>
      </c>
      <c r="J31" s="31" t="s">
        <v>71</v>
      </c>
      <c r="K31" s="31" t="s">
        <v>71</v>
      </c>
      <c r="L31" s="31" t="s">
        <v>71</v>
      </c>
      <c r="M31" s="31" t="s">
        <v>56</v>
      </c>
      <c r="N31" s="31" t="s">
        <v>56</v>
      </c>
      <c r="O31" s="31" t="s">
        <v>56</v>
      </c>
      <c r="P31" s="31">
        <v>1104925</v>
      </c>
      <c r="Q31" s="31" t="s">
        <v>98</v>
      </c>
      <c r="R31" s="31" t="s">
        <v>98</v>
      </c>
      <c r="S31" s="31" t="s">
        <v>98</v>
      </c>
      <c r="T31" s="42"/>
      <c r="W31" s="36">
        <f>_xlfn.XLOOKUP(P31,'[2]Filialen_Alle_inkl. Nationale'!$B$206:$B$471,'[2]Filialen_Alle_inkl. Nationale'!$D$206:$D$471)</f>
        <v>2254611000000</v>
      </c>
    </row>
  </sheetData>
  <mergeCells count="4">
    <mergeCell ref="A1:D1"/>
    <mergeCell ref="E1:O1"/>
    <mergeCell ref="Q1:V1"/>
    <mergeCell ref="W1:X1"/>
  </mergeCells>
  <dataValidations count="19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  <dataValidation type="list" allowBlank="1" sqref="F3:F1048576" xr:uid="{00000000-0002-0000-0100-000002000000}">
      <formula1>RSC_atxwarengruppesap__de_DE</formula1>
    </dataValidation>
    <dataValidation type="list" allowBlank="1" sqref="G3:G1048576" xr:uid="{00000000-0002-0000-0100-000003000000}">
      <formula1>RSC_atxwarengruppesap__fr_FR</formula1>
    </dataValidation>
    <dataValidation type="list" allowBlank="1" sqref="H3:H1048576" xr:uid="{00000000-0002-0000-0100-000004000000}">
      <formula1>RSC_atxwarengruppesap__it_IT</formula1>
    </dataValidation>
    <dataValidation type="list" allowBlank="1" sqref="J3:J1048576" xr:uid="{00000000-0002-0000-0100-000005000000}">
      <formula1>RSC_axtaxdummyfilter__de_DE</formula1>
    </dataValidation>
    <dataValidation type="list" allowBlank="1" sqref="K3:K1048576" xr:uid="{00000000-0002-0000-0100-000006000000}">
      <formula1>RSC_axtaxdummyfilter__fr_FR</formula1>
    </dataValidation>
    <dataValidation type="list" allowBlank="1" sqref="L3:L1048576" xr:uid="{00000000-0002-0000-0100-000007000000}">
      <formula1>RSC_axtaxdummyfilter__it_IT</formula1>
    </dataValidation>
    <dataValidation type="list" allowBlank="1" sqref="M3:M1048576" xr:uid="{00000000-0002-0000-0100-000008000000}">
      <formula1>RSC_axartikelslpmstruktur__de_DE</formula1>
    </dataValidation>
    <dataValidation type="list" allowBlank="1" sqref="N3:N1048576" xr:uid="{00000000-0002-0000-0100-000009000000}">
      <formula1>RSC_axartikelslpmstruktur__fr_FR</formula1>
    </dataValidation>
    <dataValidation type="list" allowBlank="1" sqref="O3:O1048576" xr:uid="{00000000-0002-0000-0100-00000A000000}">
      <formula1>RSC_axartikelslpmstruktur__it_IT</formula1>
    </dataValidation>
    <dataValidation type="list" allowBlank="1" showInputMessage="1" showErrorMessage="1" promptTitle="Information" prompt="Select value from dropdown" sqref="E3:E1048576" xr:uid="{00000000-0002-0000-0100-000011000000}">
      <formula1>RSC__refxartikeltypsap</formula1>
    </dataValidation>
    <dataValidation type="list" allowBlank="1" showInputMessage="1" showErrorMessage="1" promptTitle="Information" prompt="Select value from dropdown" sqref="I3:I1048576" xr:uid="{00000000-0002-0000-0100-000012000000}">
      <formula1>RSC__refxboolen</formula1>
    </dataValidation>
    <dataValidation type="list" allowBlank="1" showInputMessage="1" showErrorMessage="1" promptTitle="Information" prompt="Select value from dropdown" sqref="Q3:Q1048576" xr:uid="{00000000-0002-0000-0100-000013000000}">
      <formula1>RSC_de_DE_refxartikelartsap</formula1>
    </dataValidation>
    <dataValidation type="list" allowBlank="1" showInputMessage="1" showErrorMessage="1" promptTitle="Information" prompt="Select value from dropdown" sqref="R3:R1048576" xr:uid="{00000000-0002-0000-0100-000014000000}">
      <formula1>RSC_fr_FR_refxartikelartsap</formula1>
    </dataValidation>
    <dataValidation type="list" allowBlank="1" showInputMessage="1" showErrorMessage="1" promptTitle="Information" prompt="Select value from dropdown" sqref="S3:S1048576" xr:uid="{00000000-0002-0000-0100-000015000000}">
      <formula1>RSC_it_IT_refxartikelartsap</formula1>
    </dataValidation>
    <dataValidation type="list" allowBlank="1" showInputMessage="1" showErrorMessage="1" promptTitle="Information" prompt="Select value from dropdown" sqref="T3:T1048576" xr:uid="{00000000-0002-0000-0100-000016000000}">
      <formula1>RSC_de_DE_refxsaisontypsap</formula1>
    </dataValidation>
    <dataValidation type="list" allowBlank="1" showInputMessage="1" showErrorMessage="1" promptTitle="Information" prompt="Select value from dropdown" sqref="U3:U1048576" xr:uid="{00000000-0002-0000-0100-000017000000}">
      <formula1>RSC_fr_FR_refxsaisontypsap</formula1>
    </dataValidation>
    <dataValidation type="list" allowBlank="1" showInputMessage="1" showErrorMessage="1" promptTitle="Information" prompt="Select value from dropdown" sqref="V3:V1048576" xr:uid="{00000000-0002-0000-0100-000018000000}">
      <formula1>RSC_it_IT_refxsaisontypsap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BB928-5F0A-48A9-BDBA-B2015F58E672}">
  <sheetPr codeName="Sheet5"/>
  <dimension ref="A1:E2"/>
  <sheetViews>
    <sheetView workbookViewId="0">
      <selection activeCell="A2" sqref="A2:B2"/>
    </sheetView>
  </sheetViews>
  <sheetFormatPr defaultColWidth="11.59765625" defaultRowHeight="14.25" x14ac:dyDescent="0.45"/>
  <cols>
    <col min="1" max="16384" width="11.59765625" style="4"/>
  </cols>
  <sheetData>
    <row r="1" spans="1:5" ht="15.75" x14ac:dyDescent="0.5">
      <c r="A1" s="41" t="s">
        <v>9</v>
      </c>
      <c r="B1" s="41" t="s">
        <v>10</v>
      </c>
      <c r="D1" s="41" t="s">
        <v>11</v>
      </c>
      <c r="E1" s="41" t="s">
        <v>12</v>
      </c>
    </row>
    <row r="2" spans="1:5" x14ac:dyDescent="0.45">
      <c r="A2" s="4" t="s">
        <v>13</v>
      </c>
      <c r="B2" s="4" t="s">
        <v>10</v>
      </c>
      <c r="D2" s="29" t="s">
        <v>54</v>
      </c>
      <c r="E2" s="4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4A1CF-3AD6-472D-941A-C5FF363829EA}">
  <dimension ref="A1:AO18"/>
  <sheetViews>
    <sheetView workbookViewId="0"/>
  </sheetViews>
  <sheetFormatPr defaultRowHeight="14.25" x14ac:dyDescent="0.45"/>
  <sheetData>
    <row r="1" spans="1:41" ht="15.75" x14ac:dyDescent="0.5">
      <c r="A1" s="37" t="s">
        <v>55</v>
      </c>
      <c r="B1" s="37" t="s">
        <v>59</v>
      </c>
      <c r="C1" s="37" t="s">
        <v>63</v>
      </c>
      <c r="D1" s="37" t="s">
        <v>64</v>
      </c>
      <c r="E1" s="37" t="s">
        <v>66</v>
      </c>
      <c r="F1" s="37" t="s">
        <v>70</v>
      </c>
      <c r="G1" s="37" t="s">
        <v>72</v>
      </c>
      <c r="H1" s="37" t="s">
        <v>73</v>
      </c>
      <c r="I1" s="37" t="s">
        <v>75</v>
      </c>
      <c r="J1" s="37" t="s">
        <v>76</v>
      </c>
      <c r="K1" s="37" t="s">
        <v>77</v>
      </c>
      <c r="L1" s="37" t="s">
        <v>78</v>
      </c>
      <c r="M1" s="37" t="s">
        <v>82</v>
      </c>
      <c r="N1" s="37" t="s">
        <v>83</v>
      </c>
      <c r="O1" s="37" t="s">
        <v>84</v>
      </c>
      <c r="P1" s="37" t="s">
        <v>85</v>
      </c>
      <c r="Q1" s="29" t="s">
        <v>87</v>
      </c>
      <c r="R1" s="29" t="s">
        <v>91</v>
      </c>
      <c r="S1" s="29" t="s">
        <v>93</v>
      </c>
      <c r="T1" s="29" t="s">
        <v>107</v>
      </c>
      <c r="U1" s="29" t="s">
        <v>108</v>
      </c>
      <c r="V1" s="29" t="s">
        <v>109</v>
      </c>
      <c r="W1" s="29" t="s">
        <v>114</v>
      </c>
      <c r="X1" s="29" t="s">
        <v>115</v>
      </c>
      <c r="Y1" s="29" t="s">
        <v>116</v>
      </c>
      <c r="Z1" s="29" t="s">
        <v>130</v>
      </c>
      <c r="AA1" s="29" t="s">
        <v>143</v>
      </c>
      <c r="AB1" s="29" t="s">
        <v>155</v>
      </c>
      <c r="AC1" s="29" t="s">
        <v>159</v>
      </c>
      <c r="AD1" s="29" t="s">
        <v>160</v>
      </c>
      <c r="AE1" s="29" t="s">
        <v>170</v>
      </c>
      <c r="AF1" s="29" t="s">
        <v>174</v>
      </c>
      <c r="AG1" s="29" t="s">
        <v>178</v>
      </c>
      <c r="AH1" s="29" t="s">
        <v>182</v>
      </c>
      <c r="AI1" s="29" t="s">
        <v>189</v>
      </c>
      <c r="AJ1" s="29" t="s">
        <v>196</v>
      </c>
      <c r="AK1" s="29" t="s">
        <v>203</v>
      </c>
      <c r="AL1" s="29" t="s">
        <v>206</v>
      </c>
      <c r="AM1" s="29" t="s">
        <v>222</v>
      </c>
      <c r="AN1" s="29" t="s">
        <v>233</v>
      </c>
      <c r="AO1" s="29" t="s">
        <v>244</v>
      </c>
    </row>
    <row r="2" spans="1:41" x14ac:dyDescent="0.45">
      <c r="A2" t="s">
        <v>56</v>
      </c>
      <c r="B2" t="s">
        <v>60</v>
      </c>
      <c r="C2" t="s">
        <v>56</v>
      </c>
      <c r="D2" t="s">
        <v>65</v>
      </c>
      <c r="E2" t="s">
        <v>67</v>
      </c>
      <c r="F2" t="s">
        <v>71</v>
      </c>
      <c r="G2" t="s">
        <v>56</v>
      </c>
      <c r="H2" t="s">
        <v>74</v>
      </c>
      <c r="I2" t="s">
        <v>74</v>
      </c>
      <c r="J2" t="s">
        <v>71</v>
      </c>
      <c r="K2" t="s">
        <v>65</v>
      </c>
      <c r="L2" t="s">
        <v>79</v>
      </c>
      <c r="M2" t="s">
        <v>74</v>
      </c>
      <c r="N2" t="s">
        <v>65</v>
      </c>
      <c r="O2" t="s">
        <v>71</v>
      </c>
      <c r="P2" t="s">
        <v>86</v>
      </c>
      <c r="Q2" t="s">
        <v>74</v>
      </c>
      <c r="R2" t="s">
        <v>65</v>
      </c>
      <c r="S2" t="s">
        <v>94</v>
      </c>
      <c r="T2" t="s">
        <v>95</v>
      </c>
      <c r="U2" t="s">
        <v>95</v>
      </c>
      <c r="V2" t="s">
        <v>110</v>
      </c>
      <c r="W2" t="s">
        <v>110</v>
      </c>
      <c r="X2" t="s">
        <v>110</v>
      </c>
      <c r="Y2" t="s">
        <v>117</v>
      </c>
      <c r="Z2" t="s">
        <v>131</v>
      </c>
      <c r="AA2" t="s">
        <v>144</v>
      </c>
      <c r="AB2" t="s">
        <v>156</v>
      </c>
      <c r="AC2" t="s">
        <v>89</v>
      </c>
      <c r="AD2" t="s">
        <v>89</v>
      </c>
      <c r="AE2" t="s">
        <v>171</v>
      </c>
      <c r="AF2" t="s">
        <v>175</v>
      </c>
      <c r="AG2" t="s">
        <v>179</v>
      </c>
      <c r="AH2" t="s">
        <v>183</v>
      </c>
      <c r="AI2" t="s">
        <v>190</v>
      </c>
      <c r="AJ2" t="s">
        <v>197</v>
      </c>
      <c r="AK2" t="s">
        <v>204</v>
      </c>
      <c r="AL2" t="s">
        <v>207</v>
      </c>
      <c r="AM2" t="s">
        <v>223</v>
      </c>
      <c r="AN2" t="s">
        <v>234</v>
      </c>
      <c r="AO2" t="s">
        <v>245</v>
      </c>
    </row>
    <row r="3" spans="1:41" x14ac:dyDescent="0.45">
      <c r="A3" t="s">
        <v>57</v>
      </c>
      <c r="B3" t="s">
        <v>61</v>
      </c>
      <c r="C3" t="s">
        <v>57</v>
      </c>
      <c r="E3" t="s">
        <v>68</v>
      </c>
      <c r="G3" t="s">
        <v>57</v>
      </c>
      <c r="L3" t="s">
        <v>80</v>
      </c>
      <c r="Q3" t="s">
        <v>88</v>
      </c>
      <c r="R3" t="s">
        <v>92</v>
      </c>
      <c r="S3" t="s">
        <v>95</v>
      </c>
      <c r="T3" t="s">
        <v>98</v>
      </c>
      <c r="U3" t="s">
        <v>98</v>
      </c>
      <c r="V3" t="s">
        <v>111</v>
      </c>
      <c r="W3" t="s">
        <v>111</v>
      </c>
      <c r="X3" t="s">
        <v>111</v>
      </c>
      <c r="Y3" t="s">
        <v>118</v>
      </c>
      <c r="Z3" t="s">
        <v>132</v>
      </c>
      <c r="AA3" t="s">
        <v>145</v>
      </c>
      <c r="AB3" t="s">
        <v>157</v>
      </c>
      <c r="AC3" t="s">
        <v>90</v>
      </c>
      <c r="AD3" t="s">
        <v>90</v>
      </c>
      <c r="AE3" t="s">
        <v>172</v>
      </c>
      <c r="AF3" t="s">
        <v>176</v>
      </c>
      <c r="AG3" t="s">
        <v>180</v>
      </c>
      <c r="AH3" t="s">
        <v>184</v>
      </c>
      <c r="AI3" t="s">
        <v>191</v>
      </c>
      <c r="AJ3" t="s">
        <v>198</v>
      </c>
      <c r="AK3" t="s">
        <v>205</v>
      </c>
      <c r="AL3" t="s">
        <v>208</v>
      </c>
      <c r="AM3" t="s">
        <v>224</v>
      </c>
      <c r="AN3" t="s">
        <v>235</v>
      </c>
      <c r="AO3" t="s">
        <v>246</v>
      </c>
    </row>
    <row r="4" spans="1:41" x14ac:dyDescent="0.45">
      <c r="A4" t="s">
        <v>58</v>
      </c>
      <c r="B4" t="s">
        <v>62</v>
      </c>
      <c r="C4" t="s">
        <v>58</v>
      </c>
      <c r="E4" t="s">
        <v>69</v>
      </c>
      <c r="G4" t="s">
        <v>58</v>
      </c>
      <c r="L4" t="s">
        <v>81</v>
      </c>
      <c r="Q4" t="s">
        <v>89</v>
      </c>
      <c r="R4" t="s">
        <v>89</v>
      </c>
      <c r="S4" t="s">
        <v>96</v>
      </c>
      <c r="T4" t="s">
        <v>106</v>
      </c>
      <c r="U4" t="s">
        <v>106</v>
      </c>
      <c r="V4" t="s">
        <v>112</v>
      </c>
      <c r="W4" t="s">
        <v>112</v>
      </c>
      <c r="X4" t="s">
        <v>112</v>
      </c>
      <c r="Y4" t="s">
        <v>119</v>
      </c>
      <c r="Z4" t="s">
        <v>133</v>
      </c>
      <c r="AA4" t="s">
        <v>146</v>
      </c>
      <c r="AB4" t="s">
        <v>158</v>
      </c>
      <c r="AE4" t="s">
        <v>173</v>
      </c>
      <c r="AF4" t="s">
        <v>177</v>
      </c>
      <c r="AG4" t="s">
        <v>181</v>
      </c>
      <c r="AH4" t="s">
        <v>185</v>
      </c>
      <c r="AI4" t="s">
        <v>192</v>
      </c>
      <c r="AJ4" t="s">
        <v>199</v>
      </c>
      <c r="AK4" t="s">
        <v>89</v>
      </c>
      <c r="AL4" t="s">
        <v>209</v>
      </c>
      <c r="AM4" t="s">
        <v>225</v>
      </c>
      <c r="AN4" t="s">
        <v>236</v>
      </c>
      <c r="AO4" t="s">
        <v>247</v>
      </c>
    </row>
    <row r="5" spans="1:41" x14ac:dyDescent="0.45">
      <c r="Q5" t="s">
        <v>90</v>
      </c>
      <c r="R5" t="s">
        <v>90</v>
      </c>
      <c r="S5" t="s">
        <v>97</v>
      </c>
      <c r="T5" t="s">
        <v>89</v>
      </c>
      <c r="U5" t="s">
        <v>89</v>
      </c>
      <c r="V5" t="s">
        <v>113</v>
      </c>
      <c r="W5" t="s">
        <v>113</v>
      </c>
      <c r="X5" t="s">
        <v>113</v>
      </c>
      <c r="Y5" t="s">
        <v>120</v>
      </c>
      <c r="Z5" t="s">
        <v>134</v>
      </c>
      <c r="AA5" t="s">
        <v>147</v>
      </c>
      <c r="AB5" t="s">
        <v>89</v>
      </c>
      <c r="AE5" t="s">
        <v>89</v>
      </c>
      <c r="AF5" t="s">
        <v>89</v>
      </c>
      <c r="AG5" t="s">
        <v>89</v>
      </c>
      <c r="AH5" t="s">
        <v>186</v>
      </c>
      <c r="AI5" t="s">
        <v>193</v>
      </c>
      <c r="AJ5" t="s">
        <v>200</v>
      </c>
      <c r="AK5" t="s">
        <v>90</v>
      </c>
      <c r="AL5" t="s">
        <v>210</v>
      </c>
      <c r="AM5" t="s">
        <v>226</v>
      </c>
      <c r="AN5" t="s">
        <v>237</v>
      </c>
      <c r="AO5" t="s">
        <v>89</v>
      </c>
    </row>
    <row r="6" spans="1:41" x14ac:dyDescent="0.45">
      <c r="S6" t="s">
        <v>98</v>
      </c>
      <c r="T6" t="s">
        <v>90</v>
      </c>
      <c r="U6" t="s">
        <v>90</v>
      </c>
      <c r="V6" t="s">
        <v>89</v>
      </c>
      <c r="W6" t="s">
        <v>89</v>
      </c>
      <c r="X6" t="s">
        <v>89</v>
      </c>
      <c r="Y6" t="s">
        <v>121</v>
      </c>
      <c r="Z6" t="s">
        <v>135</v>
      </c>
      <c r="AA6" t="s">
        <v>148</v>
      </c>
      <c r="AB6" t="s">
        <v>90</v>
      </c>
      <c r="AE6" t="s">
        <v>90</v>
      </c>
      <c r="AF6" t="s">
        <v>90</v>
      </c>
      <c r="AG6" t="s">
        <v>90</v>
      </c>
      <c r="AH6" t="s">
        <v>187</v>
      </c>
      <c r="AI6" t="s">
        <v>194</v>
      </c>
      <c r="AJ6" t="s">
        <v>201</v>
      </c>
      <c r="AL6" t="s">
        <v>211</v>
      </c>
      <c r="AM6" t="s">
        <v>227</v>
      </c>
      <c r="AN6" t="s">
        <v>238</v>
      </c>
      <c r="AO6" t="s">
        <v>90</v>
      </c>
    </row>
    <row r="7" spans="1:41" x14ac:dyDescent="0.45">
      <c r="S7" t="s">
        <v>99</v>
      </c>
      <c r="V7" t="s">
        <v>90</v>
      </c>
      <c r="W7" t="s">
        <v>90</v>
      </c>
      <c r="X7" t="s">
        <v>90</v>
      </c>
      <c r="Y7" t="s">
        <v>122</v>
      </c>
      <c r="Z7" t="s">
        <v>136</v>
      </c>
      <c r="AA7" t="s">
        <v>149</v>
      </c>
      <c r="AH7" t="s">
        <v>188</v>
      </c>
      <c r="AI7" t="s">
        <v>195</v>
      </c>
      <c r="AJ7" t="s">
        <v>202</v>
      </c>
      <c r="AL7" t="s">
        <v>212</v>
      </c>
      <c r="AM7" t="s">
        <v>228</v>
      </c>
      <c r="AN7" t="s">
        <v>239</v>
      </c>
    </row>
    <row r="8" spans="1:41" x14ac:dyDescent="0.45">
      <c r="S8" t="s">
        <v>100</v>
      </c>
      <c r="Y8" t="s">
        <v>123</v>
      </c>
      <c r="Z8" t="s">
        <v>137</v>
      </c>
      <c r="AA8" t="s">
        <v>118</v>
      </c>
      <c r="AH8" t="s">
        <v>89</v>
      </c>
      <c r="AI8" t="s">
        <v>89</v>
      </c>
      <c r="AJ8" t="s">
        <v>89</v>
      </c>
      <c r="AL8" t="s">
        <v>213</v>
      </c>
      <c r="AM8" t="s">
        <v>213</v>
      </c>
      <c r="AN8" t="s">
        <v>213</v>
      </c>
    </row>
    <row r="9" spans="1:41" x14ac:dyDescent="0.45">
      <c r="S9" t="s">
        <v>101</v>
      </c>
      <c r="Y9" t="s">
        <v>124</v>
      </c>
      <c r="Z9" t="s">
        <v>138</v>
      </c>
      <c r="AA9" t="s">
        <v>150</v>
      </c>
      <c r="AH9" t="s">
        <v>90</v>
      </c>
      <c r="AI9" t="s">
        <v>90</v>
      </c>
      <c r="AJ9" t="s">
        <v>90</v>
      </c>
      <c r="AL9" t="s">
        <v>214</v>
      </c>
      <c r="AM9" t="s">
        <v>214</v>
      </c>
      <c r="AN9" t="s">
        <v>214</v>
      </c>
    </row>
    <row r="10" spans="1:41" x14ac:dyDescent="0.45">
      <c r="S10" t="s">
        <v>102</v>
      </c>
      <c r="Y10" t="s">
        <v>125</v>
      </c>
      <c r="Z10" t="s">
        <v>139</v>
      </c>
      <c r="AA10" t="s">
        <v>151</v>
      </c>
      <c r="AL10" t="s">
        <v>215</v>
      </c>
      <c r="AM10" t="s">
        <v>215</v>
      </c>
      <c r="AN10" t="s">
        <v>215</v>
      </c>
    </row>
    <row r="11" spans="1:41" x14ac:dyDescent="0.45">
      <c r="S11" t="s">
        <v>103</v>
      </c>
      <c r="Y11" t="s">
        <v>126</v>
      </c>
      <c r="Z11" t="s">
        <v>140</v>
      </c>
      <c r="AA11" t="s">
        <v>152</v>
      </c>
      <c r="AL11" t="s">
        <v>216</v>
      </c>
      <c r="AM11" t="s">
        <v>216</v>
      </c>
      <c r="AN11" t="s">
        <v>216</v>
      </c>
    </row>
    <row r="12" spans="1:41" x14ac:dyDescent="0.45">
      <c r="S12" t="s">
        <v>104</v>
      </c>
      <c r="Y12" t="s">
        <v>127</v>
      </c>
      <c r="Z12" t="s">
        <v>141</v>
      </c>
      <c r="AA12" t="s">
        <v>153</v>
      </c>
      <c r="AL12" t="s">
        <v>217</v>
      </c>
      <c r="AM12" t="s">
        <v>217</v>
      </c>
      <c r="AN12" t="s">
        <v>217</v>
      </c>
    </row>
    <row r="13" spans="1:41" x14ac:dyDescent="0.45">
      <c r="S13" t="s">
        <v>105</v>
      </c>
      <c r="Y13" t="s">
        <v>128</v>
      </c>
      <c r="Z13" t="s">
        <v>142</v>
      </c>
      <c r="AA13" t="s">
        <v>154</v>
      </c>
      <c r="AL13" t="s">
        <v>218</v>
      </c>
      <c r="AM13" t="s">
        <v>229</v>
      </c>
      <c r="AN13" t="s">
        <v>240</v>
      </c>
    </row>
    <row r="14" spans="1:41" x14ac:dyDescent="0.45">
      <c r="S14" t="s">
        <v>106</v>
      </c>
      <c r="Y14" t="s">
        <v>129</v>
      </c>
      <c r="Z14" t="s">
        <v>126</v>
      </c>
      <c r="AA14" t="s">
        <v>126</v>
      </c>
      <c r="AL14" t="s">
        <v>219</v>
      </c>
      <c r="AM14" t="s">
        <v>230</v>
      </c>
      <c r="AN14" t="s">
        <v>241</v>
      </c>
    </row>
    <row r="15" spans="1:41" x14ac:dyDescent="0.45">
      <c r="S15" t="s">
        <v>89</v>
      </c>
      <c r="Y15" t="s">
        <v>89</v>
      </c>
      <c r="Z15" t="s">
        <v>89</v>
      </c>
      <c r="AA15" t="s">
        <v>89</v>
      </c>
      <c r="AL15" t="s">
        <v>220</v>
      </c>
      <c r="AM15" t="s">
        <v>231</v>
      </c>
      <c r="AN15" t="s">
        <v>242</v>
      </c>
    </row>
    <row r="16" spans="1:41" x14ac:dyDescent="0.45">
      <c r="S16" t="s">
        <v>90</v>
      </c>
      <c r="Y16" t="s">
        <v>90</v>
      </c>
      <c r="Z16" t="s">
        <v>90</v>
      </c>
      <c r="AA16" t="s">
        <v>90</v>
      </c>
      <c r="AL16" t="s">
        <v>221</v>
      </c>
      <c r="AM16" t="s">
        <v>232</v>
      </c>
      <c r="AN16" t="s">
        <v>243</v>
      </c>
    </row>
    <row r="17" spans="38:40" x14ac:dyDescent="0.45">
      <c r="AL17" t="s">
        <v>89</v>
      </c>
      <c r="AM17" t="s">
        <v>89</v>
      </c>
      <c r="AN17" t="s">
        <v>89</v>
      </c>
    </row>
    <row r="18" spans="38:40" x14ac:dyDescent="0.45">
      <c r="AL18" t="s">
        <v>90</v>
      </c>
      <c r="AM18" t="s">
        <v>90</v>
      </c>
      <c r="AN18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1A366-5D7D-46EF-BA1D-AADB43FD7132}">
  <dimension ref="A1:M6"/>
  <sheetViews>
    <sheetView workbookViewId="0"/>
  </sheetViews>
  <sheetFormatPr defaultRowHeight="14.25" x14ac:dyDescent="0.45"/>
  <sheetData>
    <row r="1" spans="1:13" ht="15.75" x14ac:dyDescent="0.5">
      <c r="A1" s="38" t="s">
        <v>94</v>
      </c>
      <c r="B1" s="38" t="s">
        <v>105</v>
      </c>
      <c r="C1" s="38" t="s">
        <v>95</v>
      </c>
      <c r="D1" s="38" t="s">
        <v>101</v>
      </c>
      <c r="E1" s="38" t="s">
        <v>97</v>
      </c>
      <c r="F1" s="38" t="s">
        <v>98</v>
      </c>
      <c r="G1" s="38" t="s">
        <v>99</v>
      </c>
      <c r="H1" s="38" t="s">
        <v>96</v>
      </c>
      <c r="I1" s="38" t="s">
        <v>100</v>
      </c>
      <c r="J1" s="38" t="s">
        <v>106</v>
      </c>
      <c r="K1" s="38" t="s">
        <v>163</v>
      </c>
      <c r="L1" s="38" t="s">
        <v>103</v>
      </c>
      <c r="M1" s="38" t="s">
        <v>102</v>
      </c>
    </row>
    <row r="2" spans="1:13" x14ac:dyDescent="0.45">
      <c r="A2" t="s">
        <v>161</v>
      </c>
      <c r="B2" t="s">
        <v>162</v>
      </c>
      <c r="C2" t="s">
        <v>162</v>
      </c>
      <c r="D2" t="s">
        <v>162</v>
      </c>
      <c r="E2" t="s">
        <v>162</v>
      </c>
      <c r="F2" t="s">
        <v>162</v>
      </c>
      <c r="G2" t="s">
        <v>162</v>
      </c>
      <c r="H2" t="s">
        <v>161</v>
      </c>
      <c r="I2" t="s">
        <v>162</v>
      </c>
      <c r="J2" t="s">
        <v>161</v>
      </c>
      <c r="K2" t="s">
        <v>162</v>
      </c>
      <c r="L2" t="s">
        <v>164</v>
      </c>
      <c r="M2" t="s">
        <v>162</v>
      </c>
    </row>
    <row r="3" spans="1:13" x14ac:dyDescent="0.45">
      <c r="A3" t="s">
        <v>89</v>
      </c>
      <c r="B3" t="s">
        <v>161</v>
      </c>
      <c r="C3" t="s">
        <v>161</v>
      </c>
      <c r="D3" t="s">
        <v>161</v>
      </c>
      <c r="E3" t="s">
        <v>161</v>
      </c>
      <c r="F3" t="s">
        <v>161</v>
      </c>
      <c r="G3" t="s">
        <v>161</v>
      </c>
      <c r="H3" t="s">
        <v>89</v>
      </c>
      <c r="I3" t="s">
        <v>161</v>
      </c>
      <c r="J3" t="s">
        <v>89</v>
      </c>
      <c r="K3" t="s">
        <v>164</v>
      </c>
      <c r="L3" t="s">
        <v>89</v>
      </c>
      <c r="M3" t="s">
        <v>161</v>
      </c>
    </row>
    <row r="4" spans="1:13" x14ac:dyDescent="0.45">
      <c r="A4" t="s">
        <v>90</v>
      </c>
      <c r="B4" t="s">
        <v>89</v>
      </c>
      <c r="C4" t="s">
        <v>89</v>
      </c>
      <c r="D4" t="s">
        <v>89</v>
      </c>
      <c r="E4" t="s">
        <v>89</v>
      </c>
      <c r="F4" t="s">
        <v>89</v>
      </c>
      <c r="G4" t="s">
        <v>89</v>
      </c>
      <c r="H4" t="s">
        <v>90</v>
      </c>
      <c r="I4" t="s">
        <v>89</v>
      </c>
      <c r="J4" t="s">
        <v>90</v>
      </c>
      <c r="K4" t="s">
        <v>161</v>
      </c>
      <c r="L4" t="s">
        <v>90</v>
      </c>
      <c r="M4" t="s">
        <v>89</v>
      </c>
    </row>
    <row r="5" spans="1:13" x14ac:dyDescent="0.45">
      <c r="B5" t="s">
        <v>90</v>
      </c>
      <c r="C5" t="s">
        <v>90</v>
      </c>
      <c r="D5" t="s">
        <v>90</v>
      </c>
      <c r="E5" t="s">
        <v>90</v>
      </c>
      <c r="F5" t="s">
        <v>90</v>
      </c>
      <c r="G5" t="s">
        <v>90</v>
      </c>
      <c r="I5" t="s">
        <v>90</v>
      </c>
      <c r="K5" t="s">
        <v>89</v>
      </c>
      <c r="M5" t="s">
        <v>90</v>
      </c>
    </row>
    <row r="6" spans="1:13" x14ac:dyDescent="0.45">
      <c r="K6" t="s">
        <v>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86AA4-A1BE-4480-A35E-083FD39004C1}">
  <dimension ref="A1:D6"/>
  <sheetViews>
    <sheetView workbookViewId="0"/>
  </sheetViews>
  <sheetFormatPr defaultRowHeight="14.25" x14ac:dyDescent="0.45"/>
  <sheetData>
    <row r="1" spans="1:4" ht="15.75" x14ac:dyDescent="0.5">
      <c r="A1" s="39" t="s">
        <v>106</v>
      </c>
      <c r="B1" s="39" t="s">
        <v>163</v>
      </c>
      <c r="C1" s="39" t="s">
        <v>95</v>
      </c>
      <c r="D1" s="39" t="s">
        <v>98</v>
      </c>
    </row>
    <row r="2" spans="1:4" x14ac:dyDescent="0.45">
      <c r="A2" t="s">
        <v>165</v>
      </c>
      <c r="B2" t="s">
        <v>166</v>
      </c>
      <c r="C2" t="s">
        <v>166</v>
      </c>
      <c r="D2" t="s">
        <v>166</v>
      </c>
    </row>
    <row r="3" spans="1:4" x14ac:dyDescent="0.45">
      <c r="A3" t="s">
        <v>89</v>
      </c>
      <c r="B3" t="s">
        <v>167</v>
      </c>
      <c r="C3" t="s">
        <v>165</v>
      </c>
      <c r="D3" t="s">
        <v>165</v>
      </c>
    </row>
    <row r="4" spans="1:4" x14ac:dyDescent="0.45">
      <c r="A4" t="s">
        <v>90</v>
      </c>
      <c r="B4" t="s">
        <v>165</v>
      </c>
      <c r="C4" t="s">
        <v>89</v>
      </c>
      <c r="D4" t="s">
        <v>89</v>
      </c>
    </row>
    <row r="5" spans="1:4" x14ac:dyDescent="0.45">
      <c r="B5" t="s">
        <v>89</v>
      </c>
      <c r="C5" t="s">
        <v>90</v>
      </c>
      <c r="D5" t="s">
        <v>90</v>
      </c>
    </row>
    <row r="6" spans="1:4" x14ac:dyDescent="0.45">
      <c r="B6" t="s">
        <v>90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AFAFC-634A-4E36-AEB6-E3D32C6B2B9A}">
  <dimension ref="A1:D6"/>
  <sheetViews>
    <sheetView workbookViewId="0"/>
  </sheetViews>
  <sheetFormatPr defaultRowHeight="14.25" x14ac:dyDescent="0.45"/>
  <sheetData>
    <row r="1" spans="1:4" ht="15.75" x14ac:dyDescent="0.5">
      <c r="A1" s="40" t="s">
        <v>106</v>
      </c>
      <c r="B1" s="40" t="s">
        <v>163</v>
      </c>
      <c r="C1" s="40" t="s">
        <v>95</v>
      </c>
      <c r="D1" s="40" t="s">
        <v>98</v>
      </c>
    </row>
    <row r="2" spans="1:4" x14ac:dyDescent="0.45">
      <c r="A2" t="s">
        <v>168</v>
      </c>
      <c r="B2" t="s">
        <v>162</v>
      </c>
      <c r="C2" t="s">
        <v>162</v>
      </c>
      <c r="D2" t="s">
        <v>162</v>
      </c>
    </row>
    <row r="3" spans="1:4" x14ac:dyDescent="0.45">
      <c r="A3" t="s">
        <v>89</v>
      </c>
      <c r="B3" t="s">
        <v>169</v>
      </c>
      <c r="C3" t="s">
        <v>168</v>
      </c>
      <c r="D3" t="s">
        <v>168</v>
      </c>
    </row>
    <row r="4" spans="1:4" x14ac:dyDescent="0.45">
      <c r="A4" t="s">
        <v>90</v>
      </c>
      <c r="B4" t="s">
        <v>168</v>
      </c>
      <c r="C4" t="s">
        <v>89</v>
      </c>
      <c r="D4" t="s">
        <v>89</v>
      </c>
    </row>
    <row r="5" spans="1:4" x14ac:dyDescent="0.45">
      <c r="B5" t="s">
        <v>89</v>
      </c>
      <c r="C5" t="s">
        <v>90</v>
      </c>
      <c r="D5" t="s">
        <v>90</v>
      </c>
    </row>
    <row r="6" spans="1:4" x14ac:dyDescent="0.45">
      <c r="B6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19DA1-2C25-4A49-B24E-7E173CF92E00}">
  <dimension ref="T3:T31"/>
  <sheetViews>
    <sheetView workbookViewId="0"/>
  </sheetViews>
  <sheetFormatPr defaultRowHeight="14.25" x14ac:dyDescent="0.45"/>
  <sheetData>
    <row r="3" spans="20:20" x14ac:dyDescent="0.45">
      <c r="T3" t="s">
        <v>307</v>
      </c>
    </row>
    <row r="4" spans="20:20" x14ac:dyDescent="0.45">
      <c r="T4" t="s">
        <v>307</v>
      </c>
    </row>
    <row r="5" spans="20:20" x14ac:dyDescent="0.45">
      <c r="T5" t="s">
        <v>307</v>
      </c>
    </row>
    <row r="6" spans="20:20" x14ac:dyDescent="0.45">
      <c r="T6" t="s">
        <v>307</v>
      </c>
    </row>
    <row r="7" spans="20:20" x14ac:dyDescent="0.45">
      <c r="T7" t="s">
        <v>307</v>
      </c>
    </row>
    <row r="8" spans="20:20" x14ac:dyDescent="0.45">
      <c r="T8" t="s">
        <v>307</v>
      </c>
    </row>
    <row r="9" spans="20:20" x14ac:dyDescent="0.45">
      <c r="T9" t="s">
        <v>307</v>
      </c>
    </row>
    <row r="10" spans="20:20" x14ac:dyDescent="0.45">
      <c r="T10" t="s">
        <v>307</v>
      </c>
    </row>
    <row r="11" spans="20:20" x14ac:dyDescent="0.45">
      <c r="T11" t="s">
        <v>307</v>
      </c>
    </row>
    <row r="12" spans="20:20" x14ac:dyDescent="0.45">
      <c r="T12" t="s">
        <v>307</v>
      </c>
    </row>
    <row r="13" spans="20:20" x14ac:dyDescent="0.45">
      <c r="T13" t="s">
        <v>307</v>
      </c>
    </row>
    <row r="14" spans="20:20" x14ac:dyDescent="0.45">
      <c r="T14" t="s">
        <v>307</v>
      </c>
    </row>
    <row r="15" spans="20:20" x14ac:dyDescent="0.45">
      <c r="T15" t="s">
        <v>307</v>
      </c>
    </row>
    <row r="16" spans="20:20" x14ac:dyDescent="0.45">
      <c r="T16" t="s">
        <v>307</v>
      </c>
    </row>
    <row r="17" spans="20:20" x14ac:dyDescent="0.45">
      <c r="T17" t="s">
        <v>307</v>
      </c>
    </row>
    <row r="18" spans="20:20" x14ac:dyDescent="0.45">
      <c r="T18" t="s">
        <v>307</v>
      </c>
    </row>
    <row r="19" spans="20:20" x14ac:dyDescent="0.45">
      <c r="T19" t="s">
        <v>307</v>
      </c>
    </row>
    <row r="20" spans="20:20" x14ac:dyDescent="0.45">
      <c r="T20" t="s">
        <v>307</v>
      </c>
    </row>
    <row r="21" spans="20:20" x14ac:dyDescent="0.45">
      <c r="T21" t="s">
        <v>307</v>
      </c>
    </row>
    <row r="22" spans="20:20" x14ac:dyDescent="0.45">
      <c r="T22" t="s">
        <v>307</v>
      </c>
    </row>
    <row r="23" spans="20:20" x14ac:dyDescent="0.45">
      <c r="T23" t="s">
        <v>307</v>
      </c>
    </row>
    <row r="24" spans="20:20" x14ac:dyDescent="0.45">
      <c r="T24" t="s">
        <v>307</v>
      </c>
    </row>
    <row r="25" spans="20:20" x14ac:dyDescent="0.45">
      <c r="T25" t="s">
        <v>307</v>
      </c>
    </row>
    <row r="26" spans="20:20" x14ac:dyDescent="0.45">
      <c r="T26" t="s">
        <v>307</v>
      </c>
    </row>
    <row r="27" spans="20:20" x14ac:dyDescent="0.45">
      <c r="T27" t="s">
        <v>307</v>
      </c>
    </row>
    <row r="28" spans="20:20" x14ac:dyDescent="0.45">
      <c r="T28" t="s">
        <v>307</v>
      </c>
    </row>
    <row r="29" spans="20:20" x14ac:dyDescent="0.45">
      <c r="T29" t="s">
        <v>307</v>
      </c>
    </row>
    <row r="30" spans="20:20" x14ac:dyDescent="0.45">
      <c r="T30" t="s">
        <v>307</v>
      </c>
    </row>
    <row r="31" spans="20:20" x14ac:dyDescent="0.45">
      <c r="T31" t="s">
        <v>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Help</vt:lpstr>
      <vt:lpstr>Entities</vt:lpstr>
      <vt:lpstr>Model</vt:lpstr>
      <vt:lpstr>Reference Data</vt:lpstr>
      <vt:lpstr>dedea_axba263</vt:lpstr>
      <vt:lpstr>frfra_axba9520</vt:lpstr>
      <vt:lpstr>itita_axba9007</vt:lpstr>
      <vt:lpstr>Entities_comment</vt:lpstr>
      <vt:lpstr>EntitiesCol</vt:lpstr>
      <vt:lpstr>EntitiesRow</vt:lpstr>
      <vt:lpstr>RSC__refxartikeltypsap</vt:lpstr>
      <vt:lpstr>RSC__refxboolen</vt:lpstr>
      <vt:lpstr>RSC__refxgtintyperegioartikel</vt:lpstr>
      <vt:lpstr>RSC__refxshopinshop</vt:lpstr>
      <vt:lpstr>RSC_atxwarengruppesap__de_DE</vt:lpstr>
      <vt:lpstr>RSC_atxwarengruppesap__fr_FR</vt:lpstr>
      <vt:lpstr>RSC_atxwarengruppesap__it_IT</vt:lpstr>
      <vt:lpstr>RSC_axartikelslpmstruktur__de_DE</vt:lpstr>
      <vt:lpstr>RSC_axartikelslpmstruktur__fr_FR</vt:lpstr>
      <vt:lpstr>RSC_axartikelslpmstruktur__it_IT</vt:lpstr>
      <vt:lpstr>RSC_axartikeltypsap__de_DE</vt:lpstr>
      <vt:lpstr>RSC_axartikeltypsap__fr_FR</vt:lpstr>
      <vt:lpstr>RSC_axartikeltypsap__it_IT</vt:lpstr>
      <vt:lpstr>RSC_axmhdvorhanden__de_DE</vt:lpstr>
      <vt:lpstr>RSC_axmhdvorhanden__fr_FR</vt:lpstr>
      <vt:lpstr>RSC_axmhdvorhanden__it_IT</vt:lpstr>
      <vt:lpstr>RSC_axtaxdummyfilter__de_DE</vt:lpstr>
      <vt:lpstr>RSC_axtaxdummyfilter__fr_FR</vt:lpstr>
      <vt:lpstr>RSC_axtaxdummyfilter__it_IT</vt:lpstr>
      <vt:lpstr>RSC_de_DE_refxaltersbegrtyp</vt:lpstr>
      <vt:lpstr>RSC_de_DE_refxartikelartsap</vt:lpstr>
      <vt:lpstr>RSC_de_DE_refxdepotartikel</vt:lpstr>
      <vt:lpstr>RSC_de_DE_refxmengeneinheit</vt:lpstr>
      <vt:lpstr>RSC_de_DE_refxsaisontypsap</vt:lpstr>
      <vt:lpstr>RSC_de_DE_refxtaxclass</vt:lpstr>
      <vt:lpstr>RSC_de_DE_refxvergleichspreiseinheit</vt:lpstr>
      <vt:lpstr>RSC_ENTITY_NAME</vt:lpstr>
      <vt:lpstr>RSC_fr_FR_refxaltersbegrtyp</vt:lpstr>
      <vt:lpstr>RSC_fr_FR_refxartikelartsap</vt:lpstr>
      <vt:lpstr>RSC_fr_FR_refxdepotartikel</vt:lpstr>
      <vt:lpstr>RSC_fr_FR_refxmengeneinheit</vt:lpstr>
      <vt:lpstr>RSC_fr_FR_refxsaisontypsap</vt:lpstr>
      <vt:lpstr>RSC_fr_FR_refxtaxclass</vt:lpstr>
      <vt:lpstr>RSC_fr_FR_refxvergleichspreiseinheit</vt:lpstr>
      <vt:lpstr>RSC_it_IT_refxaltersbegrtyp</vt:lpstr>
      <vt:lpstr>RSC_it_IT_refxartikelartsap</vt:lpstr>
      <vt:lpstr>RSC_it_IT_refxdepotartikel</vt:lpstr>
      <vt:lpstr>RSC_it_IT_refxmengeneinheit</vt:lpstr>
      <vt:lpstr>RSC_it_IT_refxsaisontypsap</vt:lpstr>
      <vt:lpstr>RSC_it_IT_refxtaxclass</vt:lpstr>
      <vt:lpstr>RSC_it_IT_refxvergleichspreiseinheit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Otto Mischler</cp:lastModifiedBy>
  <dcterms:created xsi:type="dcterms:W3CDTF">2017-05-21T21:17:00Z</dcterms:created>
  <dcterms:modified xsi:type="dcterms:W3CDTF">2026-01-27T08:48:23Z</dcterms:modified>
</cp:coreProperties>
</file>